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37.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Team Log ins " sheetId="1" r:id="rId5"/>
    <sheet state="hidden" name="Team Info" sheetId="2" r:id="rId6"/>
    <sheet state="hidden" name="TEAM STATS" sheetId="3" r:id="rId7"/>
    <sheet state="visible" name="Daily and Weekly Call Stats" sheetId="4" r:id="rId8"/>
    <sheet state="visible" name="WEEKLY SCORECARD" sheetId="5" r:id="rId9"/>
    <sheet state="visible" name="Dan" sheetId="6" r:id="rId10"/>
    <sheet state="visible" name="Godwin" sheetId="7" r:id="rId11"/>
    <sheet state="visible" name="Candy" sheetId="8" r:id="rId12"/>
    <sheet state="visible" name="Claudette" sheetId="9" r:id="rId13"/>
    <sheet state="visible" name="Sofhia" sheetId="10" r:id="rId14"/>
    <sheet state="visible" name="Cherry" sheetId="11" r:id="rId15"/>
    <sheet state="visible" name="Lyra" sheetId="12" r:id="rId16"/>
    <sheet state="visible" name="Mikka" sheetId="13" r:id="rId17"/>
    <sheet state="visible" name="MONTHLY SCORECARD" sheetId="14" r:id="rId1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4">
      <text>
        <t xml:space="preserve">Missing 4 hrs from last week
</t>
      </text>
    </comment>
    <comment authorId="0" ref="B91">
      <text>
        <t xml:space="preserve">Missing 8 hrs 
</t>
      </text>
    </comment>
    <comment authorId="0" ref="B90">
      <text>
        <t xml:space="preserve">Missing 4 hrs from last week
</t>
      </text>
    </comment>
  </commentList>
</comments>
</file>

<file path=xl/sharedStrings.xml><?xml version="1.0" encoding="utf-8"?>
<sst xmlns="http://schemas.openxmlformats.org/spreadsheetml/2006/main" count="27916" uniqueCount="2590">
  <si>
    <t>SHIPHERO LOG IN CREDENTIALS</t>
  </si>
  <si>
    <t>Agent Name</t>
  </si>
  <si>
    <t>Email Address</t>
  </si>
  <si>
    <t>PASSWORD</t>
  </si>
  <si>
    <t>Godwin Reasol</t>
  </si>
  <si>
    <t>teamdani1@proton.me</t>
  </si>
  <si>
    <t>B6!mY2#vQ9@tL</t>
  </si>
  <si>
    <t xml:space="preserve">Claudette Ibong </t>
  </si>
  <si>
    <t>teamdani2@proton.me</t>
  </si>
  <si>
    <t>Q8@cN4!zR7$kM</t>
  </si>
  <si>
    <t>CherryTubongbanua</t>
  </si>
  <si>
    <t>teamdani3@proton.me</t>
  </si>
  <si>
    <t>W5#pK9@xT3!vH</t>
  </si>
  <si>
    <t>Lyra Miclat</t>
  </si>
  <si>
    <t>teamdani4@proton.me</t>
  </si>
  <si>
    <t>J7!rM2$yL8@qZ</t>
  </si>
  <si>
    <t>Joemica Cariño</t>
  </si>
  <si>
    <t>teamdani5@proton.me</t>
  </si>
  <si>
    <t>C4@vP9#nX6!kR</t>
  </si>
  <si>
    <t>Candy Laid</t>
  </si>
  <si>
    <t>teamdani6@proton.me</t>
  </si>
  <si>
    <t>F8$zQ3!mT7@wL</t>
  </si>
  <si>
    <t>Sofhia Mae Santiago</t>
  </si>
  <si>
    <t>teamdani7@proton.me</t>
  </si>
  <si>
    <t>L2#xV6@rK9!pN</t>
  </si>
  <si>
    <t>Dan Mae David</t>
  </si>
  <si>
    <t>teamdani8@outlook.com</t>
  </si>
  <si>
    <t>S9!qH4$wM2@zP</t>
  </si>
  <si>
    <t>WEEK:January 26 ,2026 - February 1,2026</t>
  </si>
  <si>
    <t>Danielle David</t>
  </si>
  <si>
    <t>Claudette Ibong</t>
  </si>
  <si>
    <t>Sofhia Santiago</t>
  </si>
  <si>
    <t>Cherry 
Tubongbanua</t>
  </si>
  <si>
    <t>Contact Number</t>
  </si>
  <si>
    <t>Birthday</t>
  </si>
  <si>
    <t>Home Address</t>
  </si>
  <si>
    <t>Week Ending</t>
  </si>
  <si>
    <t>WEEK: January 26 ,2026 - February 1,2026</t>
  </si>
  <si>
    <t>Baranggay</t>
  </si>
  <si>
    <t>Municipality</t>
  </si>
  <si>
    <t>Province</t>
  </si>
  <si>
    <t>Zip Code</t>
  </si>
  <si>
    <t>Landmark</t>
  </si>
  <si>
    <t>Danielle Ann Mari Crizaldo</t>
  </si>
  <si>
    <t>daniellecrizaldo781@gmail.com</t>
  </si>
  <si>
    <t>ATTENDANCE</t>
  </si>
  <si>
    <t>005</t>
  </si>
  <si>
    <t>Marahan 1</t>
  </si>
  <si>
    <t>Alfonso</t>
  </si>
  <si>
    <t>Hours Worked</t>
  </si>
  <si>
    <t>Cavite</t>
  </si>
  <si>
    <t>Droolymacaroni</t>
  </si>
  <si>
    <t>dnlldvd19@gmail.com</t>
  </si>
  <si>
    <t>Hours Scheduled</t>
  </si>
  <si>
    <t>Godwin Arellano</t>
  </si>
  <si>
    <t>ghodwinreasol@gmail.com</t>
  </si>
  <si>
    <t>laidcandy1@gmail.com</t>
  </si>
  <si>
    <t>Attendance %</t>
  </si>
  <si>
    <t>blueibong@gmail.com</t>
  </si>
  <si>
    <t>sofhiamae102099@gmail.com</t>
  </si>
  <si>
    <t>Cherry Rose Tubongbanua</t>
  </si>
  <si>
    <t>cherryrose201606@gmail.com</t>
  </si>
  <si>
    <t>lyranacu1996@gmail.com</t>
  </si>
  <si>
    <t>WEEK: August 3,2026 - August 9,2026</t>
  </si>
  <si>
    <t>Joemica Carino</t>
  </si>
  <si>
    <t>joemica20@gmail.com</t>
  </si>
  <si>
    <t>QUALITY</t>
  </si>
  <si>
    <t>QA Score</t>
  </si>
  <si>
    <t>40</t>
  </si>
  <si>
    <t>39.90</t>
  </si>
  <si>
    <t>37.40</t>
  </si>
  <si>
    <t>Daily Productivity Record</t>
  </si>
  <si>
    <t>QA Max</t>
  </si>
  <si>
    <t>Name of Agent</t>
  </si>
  <si>
    <t>Quality %</t>
  </si>
  <si>
    <t>PRODUCTIVITY</t>
  </si>
  <si>
    <t>Shift</t>
  </si>
  <si>
    <t>Weekly Target</t>
  </si>
  <si>
    <t>Actual
Productivity</t>
  </si>
  <si>
    <t>MID</t>
  </si>
  <si>
    <t>AM</t>
  </si>
  <si>
    <t>Team Assignment'</t>
  </si>
  <si>
    <t>Productivity %</t>
  </si>
  <si>
    <t>Other Brands</t>
  </si>
  <si>
    <t>Final
Score</t>
  </si>
  <si>
    <t>Oricle</t>
  </si>
  <si>
    <t>Call Target #</t>
  </si>
  <si>
    <t xml:space="preserve">Week (July 6, -  July 12,2026) </t>
  </si>
  <si>
    <t>Daniellel Mae David</t>
  </si>
  <si>
    <t>Ticket Link</t>
  </si>
  <si>
    <t>Date</t>
  </si>
  <si>
    <t>Day</t>
  </si>
  <si>
    <t>OFF</t>
  </si>
  <si>
    <t>SCORE</t>
  </si>
  <si>
    <t>Notes and Tagging(internal Note and
Sticky Note)
5%</t>
  </si>
  <si>
    <t>COURTESY &amp; EMPATHY                
15%</t>
  </si>
  <si>
    <t>TONE OF VOICE &amp; 
ELOQUENCE
20%</t>
  </si>
  <si>
    <t>CALL CONTROL
15%</t>
  </si>
  <si>
    <t>Total Call #</t>
  </si>
  <si>
    <t>144</t>
  </si>
  <si>
    <t>119</t>
  </si>
  <si>
    <t>137</t>
  </si>
  <si>
    <t>187</t>
  </si>
  <si>
    <t>171</t>
  </si>
  <si>
    <t>VERIFICATION 
5%</t>
  </si>
  <si>
    <t>129</t>
  </si>
  <si>
    <t>PROBING
5%</t>
  </si>
  <si>
    <t>Call Pick Up #</t>
  </si>
  <si>
    <t>141</t>
  </si>
  <si>
    <t>MASTERY OF 
INFORMATION
15%</t>
  </si>
  <si>
    <t>131</t>
  </si>
  <si>
    <t xml:space="preserve">   RESOLUTION                
20%</t>
  </si>
  <si>
    <t>183</t>
  </si>
  <si>
    <t>169</t>
  </si>
  <si>
    <t>Average</t>
  </si>
  <si>
    <t>Pick Up %</t>
  </si>
  <si>
    <t>NOTES</t>
  </si>
  <si>
    <r>
      <rPr>
        <rFont val="Arial, sans-serif"/>
        <color rgb="FF1155CC"/>
        <u/>
      </rPr>
      <t>https://4ammedia.zendesk.com/agent/tickets/211886</t>
    </r>
  </si>
  <si>
    <t>Godwin Arellano Reasol</t>
  </si>
  <si>
    <t>Target Completion%</t>
  </si>
  <si>
    <t>Mary Claudette Ibong</t>
  </si>
  <si>
    <t>WORK ETHIC (10 pts)</t>
  </si>
  <si>
    <t>Work Ethic Score</t>
  </si>
  <si>
    <t>10</t>
  </si>
  <si>
    <t>9.33</t>
  </si>
  <si>
    <t>8.77</t>
  </si>
  <si>
    <t>9.66</t>
  </si>
  <si>
    <t>8.93</t>
  </si>
  <si>
    <t>Work Ethic Max</t>
  </si>
  <si>
    <t>Cherry Tubongbanua</t>
  </si>
  <si>
    <t>Work Ethic %</t>
  </si>
  <si>
    <t>INFRACTIONS (-10 pts)</t>
  </si>
  <si>
    <t>Number of Infractions</t>
  </si>
  <si>
    <t>0</t>
  </si>
  <si>
    <t>FINAL SCORE</t>
  </si>
  <si>
    <t>Weekly Call Stats</t>
  </si>
  <si>
    <t>Attendance Weighted (25%)</t>
  </si>
  <si>
    <t>Ringing 
Attempts</t>
  </si>
  <si>
    <t>Picked
Up</t>
  </si>
  <si>
    <t>Not Picked
Up</t>
  </si>
  <si>
    <t>Picked Up
Rate</t>
  </si>
  <si>
    <t>AHT</t>
  </si>
  <si>
    <t>Yes</t>
  </si>
  <si>
    <t>Picked Up
Rate Score</t>
  </si>
  <si>
    <t>Quality Weighted (35%)</t>
  </si>
  <si>
    <t>AHT
Score</t>
  </si>
  <si>
    <t>Productivity Weighted (25%)</t>
  </si>
  <si>
    <r>
      <rPr>
        <rFont val="Arial, sans-serif"/>
        <color rgb="FF1155CC"/>
        <u/>
      </rPr>
      <t>https://4ammedia.zendesk.com/agent/tickets/212102</t>
    </r>
  </si>
  <si>
    <t>Work Ethic Weighted (15%)</t>
  </si>
  <si>
    <t>Infractions Penalty</t>
  </si>
  <si>
    <t>TOTAL SCORE (out of 100)</t>
  </si>
  <si>
    <r>
      <rPr>
        <rFont val="Arial, sans-serif"/>
        <color rgb="FF1155CC"/>
        <u/>
      </rPr>
      <t>https://4ammedia.zendesk.com/agent/tickets/212359</t>
    </r>
  </si>
  <si>
    <t>Overall %</t>
  </si>
  <si>
    <r>
      <rPr>
        <rFont val="Arial, sans-serif"/>
        <color rgb="FF1155CC"/>
        <u/>
      </rPr>
      <t>https://4ammedia.zendesk.com/agent/tickets/213864</t>
    </r>
  </si>
  <si>
    <t>TEAM RANKING</t>
  </si>
  <si>
    <t>Good</t>
  </si>
  <si>
    <t>Top Performer</t>
  </si>
  <si>
    <t>Low Performer</t>
  </si>
  <si>
    <t>COMMENTS/ISSUES</t>
  </si>
  <si>
    <r>
      <rPr>
        <rFont val="Arial, sans-serif"/>
        <color rgb="FF1155CC"/>
        <u/>
      </rPr>
      <t>https://4ammedia.zendesk.com/agent/tickets/213999</t>
    </r>
  </si>
  <si>
    <t>Score per Metrics for Scorecard (Initial Productivity and QA Scores)</t>
  </si>
  <si>
    <t xml:space="preserve">-CSR struggles on searching fo the customer's target which prolongs the call. Aside from this, CSR failed to provide proper resolution on some call tickets </t>
  </si>
  <si>
    <t xml:space="preserve">What Does 30% Productivity Covers? </t>
  </si>
  <si>
    <t xml:space="preserve">~```````````````````` </t>
  </si>
  <si>
    <r>
      <rPr>
        <rFont val="Arial"/>
        <b/>
        <color theme="1"/>
      </rPr>
      <t xml:space="preserve">QA JACKY
SCORE
</t>
    </r>
    <r>
      <rPr>
        <rFont val="Arial"/>
        <b/>
        <i/>
        <color theme="1"/>
      </rPr>
      <t>30%</t>
    </r>
  </si>
  <si>
    <r>
      <rPr>
        <rFont val="Arial"/>
        <b/>
        <color theme="1"/>
      </rPr>
      <t xml:space="preserve">QA TL
SCORE
</t>
    </r>
    <r>
      <rPr>
        <rFont val="Arial"/>
        <b/>
        <i/>
        <color theme="1"/>
      </rPr>
      <t>10%</t>
    </r>
  </si>
  <si>
    <t>Final QA
Score
40%</t>
  </si>
  <si>
    <t>Productivity
(WORK ETHIC)
% (30%)</t>
  </si>
  <si>
    <t>FINAL
Work Ethic
Score</t>
  </si>
  <si>
    <t>1. Final Score from Daily Productivity Record</t>
  </si>
  <si>
    <t>WEEK: February 2 ,2026 - February 8,2026</t>
  </si>
  <si>
    <t>2. Picked Up Rate Score</t>
  </si>
  <si>
    <r>
      <rPr>
        <rFont val="Arial, sans-serif"/>
        <color rgb="FF1155CC"/>
        <u/>
      </rPr>
      <t>https://4ammedia.zendesk.com/agent/tickets/214389</t>
    </r>
  </si>
  <si>
    <t>3.. AHT Score</t>
  </si>
  <si>
    <r>
      <rPr>
        <rFont val="Arial, sans-serif"/>
        <color rgb="FF1155CC"/>
        <u/>
      </rPr>
      <t>https://4ammedia.zendesk.com/agent/tickets/215731</t>
    </r>
  </si>
  <si>
    <t xml:space="preserve">Computation: </t>
  </si>
  <si>
    <r>
      <rPr>
        <rFont val="Arial, sans-serif"/>
        <color rgb="FF1155CC"/>
        <u/>
      </rPr>
      <t>https://4ammedia.zendesk.com/agent/tickets/215937</t>
    </r>
  </si>
  <si>
    <t>Final Productivity %</t>
  </si>
  <si>
    <t>(Final productivity Score + Picked Up Rate Score + AHT Score) /15 *.30</t>
  </si>
  <si>
    <t>Productivity Score</t>
  </si>
  <si>
    <t>(Final Productivity % / 30%) *10</t>
  </si>
  <si>
    <r>
      <rPr>
        <rFont val="Arial, sans-serif"/>
        <color rgb="FF1155CC"/>
        <u/>
      </rPr>
      <t>https://4ammedia.zendesk.com/agent/tickets/215976</t>
    </r>
  </si>
  <si>
    <t>WEEK: August 10,2026 - August 16,2026</t>
  </si>
  <si>
    <r>
      <rPr>
        <rFont val="Arial, sans-serif"/>
        <color rgb="FF1155CC"/>
        <u/>
      </rPr>
      <t>https://4ammedia.zendesk.com/agent/tickets/217776</t>
    </r>
  </si>
  <si>
    <r>
      <rPr>
        <rFont val="Arial, sans-serif"/>
        <color rgb="FF1155CC"/>
        <u/>
      </rPr>
      <t>https://4ammedia.zendesk.com/agent/tickets/217908</t>
    </r>
  </si>
  <si>
    <t>WEEK: February 2 - February 8</t>
  </si>
  <si>
    <t>Daily Productivity</t>
  </si>
  <si>
    <t>NAME OF AGENT</t>
  </si>
  <si>
    <r>
      <rPr>
        <rFont val="Arial, sans-serif"/>
        <color rgb="FF1155CC"/>
        <u/>
      </rPr>
      <t>https://4ammedia.zendesk.com/agent/tickets/218017</t>
    </r>
  </si>
  <si>
    <t>Weekly Actual</t>
  </si>
  <si>
    <t>% Productivity</t>
  </si>
  <si>
    <t>Final Score</t>
  </si>
  <si>
    <t>Mon</t>
  </si>
  <si>
    <r>
      <rPr>
        <rFont val="Arial, sans-serif"/>
        <color rgb="FF1155CC"/>
        <u/>
      </rPr>
      <t>https://4ammedia.zendesk.com/agent/tickets/219526</t>
    </r>
  </si>
  <si>
    <t>Danielle Mae David</t>
  </si>
  <si>
    <r>
      <rPr>
        <rFont val="Arial, sans-serif"/>
        <color rgb="FF1155CC"/>
        <u/>
      </rPr>
      <t>https://4ammedia.zendesk.com/agent/tickets/219612</t>
    </r>
  </si>
  <si>
    <t>A</t>
  </si>
  <si>
    <t>LWOP</t>
  </si>
  <si>
    <r>
      <rPr>
        <rFont val="Arial, sans-serif"/>
        <color rgb="FF1155CC"/>
        <u/>
      </rPr>
      <t>https://4ammedia.zendesk.com/agent/tickets/219749</t>
    </r>
  </si>
  <si>
    <t>Final QA Score</t>
  </si>
  <si>
    <t>130</t>
  </si>
  <si>
    <t>155</t>
  </si>
  <si>
    <t>178</t>
  </si>
  <si>
    <t>90</t>
  </si>
  <si>
    <t>172</t>
  </si>
  <si>
    <t>126</t>
  </si>
  <si>
    <t>154</t>
  </si>
  <si>
    <t>174</t>
  </si>
  <si>
    <t>180</t>
  </si>
  <si>
    <t>89</t>
  </si>
  <si>
    <t xml:space="preserve">Week (July 13, -  July 19,2026) </t>
  </si>
  <si>
    <r>
      <rPr>
        <rFont val="Arial, sans-serif"/>
        <color rgb="FF1155CC"/>
        <u/>
      </rPr>
      <t>https://4ammedia.zendesk.com/agent/tickets/224286</t>
    </r>
  </si>
  <si>
    <t>9.45</t>
  </si>
  <si>
    <t>9.85</t>
  </si>
  <si>
    <r>
      <rPr>
        <rFont val="Arial"/>
        <b/>
        <color theme="1"/>
      </rPr>
      <t xml:space="preserve">QA JACKY
SCORE
</t>
    </r>
    <r>
      <rPr>
        <rFont val="Arial"/>
        <b/>
        <i/>
        <color theme="1"/>
      </rPr>
      <t>30%</t>
    </r>
  </si>
  <si>
    <r>
      <rPr>
        <rFont val="Arial"/>
        <b/>
        <color theme="1"/>
      </rPr>
      <t xml:space="preserve">QA TL
SCORE
</t>
    </r>
    <r>
      <rPr>
        <rFont val="Arial"/>
        <b/>
        <i/>
        <color theme="1"/>
      </rPr>
      <t>10%</t>
    </r>
  </si>
  <si>
    <t>Faith Rivera</t>
  </si>
  <si>
    <r>
      <rPr>
        <rFont val="Arial, sans-serif"/>
        <color rgb="FF1155CC"/>
        <u/>
      </rPr>
      <t>https://4ammedia.zendesk.com/agent/tickets/224667</t>
    </r>
  </si>
  <si>
    <t>Ringing
Attempts</t>
  </si>
  <si>
    <t>Picked Up</t>
  </si>
  <si>
    <r>
      <rPr>
        <rFont val="Arial, sans-serif"/>
        <color rgb="FF1155CC"/>
        <u/>
      </rPr>
      <t>https://4ammedia.zendesk.com/agent/tickets/224692</t>
    </r>
  </si>
  <si>
    <t>AHT 
Rate Score</t>
  </si>
  <si>
    <r>
      <rPr>
        <rFont val="Arial, sans-serif"/>
        <color rgb="FF1155CC"/>
        <u/>
      </rPr>
      <t>https://4ammedia.zendesk.com/agent/tickets/227009</t>
    </r>
  </si>
  <si>
    <t>WEEK: August 17,2026 - August 23,2026</t>
  </si>
  <si>
    <r>
      <rPr>
        <rFont val="Arial, sans-serif"/>
        <color rgb="FF1155CC"/>
        <u/>
      </rPr>
      <t>https://4ammedia.zendesk.com/agent/tickets/227026</t>
    </r>
  </si>
  <si>
    <r>
      <rPr>
        <rFont val="Arial, sans-serif"/>
        <color rgb="FF1155CC"/>
        <u/>
      </rPr>
      <t>https://4ammedia.zendesk.com/agent/tickets/227041</t>
    </r>
  </si>
  <si>
    <t>WEEK: February 9 ,2026 - February 15,2026</t>
  </si>
  <si>
    <r>
      <rPr>
        <rFont val="Arial, sans-serif"/>
        <color rgb="FF1155CC"/>
        <u/>
      </rPr>
      <t>https://4ammedia.zendesk.com/agent/tickets/228642</t>
    </r>
  </si>
  <si>
    <r>
      <rPr>
        <rFont val="Arial, sans-serif"/>
        <color rgb="FF1155CC"/>
        <u/>
      </rPr>
      <t>https://4ammedia.zendesk.com/agent/tickets/228813</t>
    </r>
  </si>
  <si>
    <r>
      <rPr>
        <rFont val="Arial, sans-serif"/>
        <color rgb="FF1155CC"/>
        <u/>
      </rPr>
      <t>https://4ammedia.zendesk.com/agent/tickets/228944</t>
    </r>
  </si>
  <si>
    <r>
      <rPr>
        <rFont val="Arial, sans-serif"/>
        <color rgb="FF1155CC"/>
        <u/>
      </rPr>
      <t>https://4ammedia.zendesk.com/agent/tickets/230672</t>
    </r>
  </si>
  <si>
    <r>
      <rPr>
        <rFont val="Arial, sans-serif"/>
        <color rgb="FF1155CC"/>
        <u/>
      </rPr>
      <t>https://4ammedia.zendesk.com/agent/tickets/230808</t>
    </r>
  </si>
  <si>
    <r>
      <rPr>
        <rFont val="Arial, sans-serif"/>
        <color rgb="FF1155CC"/>
        <u/>
      </rPr>
      <t>https://4ammedia.zendesk.com/agent/tickets/230885</t>
    </r>
  </si>
  <si>
    <r>
      <rPr>
        <rFont val="Arial, sans-serif"/>
        <color rgb="FF1155CC"/>
        <u/>
      </rPr>
      <t>https://4ammedia.zendesk.com/agent/tickets/232294</t>
    </r>
  </si>
  <si>
    <r>
      <rPr>
        <rFont val="Arial, sans-serif"/>
        <color rgb="FF1155CC"/>
        <u/>
      </rPr>
      <t>https://4ammedia.zendesk.com/agent/tickets/232416</t>
    </r>
  </si>
  <si>
    <r>
      <rPr>
        <rFont val="Arial"/>
        <b/>
        <color theme="1"/>
      </rPr>
      <t xml:space="preserve">QA JACKY
SCORE
</t>
    </r>
    <r>
      <rPr>
        <rFont val="Arial"/>
        <b/>
        <i/>
        <color theme="1"/>
      </rPr>
      <t>30%</t>
    </r>
  </si>
  <si>
    <r>
      <rPr>
        <rFont val="Arial"/>
        <b/>
        <color theme="1"/>
      </rPr>
      <t xml:space="preserve">QA TL
SCORE
</t>
    </r>
    <r>
      <rPr>
        <rFont val="Arial"/>
        <b/>
        <i/>
        <color theme="1"/>
      </rPr>
      <t>10%</t>
    </r>
  </si>
  <si>
    <r>
      <rPr>
        <rFont val="Arial, sans-serif"/>
        <color rgb="FF1155CC"/>
        <u/>
      </rPr>
      <t>https://4ammedia.zendesk.com/agent/tickets/232550</t>
    </r>
  </si>
  <si>
    <t>Danielle Crizaldo</t>
  </si>
  <si>
    <t>Team Initial Scorecard</t>
  </si>
  <si>
    <t>CSR NAME</t>
  </si>
  <si>
    <t>Overall 
QA Spotcheck
40%</t>
  </si>
  <si>
    <t>QA Jacky
Spotcheck
30%</t>
  </si>
  <si>
    <t>TL 
Spotcheck
10%</t>
  </si>
  <si>
    <t>Productivity
30%</t>
  </si>
  <si>
    <t>78</t>
  </si>
  <si>
    <t xml:space="preserve">Week (July 20, -  July 26,2026) </t>
  </si>
  <si>
    <t>PRODUCTIVITY 
AVERAGE</t>
  </si>
  <si>
    <t>138</t>
  </si>
  <si>
    <t>151</t>
  </si>
  <si>
    <t>163</t>
  </si>
  <si>
    <t>140</t>
  </si>
  <si>
    <t>30</t>
  </si>
  <si>
    <t>76</t>
  </si>
  <si>
    <t>136</t>
  </si>
  <si>
    <t>147</t>
  </si>
  <si>
    <t>118</t>
  </si>
  <si>
    <t>161</t>
  </si>
  <si>
    <t>139</t>
  </si>
  <si>
    <r>
      <rPr>
        <rFont val="Arial, sans-serif"/>
        <color rgb="FF1155CC"/>
        <u/>
      </rPr>
      <t>https://4ammedia.zendesk.com/agent/tickets/237008</t>
    </r>
  </si>
  <si>
    <r>
      <rPr>
        <rFont val="Arial, sans-serif"/>
        <color rgb="FF1155CC"/>
        <u/>
      </rPr>
      <t>https://4ammedia.zendesk.com/agent/tickets/237202</t>
    </r>
  </si>
  <si>
    <t>WEEK: August 24,2026 - August 30,2026</t>
  </si>
  <si>
    <r>
      <rPr>
        <rFont val="Arial, sans-serif"/>
        <color rgb="FF1155CC"/>
        <u/>
      </rPr>
      <t>https://4ammedia.zendesk.com/agent/tickets/237280</t>
    </r>
  </si>
  <si>
    <r>
      <rPr>
        <rFont val="Arial, sans-serif"/>
        <color rgb="FF1155CC"/>
        <u/>
      </rPr>
      <t>https://4ammedia.zendesk.com/agent/tickets/239606</t>
    </r>
  </si>
  <si>
    <r>
      <rPr>
        <rFont val="Arial, sans-serif"/>
        <color rgb="FF1155CC"/>
        <u/>
      </rPr>
      <t>https://4ammedia.zendesk.com/agent/tickets/239679</t>
    </r>
  </si>
  <si>
    <r>
      <rPr>
        <rFont val="Arial, sans-serif"/>
        <color rgb="FF1155CC"/>
        <u/>
      </rPr>
      <t>https://4ammedia.zendesk.com/agent/tickets/239705</t>
    </r>
  </si>
  <si>
    <r>
      <rPr>
        <rFont val="Arial, sans-serif"/>
        <color rgb="FF1155CC"/>
        <u/>
      </rPr>
      <t>https://4ammedia.zendesk.com/agent/tickets/241183</t>
    </r>
  </si>
  <si>
    <r>
      <rPr>
        <rFont val="Arial, sans-serif"/>
        <color rgb="FF1155CC"/>
        <u/>
      </rPr>
      <t>https://4ammedia.zendesk.com/agent/tickets/241251</t>
    </r>
  </si>
  <si>
    <r>
      <rPr>
        <rFont val="Arial, sans-serif"/>
        <color rgb="FF1155CC"/>
        <u/>
      </rPr>
      <t>https://4ammedia.zendesk.com/agent/tickets/241382</t>
    </r>
  </si>
  <si>
    <t>OT HOURS for Payroll</t>
  </si>
  <si>
    <t>Authorized OT</t>
  </si>
  <si>
    <r>
      <rPr>
        <rFont val="Arial, sans-serif"/>
        <color rgb="FF1155CC"/>
        <u/>
      </rPr>
      <t>https://4ammedia.zendesk.com/agent/tickets/243111</t>
    </r>
  </si>
  <si>
    <t>Tue</t>
  </si>
  <si>
    <t>Wed</t>
  </si>
  <si>
    <t>Thu</t>
  </si>
  <si>
    <t>Fri</t>
  </si>
  <si>
    <t>Sat</t>
  </si>
  <si>
    <t>Sun</t>
  </si>
  <si>
    <r>
      <rPr>
        <rFont val="Arial, sans-serif"/>
        <color rgb="FF1155CC"/>
        <u/>
      </rPr>
      <t>https://4ammedia.zendesk.com/agent/tickets/243182</t>
    </r>
  </si>
  <si>
    <r>
      <rPr>
        <rFont val="Arial, sans-serif"/>
        <color rgb="FF1155CC"/>
        <u/>
      </rPr>
      <t>https://4ammedia.zendesk.com/agent/tickets/243211</t>
    </r>
  </si>
  <si>
    <t>WEEK: February 16 ,2026 - February 22,2026</t>
  </si>
  <si>
    <r>
      <rPr>
        <rFont val="Arial, sans-serif"/>
        <color rgb="FF1155CC"/>
        <u/>
      </rPr>
      <t>https://4ammedia.zendesk.com/agent/tickets/245506</t>
    </r>
  </si>
  <si>
    <t>WEEK: February 9 - February 15</t>
  </si>
  <si>
    <t>WEEK: February 16 ,2026 - February 23,2026</t>
  </si>
  <si>
    <r>
      <rPr>
        <rFont val="Arial, sans-serif"/>
        <color rgb="FF1155CC"/>
        <u/>
      </rPr>
      <t>https://4ammedia.zendesk.com/agent/tickets/245639</t>
    </r>
  </si>
  <si>
    <r>
      <rPr>
        <rFont val="Arial, sans-serif"/>
        <color rgb="FF1155CC"/>
        <u/>
      </rPr>
      <t>https://4ammedia.zendesk.com/agent/tickets/245709</t>
    </r>
  </si>
  <si>
    <t xml:space="preserve">Week (July 27, -  Aug 2,2026) </t>
  </si>
  <si>
    <r>
      <rPr>
        <rFont val="Arial, sans-serif"/>
        <color rgb="FF1155CC"/>
        <u/>
      </rPr>
      <t>https://4ammedia.zendesk.com/agent/tickets/250140</t>
    </r>
  </si>
  <si>
    <r>
      <rPr>
        <rFont val="Arial, sans-serif"/>
        <color rgb="FF1155CC"/>
        <u/>
      </rPr>
      <t>https://4ammedia.zendesk.com/agent/tickets/250346</t>
    </r>
  </si>
  <si>
    <t>TRAINING</t>
  </si>
  <si>
    <r>
      <rPr>
        <rFont val="Arial"/>
        <b/>
        <color theme="1"/>
      </rPr>
      <t xml:space="preserve">QA JACKY
SCORE
</t>
    </r>
    <r>
      <rPr>
        <rFont val="Arial"/>
        <b/>
        <i/>
        <color theme="1"/>
      </rPr>
      <t>30%</t>
    </r>
  </si>
  <si>
    <r>
      <rPr>
        <rFont val="Arial"/>
        <b/>
        <color theme="1"/>
      </rPr>
      <t xml:space="preserve">QA TL
SCORE
</t>
    </r>
    <r>
      <rPr>
        <rFont val="Arial"/>
        <b/>
        <i/>
        <color theme="1"/>
      </rPr>
      <t>10%</t>
    </r>
  </si>
  <si>
    <r>
      <rPr>
        <rFont val="Arial, sans-serif"/>
        <color rgb="FF1155CC"/>
        <u/>
      </rPr>
      <t>https://4ammedia.zendesk.com/agent/tickets/250375</t>
    </r>
  </si>
  <si>
    <r>
      <rPr>
        <rFont val="Arial, sans-serif"/>
        <color rgb="FF1155CC"/>
        <u/>
      </rPr>
      <t>https://4ammedia.zendesk.com/agent/tickets/252375</t>
    </r>
  </si>
  <si>
    <r>
      <rPr>
        <rFont val="Arial, sans-serif"/>
        <color rgb="FF1155CC"/>
        <u/>
      </rPr>
      <t>https://4ammedia.zendesk.com/agent/tickets/252480</t>
    </r>
  </si>
  <si>
    <r>
      <rPr>
        <rFont val="Arial, sans-serif"/>
        <color rgb="FF1155CC"/>
        <u/>
      </rPr>
      <t>https://4ammedia.zendesk.com/agent/tickets/252489</t>
    </r>
  </si>
  <si>
    <t>108</t>
  </si>
  <si>
    <t>166</t>
  </si>
  <si>
    <t>153</t>
  </si>
  <si>
    <t>120</t>
  </si>
  <si>
    <t>99</t>
  </si>
  <si>
    <t>106</t>
  </si>
  <si>
    <t>165</t>
  </si>
  <si>
    <t>98</t>
  </si>
  <si>
    <r>
      <rPr>
        <rFont val="Arial, sans-serif"/>
        <color rgb="FF1155CC"/>
        <u/>
      </rPr>
      <t>https://4ammedia.zendesk.com/agent/tickets/254509</t>
    </r>
  </si>
  <si>
    <t>WEEK: August 31,2026 - September 6,2026</t>
  </si>
  <si>
    <r>
      <rPr>
        <rFont val="Arial, sans-serif"/>
        <color rgb="FF1155CC"/>
        <u/>
      </rPr>
      <t>https://4ammedia.zendesk.com/agent/tickets/254705</t>
    </r>
  </si>
  <si>
    <r>
      <rPr>
        <rFont val="Arial, sans-serif"/>
        <color rgb="FF1155CC"/>
        <u/>
      </rPr>
      <t>https://4ammedia.zendesk.com/agent/tickets/254848</t>
    </r>
  </si>
  <si>
    <r>
      <rPr>
        <rFont val="Arial, sans-serif"/>
        <color rgb="FF1155CC"/>
        <u/>
      </rPr>
      <t>https://4ammedia.zendesk.com/agent/tickets/256155</t>
    </r>
  </si>
  <si>
    <r>
      <rPr>
        <rFont val="Arial, sans-serif"/>
        <color rgb="FF1155CC"/>
        <u/>
      </rPr>
      <t>https://4ammedia.zendesk.com/agent/tickets/256208</t>
    </r>
  </si>
  <si>
    <r>
      <rPr>
        <rFont val="Arial, sans-serif"/>
        <color rgb="FF1155CC"/>
        <u/>
      </rPr>
      <t>https://4ammedia.zendesk.com/agent/tickets/256468</t>
    </r>
  </si>
  <si>
    <r>
      <rPr>
        <rFont val="Arial, sans-serif"/>
        <color rgb="FF1155CC"/>
        <u/>
      </rPr>
      <t>https://4ammedia.zendesk.com/agent/tickets/258703</t>
    </r>
  </si>
  <si>
    <r>
      <rPr>
        <rFont val="Arial, sans-serif"/>
        <color rgb="FF1155CC"/>
        <u/>
      </rPr>
      <t>https://4ammedia.zendesk.com/agent/tickets/258745</t>
    </r>
  </si>
  <si>
    <t>WEEK: February 23 ,2026 - March 1,2026</t>
  </si>
  <si>
    <r>
      <rPr>
        <rFont val="Arial, sans-serif"/>
        <color rgb="FF1155CC"/>
        <u/>
      </rPr>
      <t>https://4ammedia.zendesk.com/agent/tickets/258778</t>
    </r>
  </si>
  <si>
    <t xml:space="preserve">Week (Aug 3, -  Aug 9,2026) </t>
  </si>
  <si>
    <r>
      <rPr>
        <rFont val="Arial, sans-serif"/>
        <color rgb="FF1155CC"/>
        <u/>
      </rPr>
      <t>https://4ammedia.zendesk.com/agent/tickets/263704</t>
    </r>
  </si>
  <si>
    <r>
      <rPr>
        <rFont val="Arial, sans-serif"/>
        <color rgb="FF1155CC"/>
        <u/>
      </rPr>
      <t>https://4ammedia.zendesk.com/agent/tickets/263960</t>
    </r>
  </si>
  <si>
    <r>
      <rPr>
        <rFont val="Arial, sans-serif"/>
        <color rgb="FF1155CC"/>
        <u/>
      </rPr>
      <t>https://4ammedia.zendesk.com/agent/tickets/264061</t>
    </r>
  </si>
  <si>
    <r>
      <rPr>
        <rFont val="Arial, sans-serif"/>
        <color rgb="FF1155CC"/>
        <u/>
      </rPr>
      <t>https://4ammedia.zendesk.com/agent/tickets/266030</t>
    </r>
  </si>
  <si>
    <r>
      <rPr>
        <rFont val="Arial, sans-serif"/>
        <color rgb="FF1155CC"/>
        <u/>
      </rPr>
      <t>https://4ammedia.zendesk.com/agent/tickets/266363</t>
    </r>
  </si>
  <si>
    <r>
      <rPr>
        <rFont val="Arial, sans-serif"/>
        <color rgb="FF1155CC"/>
        <u/>
      </rPr>
      <t>https://4ammedia.zendesk.com/agent/tickets/266418</t>
    </r>
  </si>
  <si>
    <t>LYRA ATTENDANCE</t>
  </si>
  <si>
    <t>Total Work Hours</t>
  </si>
  <si>
    <r>
      <rPr>
        <rFont val="Arial, sans-serif"/>
        <color rgb="FF1155CC"/>
        <u/>
      </rPr>
      <t>https://4ammedia.zendesk.com/agent/tickets/267920</t>
    </r>
  </si>
  <si>
    <t>WEEK: February 16 - February 22</t>
  </si>
  <si>
    <t>121</t>
  </si>
  <si>
    <t>116</t>
  </si>
  <si>
    <t>145</t>
  </si>
  <si>
    <t>127</t>
  </si>
  <si>
    <t>150</t>
  </si>
  <si>
    <t>102</t>
  </si>
  <si>
    <t>123</t>
  </si>
  <si>
    <t>149</t>
  </si>
  <si>
    <t>100</t>
  </si>
  <si>
    <r>
      <rPr>
        <rFont val="Arial, sans-serif"/>
        <color rgb="FF1155CC"/>
        <u/>
      </rPr>
      <t>https://4ammedia.zendesk.com/agent/tickets/268016</t>
    </r>
  </si>
  <si>
    <r>
      <rPr>
        <rFont val="Arial, sans-serif"/>
        <color rgb="FF1155CC"/>
        <u/>
      </rPr>
      <t>https://4ammedia.zendesk.com/agent/tickets/268066</t>
    </r>
  </si>
  <si>
    <r>
      <rPr>
        <rFont val="Arial"/>
        <b/>
        <color theme="1"/>
      </rPr>
      <t xml:space="preserve">QA JACKY
SCORE
</t>
    </r>
    <r>
      <rPr>
        <rFont val="Arial"/>
        <b/>
        <i/>
        <color theme="1"/>
      </rPr>
      <t>30%</t>
    </r>
  </si>
  <si>
    <r>
      <rPr>
        <rFont val="Arial"/>
        <b/>
        <color theme="1"/>
      </rPr>
      <t xml:space="preserve">QA TL
SCORE
</t>
    </r>
    <r>
      <rPr>
        <rFont val="Arial"/>
        <b/>
        <i/>
        <color theme="1"/>
      </rPr>
      <t>10%</t>
    </r>
  </si>
  <si>
    <r>
      <rPr>
        <rFont val="Arial, sans-serif"/>
        <color rgb="FF1155CC"/>
        <u/>
      </rPr>
      <t>https://4ammedia.zendesk.com/agent/tickets/270012</t>
    </r>
  </si>
  <si>
    <r>
      <rPr>
        <rFont val="Arial, sans-serif"/>
        <color rgb="FF1155CC"/>
        <u/>
      </rPr>
      <t>https://4ammedia.zendesk.com/agent/tickets/270169</t>
    </r>
  </si>
  <si>
    <r>
      <rPr>
        <rFont val="Arial, sans-serif"/>
        <color rgb="FF1155CC"/>
        <u/>
      </rPr>
      <t>https://4ammedia.zendesk.com/agent/tickets/270176</t>
    </r>
  </si>
  <si>
    <r>
      <rPr>
        <rFont val="Arial, sans-serif"/>
        <color rgb="FF1155CC"/>
        <u/>
      </rPr>
      <t>https://4ammedia.zendesk.com/agent/tickets/271080</t>
    </r>
  </si>
  <si>
    <r>
      <rPr>
        <rFont val="Arial, sans-serif"/>
        <color rgb="FF1155CC"/>
        <u/>
      </rPr>
      <t>https://4ammedia.zendesk.com/agent/tickets/271192</t>
    </r>
  </si>
  <si>
    <t>WEEK: September 7,2026 - September 13,2026</t>
  </si>
  <si>
    <r>
      <rPr>
        <rFont val="Arial, sans-serif"/>
        <color rgb="FF1155CC"/>
        <u/>
      </rPr>
      <t>https://4ammedia.zendesk.com/agent/tickets/271253</t>
    </r>
  </si>
  <si>
    <t>Unauthorized offline hours on AC during OT Shift - this falls under negligence</t>
  </si>
  <si>
    <t xml:space="preserve">Week (Aug 10, -  Aug 16,2026) </t>
  </si>
  <si>
    <r>
      <rPr>
        <rFont val="Arial, sans-serif"/>
        <color rgb="FF1155CC"/>
        <u/>
      </rPr>
      <t>https://4ammedia.zendesk.com/agent/tickets/276138</t>
    </r>
  </si>
  <si>
    <t>WEEK: March 2 ,2026 - March 8,2026</t>
  </si>
  <si>
    <t>Joemica
Carino</t>
  </si>
  <si>
    <t>WEEK: March 2 ,2026 - March 9,2026</t>
  </si>
  <si>
    <r>
      <rPr>
        <rFont val="Arial, sans-serif"/>
        <color rgb="FF1155CC"/>
        <u/>
      </rPr>
      <t>https://4ammedia.zendesk.com/agent/tickets/276508</t>
    </r>
  </si>
  <si>
    <r>
      <rPr>
        <rFont val="Arial, sans-serif"/>
        <color rgb="FF1155CC"/>
        <u/>
      </rPr>
      <t>https://4ammedia.zendesk.com/agent/tickets/276705</t>
    </r>
  </si>
  <si>
    <r>
      <rPr>
        <rFont val="Arial, sans-serif"/>
        <color rgb="FF1155CC"/>
        <u/>
      </rPr>
      <t>https://4ammedia.zendesk.com/agent/tickets/278659</t>
    </r>
  </si>
  <si>
    <r>
      <rPr>
        <rFont val="Arial, sans-serif"/>
        <color rgb="FF1155CC"/>
        <u/>
      </rPr>
      <t>https://4ammedia.zendesk.com/agent/tickets/278758</t>
    </r>
  </si>
  <si>
    <r>
      <rPr>
        <rFont val="Arial, sans-serif"/>
        <color rgb="FF1155CC"/>
        <u/>
      </rPr>
      <t>https://4ammedia.zendesk.com/agent/tickets/278946</t>
    </r>
  </si>
  <si>
    <r>
      <rPr>
        <rFont val="Arial, sans-serif"/>
        <color rgb="FF1155CC"/>
        <u/>
      </rPr>
      <t>https://4ammedia.zendesk.com/agent/tickets/280541</t>
    </r>
  </si>
  <si>
    <r>
      <rPr>
        <rFont val="Arial, sans-serif"/>
        <color rgb="FF1155CC"/>
        <u/>
      </rPr>
      <t>https://4ammedia.zendesk.com/agent/tickets/280603</t>
    </r>
  </si>
  <si>
    <r>
      <rPr>
        <rFont val="Arial, sans-serif"/>
        <color rgb="FF1155CC"/>
        <u/>
      </rPr>
      <t>https://4ammedia.zendesk.com/agent/tickets/280670</t>
    </r>
  </si>
  <si>
    <r>
      <rPr>
        <rFont val="Arial, sans-serif"/>
        <color rgb="FF1155CC"/>
        <u/>
      </rPr>
      <t>https://4ammedia.zendesk.com/agent/tickets/282613</t>
    </r>
  </si>
  <si>
    <r>
      <rPr>
        <rFont val="Arial, sans-serif"/>
        <color rgb="FF1155CC"/>
        <u/>
      </rPr>
      <t>https://4ammedia.zendesk.com/agent/tickets/282712</t>
    </r>
  </si>
  <si>
    <r>
      <rPr>
        <rFont val="Arial, sans-serif"/>
        <color rgb="FF1155CC"/>
        <u/>
      </rPr>
      <t>https://4ammedia.zendesk.com/agent/tickets/282803</t>
    </r>
  </si>
  <si>
    <r>
      <rPr>
        <rFont val="Arial, sans-serif"/>
        <color rgb="FF1155CC"/>
        <u/>
      </rPr>
      <t>https://4ammedia.zendesk.com/agent/tickets/284155</t>
    </r>
  </si>
  <si>
    <r>
      <rPr>
        <rFont val="Arial, sans-serif"/>
        <color rgb="FF1155CC"/>
        <u/>
      </rPr>
      <t>https://4ammedia.zendesk.com/agent/tickets/284331</t>
    </r>
  </si>
  <si>
    <r>
      <rPr>
        <rFont val="Arial, sans-serif"/>
        <color rgb="FF1155CC"/>
        <u/>
      </rPr>
      <t>https://4ammedia.zendesk.com/agent/tickets/284348</t>
    </r>
  </si>
  <si>
    <r>
      <rPr>
        <rFont val="Arial"/>
        <b/>
        <color theme="1"/>
      </rPr>
      <t xml:space="preserve">QA JACKY
SCORE
</t>
    </r>
    <r>
      <rPr>
        <rFont val="Arial"/>
        <b/>
        <i/>
        <color theme="1"/>
      </rPr>
      <t>30%</t>
    </r>
  </si>
  <si>
    <r>
      <rPr>
        <rFont val="Arial"/>
        <b/>
        <color theme="1"/>
      </rPr>
      <t xml:space="preserve">QA TL
SCORE
</t>
    </r>
    <r>
      <rPr>
        <rFont val="Arial"/>
        <b/>
        <i/>
        <color theme="1"/>
      </rPr>
      <t>10%</t>
    </r>
  </si>
  <si>
    <t xml:space="preserve">Week (Aug 17, -  Aug 23,2026) </t>
  </si>
  <si>
    <r>
      <rPr>
        <rFont val="Arial, sans-serif"/>
        <color rgb="FF1155CC"/>
        <u/>
      </rPr>
      <t>https://4ammedia.zendesk.com/agent/tickets/289277</t>
    </r>
  </si>
  <si>
    <t>168</t>
  </si>
  <si>
    <t>15</t>
  </si>
  <si>
    <t>111</t>
  </si>
  <si>
    <t>152</t>
  </si>
  <si>
    <t>112</t>
  </si>
  <si>
    <t>179</t>
  </si>
  <si>
    <t>101</t>
  </si>
  <si>
    <r>
      <rPr>
        <rFont val="Arial, sans-serif"/>
        <color rgb="FF1155CC"/>
        <u/>
      </rPr>
      <t>https://4ammedia.zendesk.com/agent/tickets/289679</t>
    </r>
  </si>
  <si>
    <t>WEEK: September 14,2026 - September 20,2026</t>
  </si>
  <si>
    <r>
      <rPr>
        <rFont val="Arial, sans-serif"/>
        <color rgb="FF1155CC"/>
        <u/>
      </rPr>
      <t>https://4ammedia.zendesk.com/agent/tickets/289716</t>
    </r>
  </si>
  <si>
    <t>WEEK: February 23 - March 1, 2026</t>
  </si>
  <si>
    <t>Daily Call Productivity Record</t>
  </si>
  <si>
    <r>
      <rPr>
        <rFont val="Arial, sans-serif"/>
        <color rgb="FF1155CC"/>
        <u/>
      </rPr>
      <t>https://4ammedia.zendesk.com/agent/tickets/291481</t>
    </r>
  </si>
  <si>
    <r>
      <rPr>
        <rFont val="Arial, sans-serif"/>
        <color rgb="FF1155CC"/>
        <u/>
      </rPr>
      <t>https://4ammedia.zendesk.com/agent/tickets/291653</t>
    </r>
  </si>
  <si>
    <r>
      <rPr>
        <rFont val="Arial, sans-serif"/>
        <color rgb="FF1155CC"/>
        <u/>
      </rPr>
      <t>https://4ammedia.zendesk.com/agent/tickets/291701</t>
    </r>
  </si>
  <si>
    <r>
      <rPr>
        <rFont val="Arial, sans-serif"/>
        <color rgb="FF1155CC"/>
        <u/>
      </rPr>
      <t>https://4ammedia.zendesk.com/agent/tickets/293778</t>
    </r>
  </si>
  <si>
    <r>
      <rPr>
        <rFont val="Arial, sans-serif"/>
        <color rgb="FF1155CC"/>
        <u/>
      </rPr>
      <t>https://4ammedia.zendesk.com/agent/tickets/293947</t>
    </r>
  </si>
  <si>
    <r>
      <rPr>
        <rFont val="Arial, sans-serif"/>
        <color rgb="FF1155CC"/>
        <u/>
      </rPr>
      <t>https://4ammedia.zendesk.com/agent/tickets/293964</t>
    </r>
  </si>
  <si>
    <r>
      <rPr>
        <rFont val="Arial, sans-serif"/>
        <color rgb="FF1155CC"/>
        <u/>
      </rPr>
      <t>https://4ammedia.zendesk.com/agent/tickets/295514</t>
    </r>
  </si>
  <si>
    <r>
      <rPr>
        <rFont val="Arial, sans-serif"/>
        <color rgb="FF1155CC"/>
        <u/>
      </rPr>
      <t>https://4ammedia.zendesk.com/agent/tickets/295615</t>
    </r>
  </si>
  <si>
    <r>
      <rPr>
        <rFont val="Arial, sans-serif"/>
        <color rgb="FF1155CC"/>
        <u/>
      </rPr>
      <t>https://4ammedia.zendesk.com/agent/tickets/295644</t>
    </r>
  </si>
  <si>
    <t>TRIAL STAGE</t>
  </si>
  <si>
    <t>WEEK: March 9 ,2026 - March 15,2026</t>
  </si>
  <si>
    <r>
      <rPr>
        <rFont val="Arial, sans-serif"/>
        <color rgb="FF1155CC"/>
        <u/>
      </rPr>
      <t>https://4ammedia.zendesk.com/agent/tickets/299236</t>
    </r>
  </si>
  <si>
    <r>
      <rPr>
        <rFont val="Arial, sans-serif"/>
        <color rgb="FF1155CC"/>
        <u/>
      </rPr>
      <t>https://4ammedia.zendesk.com/agent/tickets/299521</t>
    </r>
  </si>
  <si>
    <r>
      <rPr>
        <rFont val="Arial, sans-serif"/>
        <color rgb="FF1155CC"/>
        <u/>
      </rPr>
      <t>https://4ammedia.zendesk.com/agent/tickets/299595</t>
    </r>
  </si>
  <si>
    <t>Daily Email Support Productivity Record</t>
  </si>
  <si>
    <t xml:space="preserve">Week (Aug 24, -  Aug 30,2026) </t>
  </si>
  <si>
    <r>
      <rPr>
        <rFont val="Arial, sans-serif"/>
        <color rgb="FF1155CC"/>
        <u/>
      </rPr>
      <t>https://4ammedia.zendesk.com/agent/tickets/301859</t>
    </r>
  </si>
  <si>
    <r>
      <rPr>
        <rFont val="Arial, sans-serif"/>
        <color rgb="FF1155CC"/>
        <u/>
      </rPr>
      <t>https://4ammedia.zendesk.com/agent/tickets/301939</t>
    </r>
  </si>
  <si>
    <t>NON OHA Weekly Call Stats</t>
  </si>
  <si>
    <r>
      <rPr>
        <rFont val="Arial, sans-serif"/>
        <color rgb="FF1155CC"/>
        <u/>
      </rPr>
      <t>https://4ammedia.zendesk.com/agent/tickets/302157</t>
    </r>
  </si>
  <si>
    <r>
      <rPr>
        <rFont val="Arial, sans-serif"/>
        <color rgb="FF1155CC"/>
        <u/>
      </rPr>
      <t>https://4ammedia.zendesk.com/agent/tickets/304626</t>
    </r>
  </si>
  <si>
    <r>
      <rPr>
        <rFont val="Arial, sans-serif"/>
        <color rgb="FF1155CC"/>
        <u/>
      </rPr>
      <t>https://4ammedia.zendesk.com/agent/tickets/304823</t>
    </r>
  </si>
  <si>
    <r>
      <rPr>
        <rFont val="Arial, sans-serif"/>
        <color rgb="FF1155CC"/>
        <u/>
      </rPr>
      <t>https://4ammedia.zendesk.com/agent/tickets/304903</t>
    </r>
  </si>
  <si>
    <r>
      <rPr>
        <rFont val="Arial, sans-serif"/>
        <color rgb="FF1155CC"/>
        <u/>
      </rPr>
      <t>https://4ammedia.zendesk.com/agent/tickets/306732</t>
    </r>
  </si>
  <si>
    <t>156</t>
  </si>
  <si>
    <t>94</t>
  </si>
  <si>
    <t>72</t>
  </si>
  <si>
    <t>93</t>
  </si>
  <si>
    <r>
      <rPr>
        <rFont val="Arial, sans-serif"/>
        <color rgb="FF1155CC"/>
        <u/>
      </rPr>
      <t>https://4ammedia.zendesk.com/agent/tickets/306864</t>
    </r>
  </si>
  <si>
    <t>OHA Weekly Call Stats</t>
  </si>
  <si>
    <t>70</t>
  </si>
  <si>
    <r>
      <rPr>
        <rFont val="Arial, sans-serif"/>
        <color rgb="FF1155CC"/>
        <u/>
      </rPr>
      <t>https://4ammedia.zendesk.com/agent/tickets/306892</t>
    </r>
  </si>
  <si>
    <r>
      <rPr>
        <rFont val="Arial, sans-serif"/>
        <color rgb="FF1155CC"/>
        <u/>
      </rPr>
      <t>https://4ammedia.zendesk.com/agent/tickets/308465</t>
    </r>
  </si>
  <si>
    <r>
      <rPr>
        <rFont val="Arial, sans-serif"/>
        <color rgb="FF1155CC"/>
        <u/>
      </rPr>
      <t>https://4ammedia.zendesk.com/agent/tickets/308609</t>
    </r>
  </si>
  <si>
    <r>
      <rPr>
        <rFont val="Arial, sans-serif"/>
        <color rgb="FF1155CC"/>
        <u/>
      </rPr>
      <t>https://4ammedia.zendesk.com/agent/tickets/308659</t>
    </r>
  </si>
  <si>
    <r>
      <rPr>
        <rFont val="Arial, sans-serif"/>
        <color rgb="FF1155CC"/>
        <u/>
      </rPr>
      <t>https://4ammedia.zendesk.com/agent/tickets/313899</t>
    </r>
  </si>
  <si>
    <r>
      <rPr>
        <rFont val="Arial, sans-serif"/>
        <color rgb="FF1155CC"/>
        <u/>
      </rPr>
      <t>https://4ammedia.zendesk.com/agent/tickets/313929</t>
    </r>
  </si>
  <si>
    <r>
      <rPr>
        <rFont val="Arial"/>
        <b/>
        <color theme="1"/>
      </rPr>
      <t xml:space="preserve">QA JACKY
SCORE
</t>
    </r>
    <r>
      <rPr>
        <rFont val="Arial"/>
        <b/>
        <i/>
        <color theme="1"/>
      </rPr>
      <t>30%</t>
    </r>
  </si>
  <si>
    <r>
      <rPr>
        <rFont val="Arial"/>
        <b/>
        <color theme="1"/>
      </rPr>
      <t xml:space="preserve">QA TL
SCORE
</t>
    </r>
    <r>
      <rPr>
        <rFont val="Arial"/>
        <b/>
        <i/>
        <color theme="1"/>
      </rPr>
      <t>10%</t>
    </r>
  </si>
  <si>
    <t>WEEK: March 2 - March 8, 2026</t>
  </si>
  <si>
    <r>
      <rPr>
        <rFont val="Arial, sans-serif"/>
        <color rgb="FF1155CC"/>
        <u/>
      </rPr>
      <t>https://4ammedia.zendesk.com/agent/tickets/314072</t>
    </r>
  </si>
  <si>
    <t xml:space="preserve">Week (Aug 31, -  Sep 6,2026) </t>
  </si>
  <si>
    <r>
      <rPr>
        <rFont val="Arial, sans-serif"/>
        <color rgb="FF1155CC"/>
        <u/>
      </rPr>
      <t>https://4ammedia.zendesk.com/agent/tickets/315782</t>
    </r>
  </si>
  <si>
    <t>WEEK: March 16 ,2026 - March 22,2026</t>
  </si>
  <si>
    <r>
      <rPr>
        <rFont val="Arial, sans-serif"/>
        <color rgb="FF1155CC"/>
        <u/>
      </rPr>
      <t>https://4ammedia.zendesk.com/agent/tickets/316015</t>
    </r>
  </si>
  <si>
    <t>WEEK: September 21,2026 - September 27,2026</t>
  </si>
  <si>
    <t>Joamica Carino</t>
  </si>
  <si>
    <r>
      <rPr>
        <rFont val="Arial, sans-serif"/>
        <color rgb="FF1155CC"/>
        <u/>
      </rPr>
      <t>https://4ammedia.zendesk.com/agent/tickets/316138</t>
    </r>
  </si>
  <si>
    <r>
      <rPr>
        <rFont val="Arial, sans-serif"/>
        <color rgb="FF1155CC"/>
        <u/>
      </rPr>
      <t>https://4ammedia.zendesk.com/agent/tickets/320398</t>
    </r>
  </si>
  <si>
    <r>
      <rPr>
        <rFont val="Arial, sans-serif"/>
        <color rgb="FF1155CC"/>
        <u/>
      </rPr>
      <t>https://4ammedia.zendesk.com/agent/tickets/320512</t>
    </r>
  </si>
  <si>
    <r>
      <rPr>
        <rFont val="Arial, sans-serif"/>
        <color rgb="FF1155CC"/>
        <u/>
      </rPr>
      <t>https://4ammedia.zendesk.com/agent/tickets/320712</t>
    </r>
  </si>
  <si>
    <r>
      <rPr>
        <rFont val="Arial, sans-serif"/>
        <color rgb="FF1155CC"/>
        <u/>
      </rPr>
      <t>https://4ammedia.zendesk.com/agent/tickets/322912</t>
    </r>
  </si>
  <si>
    <r>
      <rPr>
        <rFont val="Arial, sans-serif"/>
        <color rgb="FF1155CC"/>
        <u/>
      </rPr>
      <t>https://4ammedia.zendesk.com/agent/tickets/323048</t>
    </r>
  </si>
  <si>
    <r>
      <rPr>
        <rFont val="Arial, sans-serif"/>
        <color rgb="FF1155CC"/>
        <u/>
      </rPr>
      <t>https://4ammedia.zendesk.com/agent/tickets/323083</t>
    </r>
  </si>
  <si>
    <r>
      <rPr>
        <rFont val="Arial, sans-serif"/>
        <color rgb="FF1155CC"/>
        <u/>
      </rPr>
      <t>https://4ammedia.zendesk.com/agent/tickets/325111</t>
    </r>
  </si>
  <si>
    <r>
      <rPr>
        <rFont val="Arial, sans-serif"/>
        <color rgb="FF1155CC"/>
        <u/>
      </rPr>
      <t>https://4ammedia.zendesk.com/agent/tickets/325204</t>
    </r>
  </si>
  <si>
    <r>
      <rPr>
        <rFont val="Arial, sans-serif"/>
        <color rgb="FF1155CC"/>
        <u/>
      </rPr>
      <t>https://4ammedia.zendesk.com/agent/tickets/325283</t>
    </r>
  </si>
  <si>
    <r>
      <rPr>
        <rFont val="Arial, sans-serif"/>
        <color rgb="FF1155CC"/>
        <u/>
      </rPr>
      <t>https://4ammedia.zendesk.com/agent/tickets/318208</t>
    </r>
  </si>
  <si>
    <r>
      <rPr>
        <rFont val="Arial, sans-serif"/>
        <color rgb="FF1155CC"/>
        <u/>
      </rPr>
      <t>https://4ammedia.zendesk.com/agent/tickets/318291</t>
    </r>
  </si>
  <si>
    <t>162</t>
  </si>
  <si>
    <t>110</t>
  </si>
  <si>
    <t>74</t>
  </si>
  <si>
    <t>133</t>
  </si>
  <si>
    <t>109</t>
  </si>
  <si>
    <t>87</t>
  </si>
  <si>
    <t>159</t>
  </si>
  <si>
    <t>86</t>
  </si>
  <si>
    <r>
      <rPr>
        <rFont val="Arial, sans-serif"/>
        <color rgb="FF1155CC"/>
        <u/>
      </rPr>
      <t>https://4ammedia.zendesk.com/agent/tickets/318644</t>
    </r>
  </si>
  <si>
    <t xml:space="preserve">Week (Sep 7 -  Sep 13,2026) </t>
  </si>
  <si>
    <r>
      <rPr>
        <rFont val="Arial, sans-serif"/>
        <color rgb="FF1155CC"/>
        <u/>
      </rPr>
      <t>https://4ammedia.zendesk.com/agent/tickets/329586</t>
    </r>
  </si>
  <si>
    <r>
      <rPr>
        <rFont val="Arial, sans-serif"/>
        <color rgb="FF1155CC"/>
        <u/>
      </rPr>
      <t>https://4ammedia.zendesk.com/agent/tickets/329898</t>
    </r>
  </si>
  <si>
    <r>
      <rPr>
        <rFont val="Arial, sans-serif"/>
        <color rgb="FF1155CC"/>
        <u/>
      </rPr>
      <t>https://4ammedia.zendesk.com/agent/tickets/329930</t>
    </r>
  </si>
  <si>
    <r>
      <rPr>
        <rFont val="Arial, sans-serif"/>
        <color rgb="FF1155CC"/>
        <u/>
      </rPr>
      <t>https://4ammedia.zendesk.com/agent/tickets/331457</t>
    </r>
  </si>
  <si>
    <r>
      <rPr>
        <rFont val="Arial, sans-serif"/>
        <color rgb="FF1155CC"/>
        <u/>
      </rPr>
      <t>https://4ammedia.zendesk.com/agent/tickets/331507</t>
    </r>
  </si>
  <si>
    <r>
      <rPr>
        <rFont val="Arial, sans-serif"/>
        <color rgb="FF1155CC"/>
        <u/>
      </rPr>
      <t>https://4ammedia.zendesk.com/agent/tickets/331705</t>
    </r>
  </si>
  <si>
    <t>WEEK: March 23 ,2026 - March 29,2026</t>
  </si>
  <si>
    <r>
      <rPr>
        <rFont val="Arial, sans-serif"/>
        <color rgb="FF1155CC"/>
        <u/>
      </rPr>
      <t>https://4ammedia.zendesk.com/agent/tickets/334479</t>
    </r>
  </si>
  <si>
    <r>
      <rPr>
        <rFont val="Arial, sans-serif"/>
        <color rgb="FF1155CC"/>
        <u/>
      </rPr>
      <t>https://4ammedia.zendesk.com/agent/tickets/334652</t>
    </r>
  </si>
  <si>
    <r>
      <rPr>
        <rFont val="Arial, sans-serif"/>
        <color rgb="FF1155CC"/>
        <u/>
      </rPr>
      <t>https://4ammedia.zendesk.com/agent/tickets/334748</t>
    </r>
  </si>
  <si>
    <t>WEEK: March 9 - March 15, 2026</t>
  </si>
  <si>
    <r>
      <rPr>
        <rFont val="Arial, sans-serif"/>
        <color rgb="FF1155CC"/>
        <u/>
      </rPr>
      <t>https://4ammedia.zendesk.com/agent/tickets/337634</t>
    </r>
  </si>
  <si>
    <r>
      <rPr>
        <rFont val="Arial"/>
        <b/>
        <color theme="1"/>
      </rPr>
      <t xml:space="preserve">QA JACKY
SCORE
</t>
    </r>
    <r>
      <rPr>
        <rFont val="Arial"/>
        <b/>
        <i/>
        <color theme="1"/>
      </rPr>
      <t>30%</t>
    </r>
  </si>
  <si>
    <r>
      <rPr>
        <rFont val="Arial"/>
        <b/>
        <color theme="1"/>
      </rPr>
      <t xml:space="preserve">QA TL
SCORE
</t>
    </r>
    <r>
      <rPr>
        <rFont val="Arial"/>
        <b/>
        <i/>
        <color theme="1"/>
      </rPr>
      <t>10%</t>
    </r>
  </si>
  <si>
    <r>
      <rPr>
        <rFont val="Arial, sans-serif"/>
        <color rgb="FF1155CC"/>
        <u/>
      </rPr>
      <t>https://4ammedia.zendesk.com/agent/tickets/337900</t>
    </r>
  </si>
  <si>
    <r>
      <rPr>
        <rFont val="Arial, sans-serif"/>
        <color rgb="FF1155CC"/>
        <u/>
      </rPr>
      <t>https://4ammedia.zendesk.com/agent/tickets/338093</t>
    </r>
  </si>
  <si>
    <r>
      <rPr>
        <rFont val="Arial, sans-serif"/>
        <color rgb="FF1155CC"/>
        <u/>
      </rPr>
      <t>https://4ammedia.zendesk.com/agent/tickets/341073</t>
    </r>
  </si>
  <si>
    <r>
      <rPr>
        <rFont val="Arial, sans-serif"/>
        <color rgb="FF1155CC"/>
        <u/>
      </rPr>
      <t>https://4ammedia.zendesk.com/agent/tickets/341327</t>
    </r>
  </si>
  <si>
    <r>
      <rPr>
        <rFont val="Arial, sans-serif"/>
        <color rgb="FF1155CC"/>
        <u/>
      </rPr>
      <t>https://4ammedia.zendesk.com/agent/tickets/341604</t>
    </r>
  </si>
  <si>
    <t>WEEK: September 28,2026 - October 4,2026</t>
  </si>
  <si>
    <t xml:space="preserve">Week (Sep 14 -  Sep 20,2026) </t>
  </si>
  <si>
    <r>
      <rPr>
        <rFont val="Arial, sans-serif"/>
        <color rgb="FF1155CC"/>
        <u/>
      </rPr>
      <t>https://4ammedia.zendesk.com/agent/tickets/350708</t>
    </r>
  </si>
  <si>
    <r>
      <rPr>
        <rFont val="Arial, sans-serif"/>
        <color rgb="FF1155CC"/>
        <u/>
      </rPr>
      <t>https://4ammedia.zendesk.com/agent/tickets/351355</t>
    </r>
  </si>
  <si>
    <r>
      <rPr>
        <rFont val="Arial, sans-serif"/>
        <color rgb="FF1155CC"/>
        <u/>
      </rPr>
      <t>https://4ammedia.zendesk.com/agent/tickets/351389</t>
    </r>
  </si>
  <si>
    <r>
      <rPr>
        <rFont val="Arial, sans-serif"/>
        <color rgb="FF1155CC"/>
        <u/>
      </rPr>
      <t>https://4ammedia.zendesk.com/agent/tickets/353337</t>
    </r>
  </si>
  <si>
    <r>
      <rPr>
        <rFont val="Arial, sans-serif"/>
        <color rgb="FF1155CC"/>
        <u/>
      </rPr>
      <t>https://4ammedia.zendesk.com/agent/tickets/353414</t>
    </r>
  </si>
  <si>
    <r>
      <rPr>
        <rFont val="Arial, sans-serif"/>
        <color rgb="FF1155CC"/>
        <u/>
      </rPr>
      <t>https://4ammedia.zendesk.com/agent/tickets/353686</t>
    </r>
  </si>
  <si>
    <t>135</t>
  </si>
  <si>
    <t>122</t>
  </si>
  <si>
    <t>103</t>
  </si>
  <si>
    <t>143</t>
  </si>
  <si>
    <r>
      <rPr>
        <rFont val="Arial, sans-serif"/>
        <color rgb="FF1155CC"/>
        <u/>
      </rPr>
      <t>https://4ammedia.zendesk.com/agent/tickets/355771</t>
    </r>
  </si>
  <si>
    <t>160</t>
  </si>
  <si>
    <t>69</t>
  </si>
  <si>
    <r>
      <rPr>
        <rFont val="Arial, sans-serif"/>
        <color rgb="FF1155CC"/>
        <u/>
      </rPr>
      <t>https://4ammedia.zendesk.com/agent/tickets/355873</t>
    </r>
  </si>
  <si>
    <r>
      <rPr>
        <rFont val="Arial, sans-serif"/>
        <color rgb="FF1155CC"/>
        <u/>
      </rPr>
      <t>https://4ammedia.zendesk.com/agent/tickets/355991</t>
    </r>
  </si>
  <si>
    <r>
      <rPr>
        <rFont val="Arial, sans-serif"/>
        <color rgb="FF1155CC"/>
        <u/>
      </rPr>
      <t>https://4ammedia.zendesk.com/agent/tickets/358587</t>
    </r>
  </si>
  <si>
    <r>
      <rPr>
        <rFont val="Arial, sans-serif"/>
        <color rgb="FF1155CC"/>
        <u/>
      </rPr>
      <t>https://4ammedia.zendesk.com/agent/tickets/358855</t>
    </r>
  </si>
  <si>
    <r>
      <rPr>
        <rFont val="Arial, sans-serif"/>
        <color rgb="FF1155CC"/>
        <u/>
      </rPr>
      <t>https://4ammedia.zendesk.com/agent/tickets/358908</t>
    </r>
  </si>
  <si>
    <r>
      <rPr>
        <rFont val="Arial, sans-serif"/>
        <color rgb="FF1155CC"/>
        <u/>
      </rPr>
      <t>https://4ammedia.zendesk.com/agent/tickets/361290</t>
    </r>
  </si>
  <si>
    <r>
      <rPr>
        <rFont val="Arial, sans-serif"/>
        <color rgb="FF1155CC"/>
        <u/>
      </rPr>
      <t>https://4ammedia.zendesk.com/agent/tickets/361631</t>
    </r>
  </si>
  <si>
    <r>
      <rPr>
        <rFont val="Arial, sans-serif"/>
        <color rgb="FF1155CC"/>
        <u/>
      </rPr>
      <t>https://4ammedia.zendesk.com/agent/tickets/361912</t>
    </r>
  </si>
  <si>
    <t xml:space="preserve">Week (Sep 21 -  Sep 27,2026) </t>
  </si>
  <si>
    <r>
      <rPr>
        <rFont val="Arial, sans-serif"/>
        <color rgb="FF1155CC"/>
        <u/>
      </rPr>
      <t>https://4ammedia.zendesk.com/agent/tickets/369509</t>
    </r>
  </si>
  <si>
    <r>
      <rPr>
        <rFont val="Arial, sans-serif"/>
        <color rgb="FF1155CC"/>
        <u/>
      </rPr>
      <t>https://4ammedia.zendesk.com/agent/tickets/370109</t>
    </r>
  </si>
  <si>
    <r>
      <rPr>
        <rFont val="Arial, sans-serif"/>
        <color rgb="FF1155CC"/>
        <u/>
      </rPr>
      <t>https://4ammedia.zendesk.com/agent/tickets/370616</t>
    </r>
  </si>
  <si>
    <r>
      <rPr>
        <rFont val="Arial, sans-serif"/>
        <color rgb="FF1155CC"/>
        <u/>
      </rPr>
      <t>https://4ammedia.zendesk.com/agent/tickets/373716</t>
    </r>
  </si>
  <si>
    <t>WEEK: March 30 ,2026 - April 5,2026</t>
  </si>
  <si>
    <r>
      <rPr>
        <rFont val="Arial, sans-serif"/>
        <color rgb="FF1155CC"/>
        <u/>
      </rPr>
      <t>https://4ammedia.zendesk.com/agent/tickets/373957</t>
    </r>
  </si>
  <si>
    <r>
      <rPr>
        <rFont val="Arial, sans-serif"/>
        <color rgb="FF1155CC"/>
        <u/>
      </rPr>
      <t>https://4ammedia.zendesk.com/agent/tickets/374208</t>
    </r>
  </si>
  <si>
    <r>
      <rPr>
        <rFont val="Arial, sans-serif"/>
        <color rgb="FF1155CC"/>
        <u/>
      </rPr>
      <t>https://4ammedia.zendesk.com/agent/tickets/376154</t>
    </r>
  </si>
  <si>
    <r>
      <rPr>
        <rFont val="Arial, sans-serif"/>
        <color rgb="FF1155CC"/>
        <u/>
      </rPr>
      <t>https://4ammedia.zendesk.com/agent/tickets/376347</t>
    </r>
  </si>
  <si>
    <r>
      <rPr>
        <rFont val="Arial"/>
        <b/>
        <color theme="1"/>
      </rPr>
      <t xml:space="preserve">QA JACKY
SCORE
</t>
    </r>
    <r>
      <rPr>
        <rFont val="Arial"/>
        <b/>
        <i/>
        <color theme="1"/>
      </rPr>
      <t>30%</t>
    </r>
  </si>
  <si>
    <r>
      <rPr>
        <rFont val="Arial"/>
        <b/>
        <color theme="1"/>
      </rPr>
      <t xml:space="preserve">QA TL
SCORE
</t>
    </r>
    <r>
      <rPr>
        <rFont val="Arial"/>
        <b/>
        <i/>
        <color theme="1"/>
      </rPr>
      <t>10%</t>
    </r>
  </si>
  <si>
    <r>
      <rPr>
        <rFont val="Arial, sans-serif"/>
        <color rgb="FF1155CC"/>
        <u/>
      </rPr>
      <t>https://4ammedia.zendesk.com/agent/tickets/376604</t>
    </r>
  </si>
  <si>
    <r>
      <rPr>
        <rFont val="Arial, sans-serif"/>
        <color rgb="FF1155CC"/>
        <u/>
      </rPr>
      <t>https://4ammedia.zendesk.com/agent/tickets/379587</t>
    </r>
  </si>
  <si>
    <r>
      <rPr>
        <rFont val="Arial, sans-serif"/>
        <color rgb="FF1155CC"/>
        <u/>
      </rPr>
      <t>https://4ammedia.zendesk.com/agent/tickets/379628</t>
    </r>
  </si>
  <si>
    <t>WEEK: March 16 - March 22, 2026</t>
  </si>
  <si>
    <r>
      <rPr>
        <rFont val="Arial, sans-serif"/>
        <color rgb="FF1155CC"/>
        <u/>
      </rPr>
      <t>https://4ammedia.zendesk.com/agent/tickets/379780</t>
    </r>
  </si>
  <si>
    <r>
      <rPr>
        <rFont val="Arial, sans-serif"/>
        <color rgb="FF1155CC"/>
        <u/>
      </rPr>
      <t>https://4ammedia.zendesk.com/agent/tickets/382569</t>
    </r>
  </si>
  <si>
    <t>WEEK: October 5,2026 - October 11,2026</t>
  </si>
  <si>
    <r>
      <rPr>
        <rFont val="Arial, sans-serif"/>
        <color rgb="FF1155CC"/>
        <u/>
      </rPr>
      <t>https://4ammedia.zendesk.com/agent/tickets/382730</t>
    </r>
  </si>
  <si>
    <r>
      <rPr>
        <rFont val="Arial, sans-serif"/>
        <color rgb="FF1155CC"/>
        <u/>
      </rPr>
      <t>https://4ammedia.zendesk.com/agent/tickets/382765</t>
    </r>
  </si>
  <si>
    <t xml:space="preserve">Week (Sep 28 -  Oct 4,2026) </t>
  </si>
  <si>
    <r>
      <rPr>
        <rFont val="Arial, sans-serif"/>
        <color rgb="FF1155CC"/>
        <u/>
      </rPr>
      <t>https://4ammedia.zendesk.com/agent/tickets/389769</t>
    </r>
  </si>
  <si>
    <r>
      <rPr>
        <rFont val="Arial, sans-serif"/>
        <color rgb="FF1155CC"/>
        <u/>
      </rPr>
      <t>https://4ammedia.zendesk.com/agent/tickets/390067</t>
    </r>
  </si>
  <si>
    <r>
      <rPr>
        <rFont val="Arial, sans-serif"/>
        <color rgb="FF1155CC"/>
        <u/>
      </rPr>
      <t>https://4ammedia.zendesk.com/agent/tickets/390155</t>
    </r>
  </si>
  <si>
    <t>105</t>
  </si>
  <si>
    <t>114</t>
  </si>
  <si>
    <t>67</t>
  </si>
  <si>
    <t>107</t>
  </si>
  <si>
    <t>85</t>
  </si>
  <si>
    <t>79</t>
  </si>
  <si>
    <t>66</t>
  </si>
  <si>
    <r>
      <rPr>
        <rFont val="Arial, sans-serif"/>
        <color rgb="FF1155CC"/>
        <u/>
      </rPr>
      <t>https://4ammedia.zendesk.com/agent/tickets/393284</t>
    </r>
  </si>
  <si>
    <r>
      <rPr>
        <rFont val="Arial, sans-serif"/>
        <color rgb="FF1155CC"/>
        <u/>
      </rPr>
      <t>https://4ammedia.zendesk.com/agent/tickets/393541</t>
    </r>
  </si>
  <si>
    <r>
      <rPr>
        <rFont val="Arial, sans-serif"/>
        <color rgb="FF1155CC"/>
        <u/>
      </rPr>
      <t>https://4ammedia.zendesk.com/agent/tickets/393620</t>
    </r>
  </si>
  <si>
    <r>
      <rPr>
        <rFont val="Arial, sans-serif"/>
        <color rgb="FF1155CC"/>
        <u/>
      </rPr>
      <t>https://4ammedia.zendesk.com/agent/tickets/396036</t>
    </r>
  </si>
  <si>
    <r>
      <rPr>
        <rFont val="Arial, sans-serif"/>
        <color rgb="FF1155CC"/>
        <u/>
      </rPr>
      <t>https://4ammedia.zendesk.com/agent/tickets/396522</t>
    </r>
  </si>
  <si>
    <r>
      <rPr>
        <rFont val="Arial, sans-serif"/>
        <color rgb="FF1155CC"/>
        <u/>
      </rPr>
      <t>https://4ammedia.zendesk.com/agent/tickets/396739</t>
    </r>
  </si>
  <si>
    <r>
      <rPr>
        <rFont val="Arial, sans-serif"/>
        <color rgb="FF1155CC"/>
        <u/>
      </rPr>
      <t>https://4ammedia.zendesk.com/agent/tickets/399590</t>
    </r>
  </si>
  <si>
    <r>
      <rPr>
        <rFont val="Arial, sans-serif"/>
        <color rgb="FF1155CC"/>
        <u/>
      </rPr>
      <t>https://4ammedia.zendesk.com/agent/tickets/400272</t>
    </r>
  </si>
  <si>
    <r>
      <rPr>
        <rFont val="Arial, sans-serif"/>
        <color rgb="FF1155CC"/>
        <u/>
      </rPr>
      <t>https://4ammedia.zendesk.com/agent/tickets/402649</t>
    </r>
  </si>
  <si>
    <r>
      <rPr>
        <rFont val="Arial, sans-serif"/>
        <color rgb="FF1155CC"/>
        <u/>
      </rPr>
      <t>https://4ammedia.zendesk.com/agent/tickets/403769</t>
    </r>
  </si>
  <si>
    <r>
      <rPr>
        <rFont val="Arial, sans-serif"/>
        <color rgb="FF1155CC"/>
        <u/>
      </rPr>
      <t>https://4ammedia.zendesk.com/agent/tickets/403864</t>
    </r>
  </si>
  <si>
    <r>
      <rPr>
        <rFont val="Arial, sans-serif"/>
        <color rgb="FF1155CC"/>
        <u/>
      </rPr>
      <t>https://4ammedia.zendesk.com/agent/tickets/403945</t>
    </r>
  </si>
  <si>
    <t xml:space="preserve">Week (Oct 5 -  Oct 11,2026) </t>
  </si>
  <si>
    <r>
      <rPr>
        <rFont val="Arial, sans-serif"/>
        <color rgb="FF1155CC"/>
        <u/>
      </rPr>
      <t>https://4ammedia.zendesk.com/agent/tickets/412454</t>
    </r>
  </si>
  <si>
    <t>WEEK: April 6 ,2026 - April 12,2026</t>
  </si>
  <si>
    <r>
      <rPr>
        <rFont val="Arial"/>
        <b/>
        <color theme="1"/>
      </rPr>
      <t xml:space="preserve">QA JACKY
SCORE
</t>
    </r>
    <r>
      <rPr>
        <rFont val="Arial"/>
        <b/>
        <i/>
        <color theme="1"/>
      </rPr>
      <t>30%</t>
    </r>
  </si>
  <si>
    <r>
      <rPr>
        <rFont val="Arial"/>
        <b/>
        <color theme="1"/>
      </rPr>
      <t xml:space="preserve">QA TL
SCORE
</t>
    </r>
    <r>
      <rPr>
        <rFont val="Arial"/>
        <b/>
        <i/>
        <color theme="1"/>
      </rPr>
      <t>10%</t>
    </r>
  </si>
  <si>
    <r>
      <rPr>
        <rFont val="Arial, sans-serif"/>
        <color rgb="FF1155CC"/>
        <u/>
      </rPr>
      <t>https://4ammedia.zendesk.com/agent/tickets/412803</t>
    </r>
  </si>
  <si>
    <r>
      <rPr>
        <rFont val="Arial, sans-serif"/>
        <color rgb="FF1155CC"/>
        <u/>
      </rPr>
      <t>https://4ammedia.zendesk.com/agent/tickets/413081</t>
    </r>
  </si>
  <si>
    <r>
      <rPr>
        <rFont val="Arial, sans-serif"/>
        <color rgb="FF1155CC"/>
        <u/>
      </rPr>
      <t>https://4ammedia.zendesk.com/agent/tickets/415903</t>
    </r>
  </si>
  <si>
    <r>
      <rPr>
        <rFont val="Arial, sans-serif"/>
        <color rgb="FF1155CC"/>
        <u/>
      </rPr>
      <t>https://4ammedia.zendesk.com/agent/tickets/415991</t>
    </r>
  </si>
  <si>
    <t>WEEK: March 23 - March 29, 2026</t>
  </si>
  <si>
    <r>
      <rPr>
        <rFont val="Arial, sans-serif"/>
        <color rgb="FF1155CC"/>
        <u/>
      </rPr>
      <t>https://4ammedia.zendesk.com/agent/tickets/416124</t>
    </r>
  </si>
  <si>
    <r>
      <rPr>
        <rFont val="Arial, sans-serif"/>
        <color rgb="FF1155CC"/>
        <u/>
      </rPr>
      <t>https://4ammedia.zendesk.com/agent/tickets/419457</t>
    </r>
  </si>
  <si>
    <r>
      <rPr>
        <rFont val="Arial, sans-serif"/>
        <color rgb="FF1155CC"/>
        <u/>
      </rPr>
      <t>https://4ammedia.zendesk.com/agent/tickets/419765</t>
    </r>
  </si>
  <si>
    <r>
      <rPr>
        <rFont val="Arial, sans-serif"/>
        <color rgb="FF1155CC"/>
        <u/>
      </rPr>
      <t>https://4ammedia.zendesk.com/agent/tickets/419934</t>
    </r>
  </si>
  <si>
    <r>
      <rPr>
        <rFont val="Arial, sans-serif"/>
        <color rgb="FF1155CC"/>
        <u/>
      </rPr>
      <t>https://4ammedia.zendesk.com/agent/tickets/422955</t>
    </r>
  </si>
  <si>
    <r>
      <rPr>
        <rFont val="Arial, sans-serif"/>
        <color rgb="FF1155CC"/>
        <u/>
      </rPr>
      <t>https://4ammedia.zendesk.com/agent/tickets/423392</t>
    </r>
  </si>
  <si>
    <r>
      <rPr>
        <rFont val="Arial, sans-serif"/>
        <color rgb="FF1155CC"/>
        <u/>
      </rPr>
      <t>https://4ammedia.zendesk.com/agent/tickets/423409</t>
    </r>
  </si>
  <si>
    <r>
      <rPr>
        <rFont val="Arial, sans-serif"/>
        <color rgb="FF1155CC"/>
        <u/>
      </rPr>
      <t>https://4ammedia.zendesk.com/agent/tickets/426803</t>
    </r>
  </si>
  <si>
    <r>
      <rPr>
        <rFont val="Arial, sans-serif"/>
        <color rgb="FF1155CC"/>
        <u/>
      </rPr>
      <t>https://4ammedia.zendesk.com/agent/tickets/427197</t>
    </r>
  </si>
  <si>
    <r>
      <rPr>
        <rFont val="Arial, sans-serif"/>
        <color rgb="FF1155CC"/>
        <u/>
      </rPr>
      <t>https://4ammedia.zendesk.com/agent/tickets/427267</t>
    </r>
  </si>
  <si>
    <t>60</t>
  </si>
  <si>
    <t>68</t>
  </si>
  <si>
    <t>148</t>
  </si>
  <si>
    <t>59</t>
  </si>
  <si>
    <t>134</t>
  </si>
  <si>
    <t>96</t>
  </si>
  <si>
    <t>WEEK: April 13 ,2026 - April 19,2026</t>
  </si>
  <si>
    <t>https://4ammedia.zendesk.com/agent/tickets/224171</t>
  </si>
  <si>
    <r>
      <rPr>
        <rFont val="Arial"/>
        <color rgb="FF1155CC"/>
        <u/>
      </rPr>
      <t>https://4ammedia.zendesk.com/agent/tickets/223595</t>
    </r>
  </si>
  <si>
    <t>WEEK: March 30-  April 5 ,2026</t>
  </si>
  <si>
    <t>https://4ammedia.zendesk.com/agent/tickets/224395</t>
  </si>
  <si>
    <r>
      <rPr>
        <rFont val="Arial"/>
        <color rgb="FF1155CC"/>
        <u/>
      </rPr>
      <t>https://4ammedia.zendesk.com/agent/tickets/224343</t>
    </r>
  </si>
  <si>
    <t>https://4ammedia.zendesk.com/agent/tickets/224688</t>
  </si>
  <si>
    <t>https://4ammedia.zendesk.com/agent/tickets/226879</t>
  </si>
  <si>
    <r>
      <rPr>
        <rFont val="Arial"/>
        <color rgb="FF1155CC"/>
        <u/>
      </rPr>
      <t>https://4ammedia.zendesk.com/agent/tickets/224486</t>
    </r>
  </si>
  <si>
    <t>https://4ammedia.zendesk.com/agent/tickets/226958</t>
  </si>
  <si>
    <r>
      <rPr>
        <rFont val="Arial, sans-serif"/>
        <color rgb="FF1155CC"/>
        <u/>
      </rPr>
      <t>https://4ammedia.zendesk.com/agent/tickets/226136</t>
    </r>
  </si>
  <si>
    <t>https://4ammedia.zendesk.com/agent/tickets/226976</t>
  </si>
  <si>
    <r>
      <rPr>
        <rFont val="Arial, sans-serif"/>
        <color rgb="FF1155CC"/>
        <u/>
      </rPr>
      <t>https://4ammedia.zendesk.com/agent/tickets/226291</t>
    </r>
  </si>
  <si>
    <t>https://4ammedia.zendesk.com/agent/tickets/229944</t>
  </si>
  <si>
    <t>https://4ammedia.zendesk.com/agent/tickets/229987</t>
  </si>
  <si>
    <r>
      <rPr>
        <rFont val="Arial, sans-serif"/>
        <color rgb="FF1155CC"/>
        <u/>
      </rPr>
      <t>https://4ammedia.zendesk.com/agent/tickets/226607</t>
    </r>
  </si>
  <si>
    <t>https://4ammedia.zendesk.com/agent/tickets/230022</t>
  </si>
  <si>
    <r>
      <rPr>
        <rFont val="Arial, sans-serif"/>
        <color rgb="FF1155CC"/>
        <u/>
      </rPr>
      <t>https://4ammedia.zendesk.com/agent/tickets/228198</t>
    </r>
  </si>
  <si>
    <r>
      <rPr>
        <rFont val="Arial, sans-serif"/>
        <color rgb="FF1155CC"/>
        <u/>
      </rPr>
      <t>https://4ammedia.zendesk.com/agent/tickets/228419</t>
    </r>
  </si>
  <si>
    <t>https://4ammedia.zendesk.com/agent/tickets/232305</t>
  </si>
  <si>
    <r>
      <rPr>
        <rFont val="Arial, sans-serif"/>
        <color rgb="FF1155CC"/>
        <u/>
      </rPr>
      <t>https://4ammedia.zendesk.com/agent/tickets/228441</t>
    </r>
  </si>
  <si>
    <t>https://4ammedia.zendesk.com/agent/tickets/232580</t>
  </si>
  <si>
    <r>
      <rPr>
        <rFont val="Arial, sans-serif"/>
        <color rgb="FF1155CC"/>
        <u/>
      </rPr>
      <t>https://4ammedia.zendesk.com/agent/tickets/229821</t>
    </r>
  </si>
  <si>
    <t>https://4ammedia.zendesk.com/agent/tickets/232772</t>
  </si>
  <si>
    <t>https://4ammedia.zendesk.com/agent/tickets/233703</t>
  </si>
  <si>
    <r>
      <rPr>
        <rFont val="Arial, sans-serif"/>
        <color rgb="FF1155CC"/>
        <u/>
      </rPr>
      <t>https://4ammedia.zendesk.com/agent/tickets/230130</t>
    </r>
  </si>
  <si>
    <t>104</t>
  </si>
  <si>
    <t>75</t>
  </si>
  <si>
    <t>88</t>
  </si>
  <si>
    <r>
      <rPr>
        <rFont val="Arial, sans-serif"/>
        <color rgb="FF1155CC"/>
        <u/>
      </rPr>
      <t>https://4ammedia.zendesk.com/agent/tickets/230168</t>
    </r>
  </si>
  <si>
    <t>https://4ammedia.zendesk.com/agent/tickets/233776</t>
  </si>
  <si>
    <t>https://4ammedia.zendesk.com/agent/tickets/233878</t>
  </si>
  <si>
    <r>
      <rPr>
        <rFont val="Arial, sans-serif"/>
        <color rgb="FF1155CC"/>
        <u/>
      </rPr>
      <t>https://4ammedia.zendesk.com/agent/tickets/232134</t>
    </r>
  </si>
  <si>
    <r>
      <rPr>
        <rFont val="Arial, sans-serif"/>
        <color rgb="FF1155CC"/>
        <u/>
      </rPr>
      <t>https://4ammedia.zendesk.com/agent/tickets/232323</t>
    </r>
  </si>
  <si>
    <r>
      <rPr>
        <rFont val="Arial, sans-serif"/>
        <color rgb="FF1155CC"/>
        <u/>
      </rPr>
      <t>https://4ammedia.zendesk.com/agent/tickets/232457</t>
    </r>
  </si>
  <si>
    <t>https://4ammedia.zendesk.com/agent/tickets/236767</t>
  </si>
  <si>
    <t>https://4ammedia.zendesk.com/agent/tickets/236819</t>
  </si>
  <si>
    <t>https://4ammedia.zendesk.com/agent/tickets/236994</t>
  </si>
  <si>
    <r>
      <rPr>
        <rFont val="Arial, sans-serif"/>
        <color rgb="FF1155CC"/>
        <u/>
      </rPr>
      <t>https://4ammedia.zendesk.com/agent/tickets/236232</t>
    </r>
  </si>
  <si>
    <t>https://4ammedia.zendesk.com/agent/tickets/238482</t>
  </si>
  <si>
    <t>https://4ammedia.zendesk.com/agent/tickets/238840</t>
  </si>
  <si>
    <t>https://4ammedia.zendesk.com/agent/tickets/238931</t>
  </si>
  <si>
    <r>
      <rPr>
        <rFont val="Arial, sans-serif"/>
        <color rgb="FF1155CC"/>
        <u/>
      </rPr>
      <t>https://4ammedia.zendesk.com/agent/tickets/236317</t>
    </r>
  </si>
  <si>
    <t>https://4ammedia.zendesk.com/agent/tickets/243327</t>
  </si>
  <si>
    <t>WEEK: April 20 ,2026 - April 26,2026</t>
  </si>
  <si>
    <t>https://4ammedia.zendesk.com/agent/tickets/243512</t>
  </si>
  <si>
    <r>
      <rPr>
        <rFont val="Arial, sans-serif"/>
        <color rgb="FF1155CC"/>
        <u/>
      </rPr>
      <t>https://4ammedia.zendesk.com/agent/tickets/236484</t>
    </r>
  </si>
  <si>
    <t>https://4ammedia.zendesk.com/agent/tickets/243575</t>
  </si>
  <si>
    <t>https://4ammedia.zendesk.com/agent/tickets/245259</t>
  </si>
  <si>
    <r>
      <rPr>
        <rFont val="Arial, sans-serif"/>
        <color rgb="FF1155CC"/>
        <u/>
      </rPr>
      <t>https://4ammedia.zendesk.com/agent/tickets/238404</t>
    </r>
  </si>
  <si>
    <t>https://4ammedia.zendesk.com/agent/tickets/245393</t>
  </si>
  <si>
    <r>
      <rPr>
        <rFont val="Arial, sans-serif"/>
        <color rgb="FF1155CC"/>
        <u/>
      </rPr>
      <t>https://4ammedia.zendesk.com/agent/tickets/238524</t>
    </r>
  </si>
  <si>
    <t>https://4ammedia.zendesk.com/agent/tickets/245522</t>
  </si>
  <si>
    <t>WEEK: April 6-  April 12 ,2026</t>
  </si>
  <si>
    <r>
      <rPr>
        <rFont val="Arial, sans-serif"/>
        <color rgb="FF1155CC"/>
        <u/>
      </rPr>
      <t>https://4ammedia.zendesk.com/agent/tickets/238723</t>
    </r>
  </si>
  <si>
    <r>
      <rPr>
        <rFont val="Arial, sans-serif"/>
        <color rgb="FF1155CC"/>
        <u/>
      </rPr>
      <t>https://4ammedia.zendesk.com/agent/tickets/241119</t>
    </r>
  </si>
  <si>
    <t>https://4ammedia.zendesk.com/agent/tickets/249958</t>
  </si>
  <si>
    <r>
      <rPr>
        <rFont val="Arial, sans-serif"/>
        <color rgb="FF1155CC"/>
        <u/>
      </rPr>
      <t>https://4ammedia.zendesk.com/agent/tickets/241250</t>
    </r>
  </si>
  <si>
    <r>
      <rPr>
        <rFont val="Arial, sans-serif"/>
        <color rgb="FF1155CC"/>
        <u/>
      </rPr>
      <t>https://4ammedia.zendesk.com/agent/tickets/241481</t>
    </r>
  </si>
  <si>
    <r>
      <rPr>
        <rFont val="Arial, sans-serif"/>
        <color rgb="FF1155CC"/>
        <u/>
      </rPr>
      <t>https://4ammedia.zendesk.com/agent/tickets/250188</t>
    </r>
  </si>
  <si>
    <r>
      <rPr>
        <rFont val="Arial, sans-serif"/>
        <color rgb="FF1155CC"/>
        <u/>
      </rPr>
      <t>https://4ammedia.zendesk.com/agent/tickets/243006</t>
    </r>
  </si>
  <si>
    <t>https://4ammedia.zendesk.com/agent/tickets/250486</t>
  </si>
  <si>
    <r>
      <rPr>
        <rFont val="Arial, sans-serif"/>
        <color rgb="FF1155CC"/>
        <u/>
      </rPr>
      <t>https://4ammedia.zendesk.com/agent/tickets/243358</t>
    </r>
  </si>
  <si>
    <t>https://4ammedia.zendesk.com/agent/tickets/251635</t>
  </si>
  <si>
    <r>
      <rPr>
        <rFont val="Arial, sans-serif"/>
        <color rgb="FF1155CC"/>
        <u/>
      </rPr>
      <t>https://4ammedia.zendesk.com/agent/tickets/243437</t>
    </r>
  </si>
  <si>
    <t>https://4ammedia.zendesk.com/agent/tickets/251778</t>
  </si>
  <si>
    <r>
      <rPr>
        <rFont val="Arial, sans-serif"/>
        <color rgb="FF1155CC"/>
        <u/>
      </rPr>
      <t>https://4ammedia.zendesk.com/agent/tickets/245585</t>
    </r>
  </si>
  <si>
    <t>https://4ammedia.zendesk.com/agent/tickets/251811</t>
  </si>
  <si>
    <r>
      <rPr>
        <rFont val="Arial, sans-serif"/>
        <color rgb="FF1155CC"/>
        <u/>
      </rPr>
      <t>https://4ammedia.zendesk.com/agent/tickets/245653</t>
    </r>
  </si>
  <si>
    <t>https://4ammedia.zendesk.com/agent/tickets/256053</t>
  </si>
  <si>
    <r>
      <rPr>
        <rFont val="Arial, sans-serif"/>
        <color rgb="FF1155CC"/>
        <u/>
      </rPr>
      <t>https://4ammedia.zendesk.com/agent/tickets/245726</t>
    </r>
  </si>
  <si>
    <t>https://4ammedia.zendesk.com/agent/tickets/256357</t>
  </si>
  <si>
    <t>https://4ammedia.zendesk.com/agent/tickets/256430</t>
  </si>
  <si>
    <t>https://4ammedia.zendesk.com/agent/tickets/258177</t>
  </si>
  <si>
    <r>
      <rPr>
        <rFont val="Arial, sans-serif"/>
        <color rgb="FF1155CC"/>
        <u/>
      </rPr>
      <t>https://4ammedia.zendesk.com/agent/tickets/247831</t>
    </r>
  </si>
  <si>
    <t>92</t>
  </si>
  <si>
    <t>83</t>
  </si>
  <si>
    <t>62</t>
  </si>
  <si>
    <t>https://4ammedia.zendesk.com/agent/tickets/258315</t>
  </si>
  <si>
    <t>https://4ammedia.zendesk.com/agent/tickets/258549</t>
  </si>
  <si>
    <t>https://4ammedia.zendesk.com/agent/tickets/259447</t>
  </si>
  <si>
    <r>
      <rPr>
        <rFont val="Arial, sans-serif"/>
        <color rgb="FF1155CC"/>
        <u/>
      </rPr>
      <t>https://4ammedia.zendesk.com/agent/tickets/249356</t>
    </r>
  </si>
  <si>
    <t>https://4ammedia.zendesk.com/agent/tickets/259598</t>
  </si>
  <si>
    <r>
      <rPr>
        <rFont val="Arial, sans-serif"/>
        <color rgb="FF1155CC"/>
        <u/>
      </rPr>
      <t>https://4ammedia.zendesk.com/agent/tickets/249531</t>
    </r>
  </si>
  <si>
    <t>https://4ammedia.zendesk.com/agent/tickets/259666</t>
  </si>
  <si>
    <r>
      <rPr>
        <rFont val="Arial, sans-serif"/>
        <color rgb="FF1155CC"/>
        <u/>
      </rPr>
      <t>https://4ammedia.zendesk.com/agent/tickets/251980</t>
    </r>
  </si>
  <si>
    <t>https://4ammedia.zendesk.com/agent/tickets/262621</t>
  </si>
  <si>
    <r>
      <rPr>
        <rFont val="Arial, sans-serif"/>
        <color rgb="FF1155CC"/>
        <u/>
      </rPr>
      <t>https://4ammedia.zendesk.com/agent/tickets/252411</t>
    </r>
  </si>
  <si>
    <r>
      <rPr>
        <rFont val="Arial, sans-serif"/>
        <color rgb="FF1155CC"/>
        <u/>
      </rPr>
      <t>https://4ammedia.zendesk.com/agent/tickets/252497</t>
    </r>
  </si>
  <si>
    <t>https://4ammedia.zendesk.com/agent/tickets/263090</t>
  </si>
  <si>
    <r>
      <rPr>
        <rFont val="Arial"/>
        <color rgb="FF1155CC"/>
        <u/>
      </rPr>
      <t>https://4ammedia.zendesk.com/agent/tickets/253885</t>
    </r>
  </si>
  <si>
    <t>https://4ammedia.zendesk.com/agent/tickets/263327</t>
  </si>
  <si>
    <r>
      <rPr>
        <rFont val="Arial"/>
        <color rgb="FF1155CC"/>
        <u/>
      </rPr>
      <t>https://4ammedia.zendesk.com/agent/tickets/254070</t>
    </r>
  </si>
  <si>
    <t>https://4ammedia.zendesk.com/agent/tickets/265709</t>
  </si>
  <si>
    <r>
      <rPr>
        <rFont val="Arial"/>
        <color rgb="FF1155CC"/>
        <u/>
      </rPr>
      <t>https://4ammedia.zendesk.com/agent/tickets/254145</t>
    </r>
  </si>
  <si>
    <r>
      <rPr>
        <rFont val="Arial, sans-serif"/>
        <color rgb="FF1155CC"/>
        <u/>
      </rPr>
      <t>https://4ammedia.zendesk.com/agent/tickets/256360</t>
    </r>
  </si>
  <si>
    <t>https://4ammedia.zendesk.com/agent/tickets/266101</t>
  </si>
  <si>
    <t>WEEK: April 13-  April 19 ,2026</t>
  </si>
  <si>
    <r>
      <rPr>
        <rFont val="Arial, sans-serif"/>
        <color rgb="FF1155CC"/>
        <u/>
      </rPr>
      <t>https://4ammedia.zendesk.com/agent/tickets/256474</t>
    </r>
  </si>
  <si>
    <t>https://4ammedia.zendesk.com/agent/tickets/266324</t>
  </si>
  <si>
    <t>WEEK: April 27 ,2026 - May 3,2026</t>
  </si>
  <si>
    <r>
      <rPr>
        <rFont val="Arial, sans-serif"/>
        <color rgb="FF1155CC"/>
        <u/>
      </rPr>
      <t>https://4ammedia.zendesk.com/agent/tickets/256580</t>
    </r>
  </si>
  <si>
    <t>https://4ammedia.zendesk.com/agent/tickets/269106</t>
  </si>
  <si>
    <t>https://4ammedia.zendesk.com/agent/tickets/269318</t>
  </si>
  <si>
    <t>https://4ammedia.zendesk.com/agent/tickets/269390</t>
  </si>
  <si>
    <t>https://4ammedia.zendesk.com/agent/tickets/271300</t>
  </si>
  <si>
    <r>
      <rPr>
        <rFont val="Arial, sans-serif"/>
        <color rgb="FF1155CC"/>
        <u/>
      </rPr>
      <t>https://4ammedia.zendesk.com/agent/tickets/262381</t>
    </r>
  </si>
  <si>
    <t>https://4ammedia.zendesk.com/agent/tickets/271439</t>
  </si>
  <si>
    <t>https://4ammedia.zendesk.com/agent/tickets/271410</t>
  </si>
  <si>
    <r>
      <rPr>
        <rFont val="Arial, sans-serif"/>
        <color rgb="FF1155CC"/>
        <u/>
      </rPr>
      <t>https://4ammedia.zendesk.com/agent/tickets/262604</t>
    </r>
  </si>
  <si>
    <t>https://4ammedia.zendesk.com/agent/tickets/272918</t>
  </si>
  <si>
    <r>
      <rPr>
        <rFont val="Arial, sans-serif"/>
        <color rgb="FF1155CC"/>
        <u/>
      </rPr>
      <t>https://4ammedia.zendesk.com/agent/tickets/262925</t>
    </r>
  </si>
  <si>
    <t>https://4ammedia.zendesk.com/agent/tickets/273100</t>
  </si>
  <si>
    <r>
      <rPr>
        <rFont val="Arial, sans-serif"/>
        <color rgb="FF1155CC"/>
        <u/>
      </rPr>
      <t>https://4ammedia.zendesk.com/agent/tickets/265328</t>
    </r>
  </si>
  <si>
    <t>https://4ammedia.zendesk.com/agent/tickets/273268</t>
  </si>
  <si>
    <r>
      <rPr>
        <rFont val="Arial, sans-serif"/>
        <color rgb="FF1155CC"/>
        <u/>
      </rPr>
      <t>https://4ammedia.zendesk.com/agent/tickets/265718</t>
    </r>
  </si>
  <si>
    <r>
      <rPr>
        <rFont val="Arial, sans-serif"/>
        <color rgb="FF1155CC"/>
        <u/>
      </rPr>
      <t>https://4ammedia.zendesk.com/agent/tickets/265930</t>
    </r>
  </si>
  <si>
    <r>
      <rPr>
        <rFont val="Arial, sans-serif"/>
        <color rgb="FF1155CC"/>
        <u/>
      </rPr>
      <t>https://4ammedia.zendesk.com/agent/tickets/267443</t>
    </r>
  </si>
  <si>
    <t>https://4ammedia.zendesk.com/agent/tickets/275986</t>
  </si>
  <si>
    <r>
      <rPr>
        <rFont val="Arial, sans-serif"/>
        <color rgb="FF1155CC"/>
        <u/>
      </rPr>
      <t>https://4ammedia.zendesk.com/agent/tickets/267753</t>
    </r>
  </si>
  <si>
    <t>https://4ammedia.zendesk.com/agent/tickets/276332</t>
  </si>
  <si>
    <r>
      <rPr>
        <rFont val="Arial, sans-serif"/>
        <color rgb="FF1155CC"/>
        <u/>
      </rPr>
      <t>https://4ammedia.zendesk.com/agent/tickets/267888</t>
    </r>
  </si>
  <si>
    <t>https://4ammedia.zendesk.com/agent/tickets/276747</t>
  </si>
  <si>
    <r>
      <rPr>
        <rFont val="Arial, sans-serif"/>
        <color rgb="FF1155CC"/>
        <u/>
      </rPr>
      <t>https://4ammedia.zendesk.com/agent/tickets/269172</t>
    </r>
  </si>
  <si>
    <t>124</t>
  </si>
  <si>
    <t>91</t>
  </si>
  <si>
    <t>95</t>
  </si>
  <si>
    <t>132</t>
  </si>
  <si>
    <t>https://4ammedia.zendesk.com/agent/tickets/278402</t>
  </si>
  <si>
    <r>
      <rPr>
        <rFont val="Arial, sans-serif"/>
        <color rgb="FF1155CC"/>
        <u/>
      </rPr>
      <t>https://4ammedia.zendesk.com/agent/tickets/269233</t>
    </r>
  </si>
  <si>
    <t>https://4ammedia.zendesk.com/agent/tickets/278597</t>
  </si>
  <si>
    <r>
      <rPr>
        <rFont val="Arial, sans-serif"/>
        <color rgb="FF1155CC"/>
        <u/>
      </rPr>
      <t>https://4ammedia.zendesk.com/agent/tickets/269399</t>
    </r>
  </si>
  <si>
    <t>https://4ammedia.zendesk.com/agent/tickets/278961</t>
  </si>
  <si>
    <r>
      <rPr>
        <rFont val="Arial, sans-serif"/>
        <color rgb="FF1155CC"/>
        <u/>
      </rPr>
      <t>https://4ammedia.zendesk.com/agent/tickets/271578</t>
    </r>
  </si>
  <si>
    <t>https://4ammedia.zendesk.com/agent/tickets/281910</t>
  </si>
  <si>
    <r>
      <rPr>
        <rFont val="Arial, sans-serif"/>
        <color rgb="FF1155CC"/>
        <u/>
      </rPr>
      <t>https://4ammedia.zendesk.com/agent/tickets/271790</t>
    </r>
  </si>
  <si>
    <r>
      <rPr>
        <rFont val="Arial, sans-serif"/>
        <color rgb="FF1155CC"/>
        <u/>
      </rPr>
      <t>https://4ammedia.zendesk.com/agent/tickets/271870</t>
    </r>
  </si>
  <si>
    <t>https://4ammedia.zendesk.com/agent/tickets/282437</t>
  </si>
  <si>
    <t>https://4ammedia.zendesk.com/agent/tickets/282520</t>
  </si>
  <si>
    <t>https://4ammedia.zendesk.com/agent/tickets/284451</t>
  </si>
  <si>
    <r>
      <rPr>
        <rFont val="Arial, sans-serif"/>
        <color rgb="FF1155CC"/>
        <u/>
      </rPr>
      <t>https://4ammedia.zendesk.com/agent/tickets/275579</t>
    </r>
  </si>
  <si>
    <t>https://4ammedia.zendesk.com/agent/tickets/284724</t>
  </si>
  <si>
    <t>WEEK: April 20-  April 26 ,2026</t>
  </si>
  <si>
    <t>https://4ammedia.zendesk.com/agent/tickets/284785</t>
  </si>
  <si>
    <r>
      <rPr>
        <rFont val="Arial, sans-serif"/>
        <color rgb="FF1155CC"/>
        <u/>
      </rPr>
      <t>https://4ammedia.zendesk.com/agent/tickets/275985</t>
    </r>
  </si>
  <si>
    <t>https://4ammedia.zendesk.com/agent/tickets/285999</t>
  </si>
  <si>
    <r>
      <rPr>
        <rFont val="Arial, sans-serif"/>
        <color rgb="FF1155CC"/>
        <u/>
      </rPr>
      <t>https://4ammedia.zendesk.com/agent/tickets/276302</t>
    </r>
  </si>
  <si>
    <t>https://4ammedia.zendesk.com/agent/tickets/286269</t>
  </si>
  <si>
    <r>
      <rPr>
        <rFont val="Arial, sans-serif"/>
        <color rgb="FF1155CC"/>
        <u/>
      </rPr>
      <t>https://4ammedia.zendesk.com/agent/tickets/278094</t>
    </r>
  </si>
  <si>
    <t>https://4ammedia.zendesk.com/agent/tickets/286316</t>
  </si>
  <si>
    <r>
      <rPr>
        <rFont val="Arial, sans-serif"/>
        <color rgb="FF1155CC"/>
        <u/>
      </rPr>
      <t>https://4ammedia.zendesk.com/agent/tickets/278245</t>
    </r>
  </si>
  <si>
    <r>
      <rPr>
        <rFont val="Arial, sans-serif"/>
        <color rgb="FF1155CC"/>
        <u/>
      </rPr>
      <t>https://4ammedia.zendesk.com/agent/tickets/278640</t>
    </r>
  </si>
  <si>
    <r>
      <rPr>
        <rFont val="Arial, sans-serif"/>
        <color rgb="FF1155CC"/>
        <u/>
      </rPr>
      <t>https://4ammedia.zendesk.com/agent/tickets/280410</t>
    </r>
  </si>
  <si>
    <t>https://4ammedia.zendesk.com/agent/tickets/288606</t>
  </si>
  <si>
    <t>WEEK: May 4 ,2026 - May 10,2026</t>
  </si>
  <si>
    <r>
      <rPr>
        <rFont val="Arial, sans-serif"/>
        <color rgb="FF1155CC"/>
        <u/>
      </rPr>
      <t>https://4ammedia.zendesk.com/agent/tickets/280676</t>
    </r>
  </si>
  <si>
    <r>
      <rPr>
        <rFont val="Arial, sans-serif"/>
        <color rgb="FF1155CC"/>
        <u/>
      </rPr>
      <t>https://4ammedia.zendesk.com/agent/tickets/280914</t>
    </r>
  </si>
  <si>
    <t>https://4ammedia.zendesk.com/agent/tickets/288757</t>
  </si>
  <si>
    <r>
      <rPr>
        <rFont val="Arial, sans-serif"/>
        <color rgb="FF1155CC"/>
        <u/>
      </rPr>
      <t>https://4ammedia.zendesk.com/agent/tickets/282002</t>
    </r>
  </si>
  <si>
    <t>https://4ammedia.zendesk.com/agent/tickets/288807</t>
  </si>
  <si>
    <r>
      <rPr>
        <rFont val="Arial, sans-serif"/>
        <color rgb="FF1155CC"/>
        <u/>
      </rPr>
      <t>https://4ammedia.zendesk.com/agent/tickets/282158</t>
    </r>
  </si>
  <si>
    <t>https://4ammedia.zendesk.com/agent/tickets/291489</t>
  </si>
  <si>
    <r>
      <rPr>
        <rFont val="Arial, sans-serif"/>
        <color rgb="FF1155CC"/>
        <u/>
      </rPr>
      <t>https://4ammedia.zendesk.com/agent/tickets/282278</t>
    </r>
  </si>
  <si>
    <t>https://4ammedia.zendesk.com/agent/tickets/291719</t>
  </si>
  <si>
    <r>
      <rPr>
        <rFont val="Arial, sans-serif"/>
        <color rgb="FF1155CC"/>
        <u/>
      </rPr>
      <t>https://4ammedia.zendesk.com/agent/tickets/283988</t>
    </r>
  </si>
  <si>
    <t>https://4ammedia.zendesk.com/agent/tickets/291814</t>
  </si>
  <si>
    <r>
      <rPr>
        <rFont val="Arial, sans-serif"/>
        <color rgb="FF1155CC"/>
        <u/>
      </rPr>
      <t>https://4ammedia.zendesk.com/agent/tickets/284382</t>
    </r>
  </si>
  <si>
    <t>https://4ammedia.zendesk.com/agent/tickets/295275</t>
  </si>
  <si>
    <r>
      <rPr>
        <rFont val="Arial, sans-serif"/>
        <color rgb="FF1155CC"/>
        <u/>
      </rPr>
      <t>https://4ammedia.zendesk.com/agent/tickets/284590</t>
    </r>
  </si>
  <si>
    <t>https://4ammedia.zendesk.com/agent/tickets/295543</t>
  </si>
  <si>
    <t>https://4ammedia.zendesk.com/agent/tickets/295746</t>
  </si>
  <si>
    <r>
      <rPr>
        <rFont val="Arial, sans-serif"/>
        <color rgb="FF1155CC"/>
        <u/>
      </rPr>
      <t>https://4ammedia.zendesk.com/agent/tickets/288671</t>
    </r>
  </si>
  <si>
    <t>https://4ammedia.zendesk.com/agent/tickets/297139</t>
  </si>
  <si>
    <t>https://4ammedia.zendesk.com/agent/tickets/297362</t>
  </si>
  <si>
    <r>
      <rPr>
        <rFont val="Arial, sans-serif"/>
        <color rgb="FF1155CC"/>
        <u/>
      </rPr>
      <t>https://4ammedia.zendesk.com/agent/tickets/288745</t>
    </r>
  </si>
  <si>
    <t>https://4ammedia.zendesk.com/agent/tickets/297739</t>
  </si>
  <si>
    <r>
      <rPr>
        <rFont val="Arial, sans-serif"/>
        <color rgb="FF1155CC"/>
        <u/>
      </rPr>
      <t>https://4ammedia.zendesk.com/agent/tickets/288947</t>
    </r>
  </si>
  <si>
    <t>https://4ammedia.zendesk.com/agent/tickets/298934</t>
  </si>
  <si>
    <r>
      <rPr>
        <rFont val="Arial, sans-serif"/>
        <color rgb="FF1155CC"/>
        <u/>
      </rPr>
      <t>https://4ammedia.zendesk.com/agent/tickets/291083</t>
    </r>
  </si>
  <si>
    <t>https://4ammedia.zendesk.com/agent/tickets/299043</t>
  </si>
  <si>
    <t>63</t>
  </si>
  <si>
    <t>49</t>
  </si>
  <si>
    <t>61</t>
  </si>
  <si>
    <t>47</t>
  </si>
  <si>
    <r>
      <rPr>
        <rFont val="Arial, sans-serif"/>
        <color rgb="FF1155CC"/>
        <u/>
      </rPr>
      <t>https://4ammedia.zendesk.com/agent/tickets/291209</t>
    </r>
  </si>
  <si>
    <t>https://4ammedia.zendesk.com/agent/tickets/299131</t>
  </si>
  <si>
    <r>
      <rPr>
        <rFont val="Arial, sans-serif"/>
        <color rgb="FF1155CC"/>
        <u/>
      </rPr>
      <t>https://4ammedia.zendesk.com/agent/tickets/291253</t>
    </r>
  </si>
  <si>
    <r>
      <rPr>
        <rFont val="Arial, sans-serif"/>
        <color rgb="FF1155CC"/>
        <u/>
      </rPr>
      <t>https://4ammedia.zendesk.com/agent/tickets/293555</t>
    </r>
  </si>
  <si>
    <r>
      <rPr>
        <rFont val="Arial, sans-serif"/>
        <color rgb="FF1155CC"/>
        <u/>
      </rPr>
      <t>https://4ammedia.zendesk.com/agent/tickets/293616</t>
    </r>
  </si>
  <si>
    <t>https://4ammedia.zendesk.com/agent/tickets/301938</t>
  </si>
  <si>
    <r>
      <rPr>
        <rFont val="Arial, sans-serif"/>
        <color rgb="FF1155CC"/>
        <u/>
      </rPr>
      <t>https://4ammedia.zendesk.com/agent/tickets/293805</t>
    </r>
  </si>
  <si>
    <r>
      <rPr>
        <rFont val="Arial, sans-serif"/>
        <color rgb="FF1155CC"/>
        <u/>
      </rPr>
      <t>https://4ammedia.zendesk.com/agent/tickets/295178</t>
    </r>
  </si>
  <si>
    <r>
      <rPr>
        <rFont val="Arial, sans-serif"/>
        <color rgb="FF1155CC"/>
        <u/>
      </rPr>
      <t>https://4ammedia.zendesk.com/agent/tickets/302078</t>
    </r>
  </si>
  <si>
    <r>
      <rPr>
        <rFont val="Arial, sans-serif"/>
        <color rgb="FF1155CC"/>
        <u/>
      </rPr>
      <t>https://4ammedia.zendesk.com/agent/tickets/295491</t>
    </r>
  </si>
  <si>
    <t>WEEK: April 27-  May 3,2026</t>
  </si>
  <si>
    <r>
      <rPr>
        <rFont val="Arial, sans-serif"/>
        <color rgb="FF1155CC"/>
        <u/>
      </rPr>
      <t>https://4ammedia.zendesk.com/agent/tickets/295536</t>
    </r>
  </si>
  <si>
    <t>https://4ammedia.zendesk.com/agent/tickets/302433</t>
  </si>
  <si>
    <r>
      <rPr>
        <rFont val="Arial, sans-serif"/>
        <color rgb="FF1155CC"/>
        <u/>
      </rPr>
      <t>https://4ammedia.zendesk.com/agent/tickets/296819</t>
    </r>
  </si>
  <si>
    <r>
      <rPr>
        <rFont val="Arial, sans-serif"/>
        <color rgb="FF1155CC"/>
        <u/>
      </rPr>
      <t>https://4ammedia.zendesk.com/agent/tickets/296971</t>
    </r>
  </si>
  <si>
    <t>https://4ammedia.zendesk.com/agent/tickets/304511</t>
  </si>
  <si>
    <r>
      <rPr>
        <rFont val="Arial, sans-serif"/>
        <color rgb="FF1155CC"/>
        <u/>
      </rPr>
      <t>https://4ammedia.zendesk.com/agent/tickets/297034</t>
    </r>
  </si>
  <si>
    <t>WEEK: May 11 ,2026 - May 17,2026</t>
  </si>
  <si>
    <t>https://4ammedia.zendesk.com/agent/tickets/304650</t>
  </si>
  <si>
    <t>https://4ammedia.zendesk.com/agent/tickets/304934</t>
  </si>
  <si>
    <t>https://4ammedia.zendesk.com/agent/tickets/308953</t>
  </si>
  <si>
    <r>
      <rPr>
        <rFont val="Arial, sans-serif"/>
        <color rgb="FF1155CC"/>
        <u/>
      </rPr>
      <t>https://4ammedia.zendesk.com/agent/tickets/301974</t>
    </r>
  </si>
  <si>
    <t>https://4ammedia.zendesk.com/agent/tickets/309048</t>
  </si>
  <si>
    <t>https://4ammedia.zendesk.com/agent/tickets/309139</t>
  </si>
  <si>
    <t>65</t>
  </si>
  <si>
    <t>50</t>
  </si>
  <si>
    <t>71</t>
  </si>
  <si>
    <r>
      <rPr>
        <rFont val="Arial, sans-serif"/>
        <color rgb="FF1155CC"/>
        <u/>
      </rPr>
      <t>https://4ammedia.zendesk.com/agent/tickets/302085</t>
    </r>
  </si>
  <si>
    <r>
      <rPr>
        <rFont val="Arial, sans-serif"/>
        <color rgb="FF1155CC"/>
        <u/>
      </rPr>
      <t>https://4ammedia.zendesk.com/agent/tickets/302394</t>
    </r>
  </si>
  <si>
    <r>
      <rPr>
        <rFont val="Arial, sans-serif"/>
        <color rgb="FF1155CC"/>
        <u/>
      </rPr>
      <t>https://4ammedia.zendesk.com/agent/tickets/303890</t>
    </r>
  </si>
  <si>
    <r>
      <rPr>
        <rFont val="Arial, sans-serif"/>
        <color rgb="FF1155CC"/>
        <u/>
      </rPr>
      <t>https://4ammedia.zendesk.com/agent/tickets/303957</t>
    </r>
  </si>
  <si>
    <r>
      <rPr>
        <rFont val="Arial, sans-serif"/>
        <color rgb="FF1155CC"/>
        <u/>
      </rPr>
      <t>https://4ammedia.zendesk.com/agent/tickets/304143</t>
    </r>
  </si>
  <si>
    <r>
      <rPr>
        <rFont val="Arial, sans-serif"/>
        <color rgb="FF1155CC"/>
        <u/>
      </rPr>
      <t>https://4ammedia.zendesk.com/agent/tickets/306725</t>
    </r>
  </si>
  <si>
    <r>
      <rPr>
        <rFont val="Arial, sans-serif"/>
        <color rgb="FF1155CC"/>
        <u/>
      </rPr>
      <t>https://4ammedia.zendesk.com/agent/tickets/306992</t>
    </r>
  </si>
  <si>
    <t>https://4ammedia.zendesk.com/agent/tickets/310516</t>
  </si>
  <si>
    <t>WEEK: May 18,2026 - May 24,2026</t>
  </si>
  <si>
    <t>https://4ammedia.zendesk.com/agent/tickets/310887</t>
  </si>
  <si>
    <r>
      <rPr>
        <rFont val="Arial, sans-serif"/>
        <color rgb="FF1155CC"/>
        <u/>
      </rPr>
      <t>https://4ammedia.zendesk.com/agent/tickets/307050</t>
    </r>
  </si>
  <si>
    <r>
      <rPr>
        <rFont val="Arial, sans-serif"/>
        <color rgb="FF1155CC"/>
        <u/>
      </rPr>
      <t>https://4ammedia.zendesk.com/agent/tickets/308468</t>
    </r>
  </si>
  <si>
    <r>
      <rPr>
        <rFont val="Arial, sans-serif"/>
        <color rgb="FF1155CC"/>
        <u/>
      </rPr>
      <t>https://4ammedia.zendesk.com/agent/tickets/308774</t>
    </r>
  </si>
  <si>
    <r>
      <rPr>
        <rFont val="Arial, sans-serif"/>
        <color rgb="FF1155CC"/>
        <u/>
      </rPr>
      <t>https://4ammedia.zendesk.com/agent/tickets/308918</t>
    </r>
  </si>
  <si>
    <r>
      <rPr>
        <rFont val="Arial, sans-serif"/>
        <color rgb="FF1155CC"/>
        <u/>
      </rPr>
      <t>https://4ammedia.zendesk.com/agent/tickets/310247</t>
    </r>
  </si>
  <si>
    <r>
      <rPr>
        <rFont val="Arial, sans-serif"/>
        <color rgb="FF1155CC"/>
        <u/>
      </rPr>
      <t>https://4ammedia.zendesk.com/agent/tickets/310683</t>
    </r>
  </si>
  <si>
    <t>https://4ammedia.zendesk.com/agent/tickets/311096</t>
  </si>
  <si>
    <r>
      <rPr>
        <rFont val="Arial, sans-serif"/>
        <color rgb="FF1155CC"/>
        <u/>
      </rPr>
      <t>https://4ammedia.zendesk.com/agent/tickets/310780</t>
    </r>
  </si>
  <si>
    <t>https://4ammedia.zendesk.com/agent/tickets/312336</t>
  </si>
  <si>
    <t>https://4ammedia.zendesk.com/agent/tickets/312431</t>
  </si>
  <si>
    <t>https://4ammedia.zendesk.com/agent/tickets/312609</t>
  </si>
  <si>
    <r>
      <rPr>
        <rFont val="Arial, sans-serif"/>
        <color rgb="FF1155CC"/>
        <u/>
      </rPr>
      <t>https://4ammedia.zendesk.com/agent/tickets/315087</t>
    </r>
  </si>
  <si>
    <t>https://4ammedia.zendesk.com/agent/tickets/314945</t>
  </si>
  <si>
    <r>
      <rPr>
        <rFont val="Arial, sans-serif"/>
        <color rgb="FF1155CC"/>
        <u/>
      </rPr>
      <t>https://4ammedia.zendesk.com/agent/tickets/315348</t>
    </r>
  </si>
  <si>
    <r>
      <rPr>
        <rFont val="Arial, sans-serif"/>
        <color rgb="FF1155CC"/>
        <u/>
      </rPr>
      <t>https://4ammedia.zendesk.com/agent/tickets/315496</t>
    </r>
  </si>
  <si>
    <r>
      <rPr>
        <rFont val="Arial, sans-serif"/>
        <color rgb="FF1155CC"/>
        <u/>
      </rPr>
      <t>https://4ammedia.zendesk.com/agent/tickets/321651</t>
    </r>
  </si>
  <si>
    <t>https://4ammedia.zendesk.com/agent/tickets/315318</t>
  </si>
  <si>
    <r>
      <rPr>
        <rFont val="Arial, sans-serif"/>
        <color rgb="FF1155CC"/>
        <u/>
      </rPr>
      <t>https://4ammedia.zendesk.com/agent/tickets/321788</t>
    </r>
  </si>
  <si>
    <t>WEEK: May 4-  May 10,2026</t>
  </si>
  <si>
    <t>https://4ammedia.zendesk.com/agent/tickets/315482</t>
  </si>
  <si>
    <r>
      <rPr>
        <rFont val="Arial, sans-serif"/>
        <color rgb="FF1155CC"/>
        <u/>
      </rPr>
      <t>https://4ammedia.zendesk.com/agent/tickets/321886</t>
    </r>
  </si>
  <si>
    <t>https://4ammedia.zendesk.com/agent/tickets/322393</t>
  </si>
  <si>
    <r>
      <rPr>
        <rFont val="Arial, sans-serif"/>
        <color rgb="FF1155CC"/>
        <u/>
      </rPr>
      <t>https://4ammedia.zendesk.com/agent/tickets/320208</t>
    </r>
  </si>
  <si>
    <t>https://4ammedia.zendesk.com/agent/tickets/322477</t>
  </si>
  <si>
    <r>
      <rPr>
        <rFont val="Arial, sans-serif"/>
        <color rgb="FF1155CC"/>
        <u/>
      </rPr>
      <t>https://4ammedia.zendesk.com/agent/tickets/320494</t>
    </r>
  </si>
  <si>
    <t>https://4ammedia.zendesk.com/agent/tickets/322572</t>
  </si>
  <si>
    <r>
      <rPr>
        <rFont val="Arial, sans-serif"/>
        <color rgb="FF1155CC"/>
        <u/>
      </rPr>
      <t>https://4ammedia.zendesk.com/agent/tickets/320791</t>
    </r>
  </si>
  <si>
    <t>https://4ammedia.zendesk.com/agent/tickets/324967</t>
  </si>
  <si>
    <t>https://4ammedia.zendesk.com/agent/tickets/325057</t>
  </si>
  <si>
    <t>https://4ammedia.zendesk.com/agent/tickets/325086</t>
  </si>
  <si>
    <t>64</t>
  </si>
  <si>
    <t>54</t>
  </si>
  <si>
    <t>https://4ammedia.zendesk.com/agent/tickets/317754</t>
  </si>
  <si>
    <t>52</t>
  </si>
  <si>
    <t>https://4ammedia.zendesk.com/agent/tickets/317940</t>
  </si>
  <si>
    <t>https://4ammedia.zendesk.com/agent/tickets/318543</t>
  </si>
  <si>
    <t>https://4ammedia.zendesk.com/agent/tickets/327190</t>
  </si>
  <si>
    <r>
      <rPr>
        <rFont val="Arial, sans-serif"/>
        <color rgb="FF1155CC"/>
        <u/>
      </rPr>
      <t>https://4ammedia.zendesk.com/agent/tickets/324574</t>
    </r>
  </si>
  <si>
    <t>https://4ammedia.zendesk.com/agent/tickets/327922</t>
  </si>
  <si>
    <r>
      <rPr>
        <rFont val="Arial, sans-serif"/>
        <color rgb="FF1155CC"/>
        <u/>
      </rPr>
      <t>https://4ammedia.zendesk.com/agent/tickets/324834</t>
    </r>
  </si>
  <si>
    <t>https://4ammedia.zendesk.com/agent/tickets/328037</t>
  </si>
  <si>
    <r>
      <rPr>
        <rFont val="Arial, sans-serif"/>
        <color rgb="FF1155CC"/>
        <u/>
      </rPr>
      <t>https://4ammedia.zendesk.com/agent/tickets/325133</t>
    </r>
  </si>
  <si>
    <r>
      <rPr>
        <rFont val="Arial, sans-serif"/>
        <color rgb="FF1155CC"/>
        <u/>
      </rPr>
      <t>https://4ammedia.zendesk.com/agent/tickets/318115</t>
    </r>
  </si>
  <si>
    <t>https://4ammedia.zendesk.com/agent/tickets/329338</t>
  </si>
  <si>
    <r>
      <rPr>
        <rFont val="Arial, sans-serif"/>
        <color rgb="FF1155CC"/>
        <u/>
      </rPr>
      <t>https://4ammedia.zendesk.com/agent/tickets/318258</t>
    </r>
  </si>
  <si>
    <r>
      <rPr>
        <rFont val="Arial, sans-serif"/>
        <color rgb="FF1155CC"/>
        <u/>
      </rPr>
      <t>https://4ammedia.zendesk.com/agent/tickets/318535</t>
    </r>
  </si>
  <si>
    <t>https://4ammedia.zendesk.com/agent/tickets/329395</t>
  </si>
  <si>
    <t>https://4ammedia.zendesk.com/agent/tickets/329597</t>
  </si>
  <si>
    <t>WEEK: May 25,2026 - May 31,2026</t>
  </si>
  <si>
    <t>https://4ammedia.zendesk.com/agent/tickets/330832</t>
  </si>
  <si>
    <r>
      <rPr>
        <rFont val="Arial, sans-serif"/>
        <color rgb="FF1155CC"/>
        <u/>
      </rPr>
      <t>https://4ammedia.zendesk.com/agent/tickets/328971</t>
    </r>
  </si>
  <si>
    <t>https://4ammedia.zendesk.com/agent/tickets/330893</t>
  </si>
  <si>
    <t>https://4ammedia.zendesk.com/agent/tickets/331058</t>
  </si>
  <si>
    <t>https://4ammedia.zendesk.com/agent/tickets/337042</t>
  </si>
  <si>
    <r>
      <rPr>
        <rFont val="Arial, sans-serif"/>
        <color rgb="FF1155CC"/>
        <u/>
      </rPr>
      <t>https://4ammedia.zendesk.com/agent/tickets/329020</t>
    </r>
  </si>
  <si>
    <t>https://4ammedia.zendesk.com/agent/tickets/337605</t>
  </si>
  <si>
    <t>https://4ammedia.zendesk.com/agent/tickets/337811</t>
  </si>
  <si>
    <r>
      <rPr>
        <rFont val="Arial, sans-serif"/>
        <color rgb="FF1155CC"/>
        <u/>
      </rPr>
      <t>https://4ammedia.zendesk.com/agent/tickets/329150</t>
    </r>
  </si>
  <si>
    <t>https://4ammedia.zendesk.com/agent/tickets/343205</t>
  </si>
  <si>
    <r>
      <rPr>
        <rFont val="Arial, sans-serif"/>
        <color rgb="FF1155CC"/>
        <u/>
      </rPr>
      <t>https://4ammedia.zendesk.com/agent/tickets/330947</t>
    </r>
  </si>
  <si>
    <t>https://4ammedia.zendesk.com/agent/tickets/343294</t>
  </si>
  <si>
    <r>
      <rPr>
        <rFont val="Arial, sans-serif"/>
        <color rgb="FF1155CC"/>
        <u/>
      </rPr>
      <t>https://4ammedia.zendesk.com/agent/tickets/331169</t>
    </r>
  </si>
  <si>
    <t>https://4ammedia.zendesk.com/agent/tickets/343366</t>
  </si>
  <si>
    <r>
      <rPr>
        <rFont val="Arial, sans-serif"/>
        <color rgb="FF1155CC"/>
        <u/>
      </rPr>
      <t>https://4ammedia.zendesk.com/agent/tickets/331314</t>
    </r>
  </si>
  <si>
    <t>https://4ammedia.zendesk.com/agent/tickets/346736</t>
  </si>
  <si>
    <t>https://4ammedia.zendesk.com/agent/tickets/346875</t>
  </si>
  <si>
    <r>
      <rPr>
        <rFont val="Arial, sans-serif"/>
        <color rgb="FF1155CC"/>
        <u/>
      </rPr>
      <t>https://4ammedia.zendesk.com/agent/tickets/334086</t>
    </r>
  </si>
  <si>
    <t>https://4ammedia.zendesk.com/agent/tickets/347003</t>
  </si>
  <si>
    <r>
      <rPr>
        <rFont val="Arial, sans-serif"/>
        <color rgb="FF1155CC"/>
        <u/>
      </rPr>
      <t>https://4ammedia.zendesk.com/agent/tickets/334330</t>
    </r>
  </si>
  <si>
    <r>
      <rPr>
        <rFont val="Arial, sans-serif"/>
        <color rgb="FF1155CC"/>
        <u/>
      </rPr>
      <t>https://4ammedia.zendesk.com/agent/tickets/334487</t>
    </r>
  </si>
  <si>
    <r>
      <rPr>
        <rFont val="Arial, sans-serif"/>
        <color rgb="FF1155CC"/>
        <u/>
      </rPr>
      <t>https://4ammedia.zendesk.com/agent/tickets/336776</t>
    </r>
  </si>
  <si>
    <t>WEEK: May 11-  May 17,2026</t>
  </si>
  <si>
    <r>
      <rPr>
        <rFont val="Arial, sans-serif"/>
        <color rgb="FF1155CC"/>
        <u/>
      </rPr>
      <t>https://4ammedia.zendesk.com/agent/tickets/337122</t>
    </r>
  </si>
  <si>
    <t>https://4ammedia.zendesk.com/agent/tickets/349891</t>
  </si>
  <si>
    <r>
      <rPr>
        <rFont val="Arial, sans-serif"/>
        <color rgb="FF1155CC"/>
        <u/>
      </rPr>
      <t>https://4ammedia.zendesk.com/agent/tickets/337631</t>
    </r>
  </si>
  <si>
    <r>
      <rPr>
        <rFont val="Arial, sans-serif"/>
        <color rgb="FF1155CC"/>
        <u/>
      </rPr>
      <t>https://4ammedia.zendesk.com/agent/tickets/340836</t>
    </r>
  </si>
  <si>
    <t>https://4ammedia.zendesk.com/agent/tickets/350420</t>
  </si>
  <si>
    <t>https://4ammedia.zendesk.com/agent/tickets/350759</t>
  </si>
  <si>
    <r>
      <rPr>
        <rFont val="Arial, sans-serif"/>
        <color rgb="FF1155CC"/>
        <u/>
      </rPr>
      <t>https://4ammedia.zendesk.com/agent/tickets/341031</t>
    </r>
  </si>
  <si>
    <r>
      <rPr>
        <rFont val="Arial, sans-serif"/>
        <color rgb="FF1155CC"/>
        <u/>
      </rPr>
      <t>https://4ammedia.zendesk.com/agent/tickets/341321</t>
    </r>
  </si>
  <si>
    <t>https://4ammedia.zendesk.com/agent/tickets/353070</t>
  </si>
  <si>
    <t>82</t>
  </si>
  <si>
    <t>57</t>
  </si>
  <si>
    <t>73</t>
  </si>
  <si>
    <t>55</t>
  </si>
  <si>
    <t>157</t>
  </si>
  <si>
    <t>https://4ammedia.zendesk.com/agent/tickets/353696</t>
  </si>
  <si>
    <t>https://4ammedia.zendesk.com/agent/tickets/353823</t>
  </si>
  <si>
    <t>https://4ammedia.zendesk.com/agent/tickets/358008</t>
  </si>
  <si>
    <r>
      <rPr>
        <rFont val="Arial, sans-serif"/>
        <color rgb="FF1155CC"/>
        <u/>
      </rPr>
      <t>https://4ammedia.zendesk.com/agent/tickets/349279</t>
    </r>
  </si>
  <si>
    <t>https://4ammedia.zendesk.com/agent/tickets/358549</t>
  </si>
  <si>
    <t>https://4ammedia.zendesk.com/agent/tickets/358701</t>
  </si>
  <si>
    <t>https://4ammedia.zendesk.com/agent/tickets/360781</t>
  </si>
  <si>
    <r>
      <rPr>
        <rFont val="Arial, sans-serif"/>
        <color rgb="FF1155CC"/>
        <u/>
      </rPr>
      <t>https://4ammedia.zendesk.com/agent/tickets/350744</t>
    </r>
  </si>
  <si>
    <t>https://4ammedia.zendesk.com/agent/tickets/361001</t>
  </si>
  <si>
    <r>
      <rPr>
        <rFont val="Arial, sans-serif"/>
        <color rgb="FF1155CC"/>
        <u/>
      </rPr>
      <t>https://4ammedia.zendesk.com/agent/tickets/350880</t>
    </r>
  </si>
  <si>
    <t>https://4ammedia.zendesk.com/agent/tickets/361131</t>
  </si>
  <si>
    <r>
      <rPr>
        <rFont val="Arial, sans-serif"/>
        <color rgb="FF1155CC"/>
        <u/>
      </rPr>
      <t>https://4ammedia.zendesk.com/agent/tickets/352999</t>
    </r>
  </si>
  <si>
    <t>https://4ammedia.zendesk.com/agent/tickets/363641</t>
  </si>
  <si>
    <r>
      <rPr>
        <rFont val="Arial, sans-serif"/>
        <color rgb="FF1155CC"/>
        <u/>
      </rPr>
      <t>https://4ammedia.zendesk.com/agent/tickets/353359</t>
    </r>
  </si>
  <si>
    <t>https://4ammedia.zendesk.com/agent/tickets/364344</t>
  </si>
  <si>
    <t>https://4ammedia.zendesk.com/agent/tickets/366337</t>
  </si>
  <si>
    <r>
      <rPr>
        <rFont val="Arial, sans-serif"/>
        <color rgb="FF1155CC"/>
        <u/>
      </rPr>
      <t>https://4ammedia.zendesk.com/agent/tickets/353477</t>
    </r>
  </si>
  <si>
    <r>
      <rPr>
        <rFont val="Arial, sans-serif"/>
        <color rgb="FF1155CC"/>
        <u/>
      </rPr>
      <t>https://4ammedia.zendesk.com/agent/tickets/355739</t>
    </r>
  </si>
  <si>
    <t>https://4ammedia.zendesk.com/agent/tickets/368997</t>
  </si>
  <si>
    <r>
      <rPr>
        <rFont val="Arial, sans-serif"/>
        <color rgb="FF1155CC"/>
        <u/>
      </rPr>
      <t>https://4ammedia.zendesk.com/agent/tickets/355825</t>
    </r>
  </si>
  <si>
    <t>WEEK: June 1,2026 - June 7,2026</t>
  </si>
  <si>
    <r>
      <rPr>
        <rFont val="Arial, sans-serif"/>
        <color rgb="FF1155CC"/>
        <u/>
      </rPr>
      <t>https://4ammedia.zendesk.com/agent/tickets/356036</t>
    </r>
  </si>
  <si>
    <r>
      <rPr>
        <rFont val="Arial, sans-serif"/>
        <color rgb="FF1155CC"/>
        <u/>
      </rPr>
      <t>https://4ammedia.zendesk.com/agent/tickets/357665</t>
    </r>
  </si>
  <si>
    <t>https://4ammedia.zendesk.com/agent/tickets/370590</t>
  </si>
  <si>
    <r>
      <rPr>
        <rFont val="Arial, sans-serif"/>
        <color rgb="FF1155CC"/>
        <u/>
      </rPr>
      <t>https://4ammedia.zendesk.com/agent/tickets/358100</t>
    </r>
  </si>
  <si>
    <t>https://4ammedia.zendesk.com/agent/tickets/370778</t>
  </si>
  <si>
    <t>https://4ammedia.zendesk.com/agent/tickets/373409</t>
  </si>
  <si>
    <r>
      <rPr>
        <rFont val="Arial, sans-serif"/>
        <color rgb="FF1155CC"/>
        <u/>
      </rPr>
      <t>https://4ammedia.zendesk.com/agent/tickets/358184</t>
    </r>
  </si>
  <si>
    <t>https://4ammedia.zendesk.com/agent/tickets/373972</t>
  </si>
  <si>
    <r>
      <rPr>
        <rFont val="Arial, sans-serif"/>
        <color rgb="FF1155CC"/>
        <u/>
      </rPr>
      <t>https://4ammedia.zendesk.com/agent/tickets/360938</t>
    </r>
  </si>
  <si>
    <t>https://4ammedia.zendesk.com/agent/tickets/373982</t>
  </si>
  <si>
    <r>
      <rPr>
        <rFont val="Arial, sans-serif"/>
        <color rgb="FF1155CC"/>
        <u/>
      </rPr>
      <t>https://4ammedia.zendesk.com/agent/tickets/361289</t>
    </r>
  </si>
  <si>
    <t>https://4ammedia.zendesk.com/agent/tickets/376214</t>
  </si>
  <si>
    <r>
      <rPr>
        <rFont val="Arial, sans-serif"/>
        <color rgb="FF1155CC"/>
        <u/>
      </rPr>
      <t>https://4ammedia.zendesk.com/agent/tickets/361557</t>
    </r>
  </si>
  <si>
    <t>https://4ammedia.zendesk.com/agent/tickets/376563</t>
  </si>
  <si>
    <t>https://4ammedia.zendesk.com/agent/tickets/376893</t>
  </si>
  <si>
    <t>https://4ammedia.zendesk.com/agent/tickets/379314</t>
  </si>
  <si>
    <r>
      <rPr>
        <rFont val="Arial, sans-serif"/>
        <color rgb="FF1155CC"/>
        <u/>
      </rPr>
      <t>https://4ammedia.zendesk.com/agent/tickets/368271</t>
    </r>
  </si>
  <si>
    <t>https://4ammedia.zendesk.com/agent/tickets/379716</t>
  </si>
  <si>
    <t>https://4ammedia.zendesk.com/agent/tickets/379794</t>
  </si>
  <si>
    <t>https://4ammedia.zendesk.com/agent/tickets/381348</t>
  </si>
  <si>
    <t>WEEK: May 18-  May 24,2026</t>
  </si>
  <si>
    <r>
      <rPr>
        <rFont val="Arial, sans-serif"/>
        <color rgb="FF1155CC"/>
        <u/>
      </rPr>
      <t>https://4ammedia.zendesk.com/agent/tickets/368448</t>
    </r>
  </si>
  <si>
    <t>84</t>
  </si>
  <si>
    <t>https://4ammedia.zendesk.com/agent/tickets/381509</t>
  </si>
  <si>
    <t>170</t>
  </si>
  <si>
    <r>
      <rPr>
        <rFont val="Arial, sans-serif"/>
        <color rgb="FF1155CC"/>
        <u/>
      </rPr>
      <t>https://4ammedia.zendesk.com/agent/tickets/368590</t>
    </r>
  </si>
  <si>
    <t>https://4ammedia.zendesk.com/agent/tickets/381679</t>
  </si>
  <si>
    <r>
      <rPr>
        <rFont val="Arial, sans-serif"/>
        <color rgb="FF1155CC"/>
        <u/>
      </rPr>
      <t>https://4ammedia.zendesk.com/agent/tickets/372498</t>
    </r>
  </si>
  <si>
    <r>
      <rPr>
        <rFont val="Arial, sans-serif"/>
        <color rgb="FF1155CC"/>
        <u/>
      </rPr>
      <t>https://4ammedia.zendesk.com/agent/tickets/372979</t>
    </r>
  </si>
  <si>
    <r>
      <rPr>
        <rFont val="Arial, sans-serif"/>
        <color rgb="FF1155CC"/>
        <u/>
      </rPr>
      <t>https://4ammedia.zendesk.com/agent/tickets/373068</t>
    </r>
  </si>
  <si>
    <t>https://4ammedia.zendesk.com/agent/tickets/389227</t>
  </si>
  <si>
    <r>
      <rPr>
        <rFont val="Arial, sans-serif"/>
        <color rgb="FF1155CC"/>
        <u/>
      </rPr>
      <t>https://4ammedia.zendesk.com/agent/tickets/376620</t>
    </r>
  </si>
  <si>
    <r>
      <rPr>
        <rFont val="Arial, sans-serif"/>
        <color rgb="FF1155CC"/>
        <u/>
      </rPr>
      <t>https://4ammedia.zendesk.com/agent/tickets/376943</t>
    </r>
  </si>
  <si>
    <t>https://4ammedia.zendesk.com/agent/tickets/389825</t>
  </si>
  <si>
    <r>
      <rPr>
        <rFont val="Arial, sans-serif"/>
        <color rgb="FF1155CC"/>
        <u/>
      </rPr>
      <t>https://4ammedia.zendesk.com/agent/tickets/377105</t>
    </r>
  </si>
  <si>
    <t>https://4ammedia.zendesk.com/agent/tickets/390658</t>
  </si>
  <si>
    <r>
      <rPr>
        <rFont val="Arial, sans-serif"/>
        <color rgb="FF1155CC"/>
        <u/>
      </rPr>
      <t>https://4ammedia.zendesk.com/agent/tickets/379527</t>
    </r>
  </si>
  <si>
    <t>https://4ammedia.zendesk.com/agent/tickets/392322</t>
  </si>
  <si>
    <t>WEEK: June 8,2026 - June 14,2026</t>
  </si>
  <si>
    <r>
      <rPr>
        <rFont val="Arial, sans-serif"/>
        <color rgb="FF1155CC"/>
        <u/>
      </rPr>
      <t>https://4ammedia.zendesk.com/agent/tickets/379646</t>
    </r>
  </si>
  <si>
    <t>https://4ammedia.zendesk.com/agent/tickets/392665</t>
  </si>
  <si>
    <r>
      <rPr>
        <rFont val="Arial, sans-serif"/>
        <color rgb="FF1155CC"/>
        <u/>
      </rPr>
      <t>https://4ammedia.zendesk.com/agent/tickets/379677</t>
    </r>
  </si>
  <si>
    <t>https://4ammedia.zendesk.com/agent/tickets/392808</t>
  </si>
  <si>
    <r>
      <rPr>
        <rFont val="Arial, sans-serif"/>
        <color rgb="FF1155CC"/>
        <u/>
      </rPr>
      <t>https://4ammedia.zendesk.com/agent/tickets/382147</t>
    </r>
  </si>
  <si>
    <t>https://4ammedia.zendesk.com/agent/tickets/398741</t>
  </si>
  <si>
    <t>https://4ammedia.zendesk.com/agent/tickets/399165</t>
  </si>
  <si>
    <r>
      <rPr>
        <rFont val="Arial, sans-serif"/>
        <color rgb="FF000000"/>
      </rPr>
      <t>https://4ammedia.zendesk.com/agent/tickets/382374</t>
    </r>
  </si>
  <si>
    <r>
      <rPr>
        <rFont val="Arial, sans-serif"/>
        <color rgb="FF1155CC"/>
        <u/>
      </rPr>
      <t>https://4ammedia.zendesk.com/agent/tickets/382423</t>
    </r>
  </si>
  <si>
    <t>https://4ammedia.zendesk.com/agent/tickets/399891</t>
  </si>
  <si>
    <t>https://4ammedia.zendesk.com/agent/tickets/402499</t>
  </si>
  <si>
    <t>https://4ammedia.zendesk.com/agent/tickets/402857</t>
  </si>
  <si>
    <t>https://4ammedia.zendesk.com/agent/tickets/403302</t>
  </si>
  <si>
    <t>https://4ammedia.zendesk.com/agent/tickets/411125</t>
  </si>
  <si>
    <t>ABSENT</t>
  </si>
  <si>
    <t>No</t>
  </si>
  <si>
    <t>https://4ammedia.zendesk.com/agent/tickets/411470</t>
  </si>
  <si>
    <t>https://4ammedia.zendesk.com/agent/tickets/411538</t>
  </si>
  <si>
    <t>https://4ammedia.zendesk.com/agent/tickets/415663</t>
  </si>
  <si>
    <t>https://4ammedia.zendesk.com/agent/tickets/415981</t>
  </si>
  <si>
    <t>https://4ammedia.zendesk.com/agent/tickets/416125</t>
  </si>
  <si>
    <r>
      <rPr>
        <rFont val="Arial, sans-serif"/>
        <color rgb="FF1155CC"/>
        <u/>
      </rPr>
      <t>https://4ammedia.zendesk.com/agent/tickets/411649</t>
    </r>
  </si>
  <si>
    <t>https://4ammedia.zendesk.com/agent/tickets/422765</t>
  </si>
  <si>
    <t>https://4ammedia.zendesk.com/agent/tickets/423039</t>
  </si>
  <si>
    <t>https://4ammedia.zendesk.com/agent/tickets/423248</t>
  </si>
  <si>
    <r>
      <rPr>
        <rFont val="Arial, sans-serif"/>
        <color rgb="FF1155CC"/>
        <u/>
      </rPr>
      <t>https://4ammedia.zendesk.com/agent/tickets/411921</t>
    </r>
  </si>
  <si>
    <t>https://4ammedia.zendesk.com/agent/tickets/429219</t>
  </si>
  <si>
    <t>WEEK: June 15,2026 - June 21,2026</t>
  </si>
  <si>
    <t>WEEK: May 25-  May 31,2026</t>
  </si>
  <si>
    <r>
      <rPr>
        <rFont val="Arial, sans-serif"/>
        <color rgb="FF1155CC"/>
        <u/>
      </rPr>
      <t>https://4ammedia.zendesk.com/agent/tickets/412020</t>
    </r>
  </si>
  <si>
    <t>https://4ammedia.zendesk.com/agent/tickets/429693</t>
  </si>
  <si>
    <r>
      <rPr>
        <rFont val="Arial, sans-serif"/>
        <color rgb="FF1155CC"/>
        <u/>
      </rPr>
      <t>https://4ammedia.zendesk.com/agent/tickets/415273</t>
    </r>
  </si>
  <si>
    <t>https://4ammedia.zendesk.com/agent/tickets/430213</t>
  </si>
  <si>
    <r>
      <rPr>
        <rFont val="Arial, sans-serif"/>
        <color rgb="FF1155CC"/>
        <u/>
      </rPr>
      <t>https://4ammedia.zendesk.com/agent/tickets/415441</t>
    </r>
  </si>
  <si>
    <r>
      <rPr>
        <rFont val="Arial, sans-serif"/>
        <color rgb="FF1155CC"/>
        <u/>
      </rPr>
      <t>https://4ammedia.zendesk.com/agent/tickets/415551</t>
    </r>
  </si>
  <si>
    <r>
      <rPr>
        <rFont val="Arial, sans-serif"/>
        <color rgb="FF1155CC"/>
        <u/>
      </rPr>
      <t>https://4ammedia.zendesk.com/agent/tickets/419197</t>
    </r>
  </si>
  <si>
    <r>
      <rPr>
        <rFont val="Arial, sans-serif"/>
        <color rgb="FF1155CC"/>
        <u/>
      </rPr>
      <t>https://4ammedia.zendesk.com/agent/tickets/419493</t>
    </r>
  </si>
  <si>
    <r>
      <rPr>
        <rFont val="Arial, sans-serif"/>
        <color rgb="FF1155CC"/>
        <u/>
      </rPr>
      <t>https://4ammedia.zendesk.com/agent/tickets/419570</t>
    </r>
  </si>
  <si>
    <r>
      <rPr>
        <rFont val="Arial, sans-serif"/>
        <color rgb="FF1155CC"/>
        <u/>
      </rPr>
      <t>https://4ammedia.zendesk.com/agent/tickets/422332</t>
    </r>
  </si>
  <si>
    <r>
      <rPr>
        <rFont val="Arial, sans-serif"/>
        <color rgb="FF1155CC"/>
        <u/>
      </rPr>
      <t>https://4ammedia.zendesk.com/agent/tickets/422670</t>
    </r>
  </si>
  <si>
    <r>
      <rPr>
        <rFont val="Arial, sans-serif"/>
        <color rgb="FF1155CC"/>
        <u/>
      </rPr>
      <t>https://4ammedia.zendesk.com/agent/tickets/422767</t>
    </r>
  </si>
  <si>
    <r>
      <rPr>
        <rFont val="Arial, sans-serif"/>
        <color rgb="FF1155CC"/>
        <u/>
      </rPr>
      <t>https://4ammedia.zendesk.com/agent/tickets/425263</t>
    </r>
  </si>
  <si>
    <r>
      <rPr>
        <rFont val="Arial, sans-serif"/>
        <color rgb="FF1155CC"/>
        <u/>
      </rPr>
      <t>https://4ammedia.zendesk.com/agent/tickets/425582</t>
    </r>
  </si>
  <si>
    <r>
      <rPr>
        <rFont val="Arial, sans-serif"/>
        <color rgb="FF1155CC"/>
        <u/>
      </rPr>
      <t>https://4ammedia.zendesk.com/agent/tickets/425629</t>
    </r>
  </si>
  <si>
    <t>81</t>
  </si>
  <si>
    <t>37</t>
  </si>
  <si>
    <t>58</t>
  </si>
  <si>
    <t>77</t>
  </si>
  <si>
    <t>36</t>
  </si>
  <si>
    <r>
      <rPr>
        <rFont val="Arial, sans-serif"/>
        <color rgb="FF1155CC"/>
        <u/>
      </rPr>
      <t>https://4ammedia.zendesk.com/agent/tickets/236913</t>
    </r>
  </si>
  <si>
    <t>WEEK: June 22,2026 - June 28,2026</t>
  </si>
  <si>
    <r>
      <rPr>
        <rFont val="Arial, sans-serif"/>
        <color rgb="FF1155CC"/>
        <u/>
      </rPr>
      <t>https://4ammedia.zendesk.com/agent/tickets/236968</t>
    </r>
  </si>
  <si>
    <r>
      <rPr>
        <rFont val="Arial, sans-serif"/>
        <color rgb="FF1155CC"/>
        <u/>
      </rPr>
      <t>https://4ammedia.zendesk.com/agent/tickets/237096</t>
    </r>
  </si>
  <si>
    <r>
      <rPr>
        <rFont val="Arial, sans-serif"/>
        <color rgb="FF1155CC"/>
        <u/>
      </rPr>
      <t>https://4ammedia.zendesk.com/agent/tickets/238882</t>
    </r>
  </si>
  <si>
    <r>
      <rPr>
        <rFont val="Arial, sans-serif"/>
        <color rgb="FF1155CC"/>
        <u/>
      </rPr>
      <t>https://4ammedia.zendesk.com/agent/tickets/239043</t>
    </r>
  </si>
  <si>
    <r>
      <rPr>
        <rFont val="Arial, sans-serif"/>
        <color rgb="FF1155CC"/>
        <u/>
      </rPr>
      <t>https://4ammedia.zendesk.com/agent/tickets/236969</t>
    </r>
  </si>
  <si>
    <r>
      <rPr>
        <rFont val="Arial, sans-serif"/>
        <color rgb="FF1155CC"/>
        <u/>
      </rPr>
      <t>https://4ammedia.zendesk.com/agent/tickets/239140</t>
    </r>
  </si>
  <si>
    <r>
      <rPr>
        <rFont val="Arial, sans-serif"/>
        <color rgb="FF1155CC"/>
        <u/>
      </rPr>
      <t>https://4ammedia.zendesk.com/agent/tickets/241082</t>
    </r>
  </si>
  <si>
    <r>
      <rPr>
        <rFont val="Arial, sans-serif"/>
        <color rgb="FF1155CC"/>
        <u/>
      </rPr>
      <t>https://4ammedia.zendesk.com/agent/tickets/241283</t>
    </r>
  </si>
  <si>
    <r>
      <rPr>
        <rFont val="Arial, sans-serif"/>
        <color rgb="FF1155CC"/>
        <u/>
      </rPr>
      <t>https://4ammedia.zendesk.com/agent/tickets/241441</t>
    </r>
  </si>
  <si>
    <t>WEEK: June 1-  June 5,2026</t>
  </si>
  <si>
    <r>
      <rPr>
        <rFont val="Arial, sans-serif"/>
        <color rgb="FF1155CC"/>
        <u/>
      </rPr>
      <t>https://4ammedia.zendesk.com/agent/tickets/243296</t>
    </r>
  </si>
  <si>
    <r>
      <rPr>
        <rFont val="Arial, sans-serif"/>
        <color rgb="FF1155CC"/>
        <u/>
      </rPr>
      <t>https://4ammedia.zendesk.com/agent/tickets/237078</t>
    </r>
  </si>
  <si>
    <r>
      <rPr>
        <rFont val="Arial, sans-serif"/>
        <color rgb="FF1155CC"/>
        <u/>
      </rPr>
      <t>https://4ammedia.zendesk.com/agent/tickets/243386</t>
    </r>
  </si>
  <si>
    <r>
      <rPr>
        <rFont val="Arial, sans-serif"/>
        <color rgb="FF1155CC"/>
        <u/>
      </rPr>
      <t>https://4ammedia.zendesk.com/agent/tickets/237268</t>
    </r>
  </si>
  <si>
    <r>
      <rPr>
        <rFont val="Arial, sans-serif"/>
        <color rgb="FF1155CC"/>
        <u/>
      </rPr>
      <t>https://4ammedia.zendesk.com/agent/tickets/243544</t>
    </r>
  </si>
  <si>
    <r>
      <rPr>
        <rFont val="Arial, sans-serif"/>
        <color rgb="FF1155CC"/>
        <u/>
      </rPr>
      <t>https://4ammedia.zendesk.com/agent/tickets/238780</t>
    </r>
  </si>
  <si>
    <r>
      <rPr>
        <rFont val="Arial, sans-serif"/>
        <color rgb="FF1155CC"/>
        <u/>
      </rPr>
      <t>https://4ammedia.zendesk.com/agent/tickets/248355</t>
    </r>
  </si>
  <si>
    <r>
      <rPr>
        <rFont val="Arial, sans-serif"/>
        <color rgb="FF1155CC"/>
        <u/>
      </rPr>
      <t>https://4ammedia.zendesk.com/agent/tickets/239052</t>
    </r>
  </si>
  <si>
    <r>
      <rPr>
        <rFont val="Arial, sans-serif"/>
        <color rgb="FF1155CC"/>
        <u/>
      </rPr>
      <t>https://4ammedia.zendesk.com/agent/tickets/248429</t>
    </r>
  </si>
  <si>
    <r>
      <rPr>
        <rFont val="Arial, sans-serif"/>
        <color rgb="FF1155CC"/>
        <u/>
      </rPr>
      <t>https://4ammedia.zendesk.com/agent/tickets/239128</t>
    </r>
  </si>
  <si>
    <t>113</t>
  </si>
  <si>
    <r>
      <rPr>
        <rFont val="Arial, sans-serif"/>
        <color rgb="FF1155CC"/>
        <u/>
      </rPr>
      <t>https://4ammedia.zendesk.com/agent/tickets/248481</t>
    </r>
  </si>
  <si>
    <t>80</t>
  </si>
  <si>
    <r>
      <rPr>
        <rFont val="Arial, sans-serif"/>
        <color rgb="FF1155CC"/>
        <u/>
      </rPr>
      <t>https://4ammedia.zendesk.com/agent/tickets/240800</t>
    </r>
  </si>
  <si>
    <r>
      <rPr>
        <rFont val="Arial, sans-serif"/>
        <color rgb="FF1155CC"/>
        <u/>
      </rPr>
      <t>https://4ammedia.zendesk.com/agent/tickets/240912</t>
    </r>
  </si>
  <si>
    <r>
      <rPr>
        <rFont val="Arial, sans-serif"/>
        <color rgb="FF1155CC"/>
        <u/>
      </rPr>
      <t>https://4ammedia.zendesk.com/agent/tickets/240949</t>
    </r>
  </si>
  <si>
    <r>
      <rPr>
        <rFont val="Arial, sans-serif"/>
        <color rgb="FF1155CC"/>
        <u/>
      </rPr>
      <t>https://4ammedia.zendesk.com/agent/tickets/250325</t>
    </r>
  </si>
  <si>
    <r>
      <rPr>
        <rFont val="Arial, sans-serif"/>
        <color rgb="FF1155CC"/>
        <u/>
      </rPr>
      <t>https://4ammedia.zendesk.com/agent/tickets/247169</t>
    </r>
  </si>
  <si>
    <r>
      <rPr>
        <rFont val="Arial, sans-serif"/>
        <color rgb="FF1155CC"/>
        <u/>
      </rPr>
      <t>https://4ammedia.zendesk.com/agent/tickets/247210</t>
    </r>
  </si>
  <si>
    <r>
      <rPr>
        <rFont val="Arial, sans-serif"/>
        <color rgb="FF1155CC"/>
        <u/>
      </rPr>
      <t>https://4ammedia.zendesk.com/agent/tickets/250378</t>
    </r>
  </si>
  <si>
    <r>
      <rPr>
        <rFont val="Arial, sans-serif"/>
        <color rgb="FF1155CC"/>
        <u/>
      </rPr>
      <t>https://4ammedia.zendesk.com/agent/tickets/247300</t>
    </r>
  </si>
  <si>
    <r>
      <rPr>
        <rFont val="Arial, sans-serif"/>
        <color rgb="FF1155CC"/>
        <u/>
      </rPr>
      <t>https://4ammedia.zendesk.com/agent/tickets/250680</t>
    </r>
  </si>
  <si>
    <r>
      <rPr>
        <rFont val="Arial, sans-serif"/>
        <color rgb="FF1155CC"/>
        <u/>
      </rPr>
      <t>https://4ammedia.zendesk.com/agent/tickets/248366</t>
    </r>
  </si>
  <si>
    <r>
      <rPr>
        <rFont val="Arial, sans-serif"/>
        <color rgb="FF1155CC"/>
        <u/>
      </rPr>
      <t>https://4ammedia.zendesk.com/agent/tickets/251780</t>
    </r>
  </si>
  <si>
    <r>
      <rPr>
        <rFont val="Arial, sans-serif"/>
        <color rgb="FF1155CC"/>
        <u/>
      </rPr>
      <t>https://4ammedia.zendesk.com/agent/tickets/248384</t>
    </r>
  </si>
  <si>
    <r>
      <rPr>
        <color rgb="FF1155CC"/>
        <u/>
      </rPr>
      <t>https://4ammedia.zendesk.com/agent/tickets/252276</t>
    </r>
  </si>
  <si>
    <r>
      <rPr>
        <rFont val="Arial, sans-serif"/>
        <color rgb="FF1155CC"/>
        <u/>
      </rPr>
      <t>https://4ammedia.zendesk.com/agent/tickets/248396</t>
    </r>
  </si>
  <si>
    <t>CSR offered replacement even though the order is already passed the return window</t>
  </si>
  <si>
    <r>
      <rPr>
        <rFont val="Arial, sans-serif"/>
        <color rgb="FF1155CC"/>
        <u/>
      </rPr>
      <t>https://4ammedia.zendesk.com/agent/tickets/251918</t>
    </r>
  </si>
  <si>
    <t>WEEK: June 29,2026 - July 5,2026</t>
  </si>
  <si>
    <r>
      <rPr>
        <rFont val="Arial, sans-serif"/>
        <color rgb="FF1155CC"/>
        <u/>
      </rPr>
      <t>https://4ammedia.zendesk.com/agent/tickets/254686</t>
    </r>
  </si>
  <si>
    <r>
      <rPr>
        <rFont val="Arial, sans-serif"/>
        <color rgb="FF1155CC"/>
        <u/>
      </rPr>
      <t>https://4ammedia.zendesk.com/agent/tickets/254960</t>
    </r>
  </si>
  <si>
    <r>
      <rPr>
        <rFont val="Arial, sans-serif"/>
        <color rgb="FF1155CC"/>
        <u/>
      </rPr>
      <t>https://4ammedia.zendesk.com/agent/tickets/250320</t>
    </r>
  </si>
  <si>
    <r>
      <rPr>
        <rFont val="Arial, sans-serif"/>
        <color rgb="FF1155CC"/>
        <u/>
      </rPr>
      <t>https://4ammedia.zendesk.com/agent/tickets/255022</t>
    </r>
  </si>
  <si>
    <r>
      <rPr>
        <rFont val="Arial, sans-serif"/>
        <color rgb="FF1155CC"/>
        <u/>
      </rPr>
      <t>https://4ammedia.zendesk.com/agent/tickets/260104</t>
    </r>
  </si>
  <si>
    <r>
      <rPr>
        <rFont val="Arial, sans-serif"/>
        <color rgb="FF1155CC"/>
        <u/>
      </rPr>
      <t>https://4ammedia.zendesk.com/agent/tickets/260160</t>
    </r>
  </si>
  <si>
    <r>
      <rPr>
        <rFont val="Arial, sans-serif"/>
        <color rgb="FF1155CC"/>
        <u/>
      </rPr>
      <t>https://4ammedia.zendesk.com/agent/tickets/250538</t>
    </r>
  </si>
  <si>
    <r>
      <rPr>
        <rFont val="Arial, sans-serif"/>
        <color rgb="FF1155CC"/>
        <u/>
      </rPr>
      <t>https://4ammedia.zendesk.com/agent/tickets/260193</t>
    </r>
  </si>
  <si>
    <r>
      <rPr>
        <rFont val="Arial, sans-serif"/>
        <color rgb="FF1155CC"/>
        <u/>
      </rPr>
      <t>https://4ammedia.zendesk.com/agent/tickets/261437</t>
    </r>
  </si>
  <si>
    <r>
      <rPr>
        <rFont val="Arial, sans-serif"/>
        <color rgb="FF1155CC"/>
        <u/>
      </rPr>
      <t>https://4ammedia.zendesk.com/agent/tickets/250767</t>
    </r>
  </si>
  <si>
    <r>
      <rPr>
        <rFont val="Arial, sans-serif"/>
        <color rgb="FF1155CC"/>
        <u/>
      </rPr>
      <t>https://4ammedia.zendesk.com/agent/tickets/261529</t>
    </r>
  </si>
  <si>
    <r>
      <rPr>
        <rFont val="Arial, sans-serif"/>
        <color rgb="FF1155CC"/>
        <u/>
      </rPr>
      <t>https://4ammedia.zendesk.com/agent/tickets/252438</t>
    </r>
  </si>
  <si>
    <r>
      <rPr>
        <rFont val="Arial, sans-serif"/>
        <color rgb="FF1155CC"/>
        <u/>
      </rPr>
      <t>https://4ammedia.zendesk.com/agent/tickets/261660</t>
    </r>
  </si>
  <si>
    <r>
      <rPr>
        <rFont val="Arial, sans-serif"/>
        <color rgb="FF1155CC"/>
        <u/>
      </rPr>
      <t>https://4ammedia.zendesk.com/agent/tickets/252513</t>
    </r>
  </si>
  <si>
    <r>
      <rPr>
        <rFont val="Arial, sans-serif"/>
        <color rgb="FF1155CC"/>
        <u/>
      </rPr>
      <t>https://4ammedia.zendesk.com/agent/tickets/252651</t>
    </r>
  </si>
  <si>
    <r>
      <rPr>
        <rFont val="Arial, sans-serif"/>
        <color rgb="FF1155CC"/>
        <u/>
      </rPr>
      <t>https://4ammedia.zendesk.com/agent/tickets/254610</t>
    </r>
  </si>
  <si>
    <r>
      <rPr>
        <rFont val="Arial, sans-serif"/>
        <color rgb="FF1155CC"/>
        <u/>
      </rPr>
      <t>https://4ammedia.zendesk.com/agent/tickets/262991</t>
    </r>
  </si>
  <si>
    <r>
      <rPr>
        <rFont val="Arial, sans-serif"/>
        <color rgb="FF1155CC"/>
        <u/>
      </rPr>
      <t>https://4ammedia.zendesk.com/agent/tickets/254716</t>
    </r>
  </si>
  <si>
    <r>
      <rPr>
        <rFont val="Arial, sans-serif"/>
        <color rgb="FF1155CC"/>
        <u/>
      </rPr>
      <t>https://4ammedia.zendesk.com/agent/tickets/254781</t>
    </r>
  </si>
  <si>
    <r>
      <rPr>
        <rFont val="Arial, sans-serif"/>
        <color rgb="FF1155CC"/>
        <u/>
      </rPr>
      <t>https://4ammedia.zendesk.com/agent/tickets/263282</t>
    </r>
  </si>
  <si>
    <r>
      <rPr>
        <rFont val="Arial, sans-serif"/>
        <color rgb="FF1155CC"/>
        <u/>
      </rPr>
      <t>https://4ammedia.zendesk.com/agent/tickets/259988</t>
    </r>
  </si>
  <si>
    <t>WEEK: June 8-  June 14,2026</t>
  </si>
  <si>
    <r>
      <rPr>
        <rFont val="Arial, sans-serif"/>
        <color rgb="FF1155CC"/>
        <u/>
      </rPr>
      <t>https://4ammedia.zendesk.com/agent/tickets/263653</t>
    </r>
  </si>
  <si>
    <r>
      <rPr>
        <rFont val="Arial, sans-serif"/>
        <color rgb="FF1155CC"/>
        <u/>
      </rPr>
      <t>https://4ammedia.zendesk.com/agent/tickets/260175</t>
    </r>
  </si>
  <si>
    <r>
      <rPr>
        <rFont val="Arial, sans-serif"/>
        <color rgb="FF1155CC"/>
        <u/>
      </rPr>
      <t>https://4ammedia.zendesk.com/agent/tickets/265337</t>
    </r>
  </si>
  <si>
    <r>
      <rPr>
        <rFont val="Arial, sans-serif"/>
        <color rgb="FF1155CC"/>
        <u/>
      </rPr>
      <t>https://4ammedia.zendesk.com/agent/tickets/260386</t>
    </r>
  </si>
  <si>
    <r>
      <rPr>
        <rFont val="Arial, sans-serif"/>
        <color rgb="FF1155CC"/>
        <u/>
      </rPr>
      <t>https://4ammedia.zendesk.com/agent/tickets/265403</t>
    </r>
  </si>
  <si>
    <r>
      <rPr>
        <rFont val="Arial, sans-serif"/>
        <color rgb="FF1155CC"/>
        <u/>
      </rPr>
      <t>https://4ammedia.zendesk.com/agent/tickets/261653</t>
    </r>
  </si>
  <si>
    <r>
      <rPr>
        <rFont val="Arial, sans-serif"/>
        <color rgb="FF1155CC"/>
        <u/>
      </rPr>
      <t>https://4ammedia.zendesk.com/agent/tickets/265441</t>
    </r>
  </si>
  <si>
    <r>
      <rPr>
        <rFont val="Arial, sans-serif"/>
        <color rgb="FF1155CC"/>
        <u/>
      </rPr>
      <t>https://4ammedia.zendesk.com/agent/tickets/261683</t>
    </r>
  </si>
  <si>
    <r>
      <rPr>
        <rFont val="Arial, sans-serif"/>
        <color rgb="FF1155CC"/>
        <u/>
      </rPr>
      <t>https://4ammedia.zendesk.com/agent/tickets/267801</t>
    </r>
  </si>
  <si>
    <r>
      <rPr>
        <rFont val="Arial, sans-serif"/>
        <color rgb="FF1155CC"/>
        <u/>
      </rPr>
      <t>https://4ammedia.zendesk.com/agent/tickets/261720</t>
    </r>
  </si>
  <si>
    <r>
      <rPr>
        <rFont val="Arial, sans-serif"/>
        <color rgb="FF1155CC"/>
        <u/>
      </rPr>
      <t>https://4ammedia.zendesk.com/agent/tickets/267944</t>
    </r>
  </si>
  <si>
    <r>
      <rPr>
        <rFont val="Arial, sans-serif"/>
        <color rgb="FF1155CC"/>
        <u/>
      </rPr>
      <t>https://4ammedia.zendesk.com/agent/tickets/268102</t>
    </r>
  </si>
  <si>
    <r>
      <rPr>
        <rFont val="Arial, sans-serif"/>
        <color rgb="FF1155CC"/>
        <u/>
      </rPr>
      <t>https://4ammedia.zendesk.com/agent/tickets/269513</t>
    </r>
  </si>
  <si>
    <r>
      <rPr>
        <rFont val="Arial, sans-serif"/>
        <color rgb="FF1155CC"/>
        <u/>
      </rPr>
      <t>https://4ammedia.zendesk.com/agent/tickets/263082</t>
    </r>
  </si>
  <si>
    <r>
      <rPr>
        <rFont val="Arial, sans-serif"/>
        <color rgb="FF1155CC"/>
        <u/>
      </rPr>
      <t>https://4ammedia.zendesk.com/agent/tickets/269672</t>
    </r>
  </si>
  <si>
    <r>
      <rPr>
        <rFont val="Arial, sans-serif"/>
        <color rgb="FF1155CC"/>
        <u/>
      </rPr>
      <t>https://4ammedia.zendesk.com/agent/tickets/269697</t>
    </r>
  </si>
  <si>
    <r>
      <rPr>
        <rFont val="Arial, sans-serif"/>
        <color rgb="FF1155CC"/>
        <u/>
      </rPr>
      <t>https://4ammedia.zendesk.com/agent/tickets/273172</t>
    </r>
  </si>
  <si>
    <r>
      <rPr>
        <rFont val="Arial, sans-serif"/>
        <color rgb="FF1155CC"/>
        <u/>
      </rPr>
      <t>https://4ammedia.zendesk.com/agent/tickets/263348</t>
    </r>
  </si>
  <si>
    <t>WEEK: July 6,2026 - July 12,2026</t>
  </si>
  <si>
    <r>
      <rPr>
        <rFont val="Arial, sans-serif"/>
        <color rgb="FF1155CC"/>
        <u/>
      </rPr>
      <t>https://4ammedia.zendesk.com/agent/tickets/273327</t>
    </r>
  </si>
  <si>
    <r>
      <rPr>
        <rFont val="Arial, sans-serif"/>
        <color rgb="FF1155CC"/>
        <u/>
      </rPr>
      <t>https://4ammedia.zendesk.com/agent/tickets/263642</t>
    </r>
  </si>
  <si>
    <r>
      <rPr>
        <rFont val="Arial, sans-serif"/>
        <color rgb="FF1155CC"/>
        <u/>
      </rPr>
      <t>https://4ammedia.zendesk.com/agent/tickets/273459</t>
    </r>
  </si>
  <si>
    <r>
      <rPr>
        <rFont val="Arial, sans-serif"/>
        <color rgb="FF1155CC"/>
        <u/>
      </rPr>
      <t>https://4ammedia.zendesk.com/agent/tickets/265795</t>
    </r>
  </si>
  <si>
    <r>
      <rPr>
        <rFont val="Arial, sans-serif"/>
        <color rgb="FF1155CC"/>
        <u/>
      </rPr>
      <t>https://4ammedia.zendesk.com/agent/tickets/266020</t>
    </r>
  </si>
  <si>
    <r>
      <rPr>
        <rFont val="Arial, sans-serif"/>
        <color rgb="FF1155CC"/>
        <u/>
      </rPr>
      <t>https://4ammedia.zendesk.com/agent/tickets/276368</t>
    </r>
  </si>
  <si>
    <r>
      <rPr>
        <rFont val="Arial, sans-serif"/>
        <color rgb="FF1155CC"/>
        <u/>
      </rPr>
      <t>https://4ammedia.zendesk.com/agent/tickets/266068</t>
    </r>
  </si>
  <si>
    <r>
      <rPr>
        <rFont val="Arial, sans-serif"/>
        <color rgb="FF1155CC"/>
        <u/>
      </rPr>
      <t>https://4ammedia.zendesk.com/agent/tickets/267938</t>
    </r>
  </si>
  <si>
    <r>
      <rPr>
        <rFont val="Arial, sans-serif"/>
        <color rgb="FF1155CC"/>
        <u/>
      </rPr>
      <t>https://4ammedia.zendesk.com/agent/tickets/268090</t>
    </r>
  </si>
  <si>
    <r>
      <rPr>
        <rFont val="Arial, sans-serif"/>
        <color rgb="FF1155CC"/>
        <u/>
      </rPr>
      <t>https://4ammedia.zendesk.com/agent/tickets/276462</t>
    </r>
  </si>
  <si>
    <r>
      <rPr>
        <rFont val="Arial, sans-serif"/>
        <color rgb="FF1155CC"/>
        <u/>
      </rPr>
      <t>https://4ammedia.zendesk.com/agent/tickets/268174</t>
    </r>
  </si>
  <si>
    <r>
      <rPr>
        <rFont val="Arial, sans-serif"/>
        <color rgb="FF1155CC"/>
        <u/>
      </rPr>
      <t>https://4ammedia.zendesk.com/agent/tickets/276656</t>
    </r>
  </si>
  <si>
    <r>
      <rPr>
        <rFont val="Arial, sans-serif"/>
        <color rgb="FF1155CC"/>
        <u/>
      </rPr>
      <t>https://4ammedia.zendesk.com/agent/tickets/273237</t>
    </r>
  </si>
  <si>
    <r>
      <rPr>
        <rFont val="Arial, sans-serif"/>
        <color rgb="FF1155CC"/>
        <u/>
      </rPr>
      <t>https://4ammedia.zendesk.com/agent/tickets/278079</t>
    </r>
  </si>
  <si>
    <r>
      <rPr>
        <rFont val="Arial, sans-serif"/>
        <color rgb="FF1155CC"/>
        <u/>
      </rPr>
      <t>https://4ammedia.zendesk.com/agent/tickets/273457</t>
    </r>
  </si>
  <si>
    <r>
      <rPr>
        <rFont val="Arial, sans-serif"/>
        <color rgb="FF1155CC"/>
        <u/>
      </rPr>
      <t>https://4ammedia.zendesk.com/agent/tickets/278137</t>
    </r>
  </si>
  <si>
    <r>
      <rPr>
        <rFont val="Arial, sans-serif"/>
        <color rgb="FF1155CC"/>
        <u/>
      </rPr>
      <t>https://4ammedia.zendesk.com/agent/tickets/273516</t>
    </r>
  </si>
  <si>
    <r>
      <rPr>
        <rFont val="Arial, sans-serif"/>
        <color rgb="FF1155CC"/>
        <u/>
      </rPr>
      <t>https://4ammedia.zendesk.com/agent/tickets/278210</t>
    </r>
  </si>
  <si>
    <r>
      <rPr>
        <rFont val="Arial, sans-serif"/>
        <color rgb="FF1155CC"/>
        <u/>
      </rPr>
      <t>https://4ammedia.zendesk.com/agent/tickets/274602</t>
    </r>
  </si>
  <si>
    <r>
      <rPr>
        <rFont val="Arial, sans-serif"/>
        <color rgb="FF1155CC"/>
        <u/>
      </rPr>
      <t>https://4ammedia.zendesk.com/agent/tickets/280718</t>
    </r>
  </si>
  <si>
    <r>
      <rPr>
        <rFont val="Arial, sans-serif"/>
        <color rgb="FF1155CC"/>
        <u/>
      </rPr>
      <t>https://4ammedia.zendesk.com/agent/tickets/274686</t>
    </r>
  </si>
  <si>
    <t>142</t>
  </si>
  <si>
    <r>
      <rPr>
        <rFont val="Arial, sans-serif"/>
        <color rgb="FF1155CC"/>
        <u/>
      </rPr>
      <t>https://4ammedia.zendesk.com/agent/tickets/280829</t>
    </r>
  </si>
  <si>
    <t>146</t>
  </si>
  <si>
    <r>
      <rPr>
        <rFont val="Arial, sans-serif"/>
        <color rgb="FF1155CC"/>
        <u/>
      </rPr>
      <t>https://4ammedia.zendesk.com/agent/tickets/274696</t>
    </r>
  </si>
  <si>
    <r>
      <rPr>
        <rFont val="Arial, sans-serif"/>
        <color rgb="FF1155CC"/>
        <u/>
      </rPr>
      <t>https://4ammedia.zendesk.com/agent/tickets/280931</t>
    </r>
  </si>
  <si>
    <r>
      <rPr>
        <rFont val="Arial, sans-serif"/>
        <color rgb="FF1155CC"/>
        <u/>
      </rPr>
      <t>https://4ammedia.zendesk.com/agent/tickets/282179</t>
    </r>
  </si>
  <si>
    <t>https://4ammedia.zendesk.com/agent/tickets/276203</t>
  </si>
  <si>
    <r>
      <rPr>
        <rFont val="Arial, sans-serif"/>
        <color rgb="FF1155CC"/>
        <u/>
      </rPr>
      <t>https://4ammedia.zendesk.com/agent/tickets/282320</t>
    </r>
  </si>
  <si>
    <r>
      <rPr>
        <rFont val="Arial, sans-serif"/>
        <color rgb="FF1155CC"/>
        <u/>
      </rPr>
      <t>https://4ammedia.zendesk.com/agent/tickets/282458</t>
    </r>
  </si>
  <si>
    <r>
      <rPr>
        <rFont val="Arial, sans-serif"/>
        <color rgb="FF1155CC"/>
        <u/>
      </rPr>
      <t>https://4ammedia.zendesk.com/agent/tickets/286126</t>
    </r>
  </si>
  <si>
    <t>WEEK: June 15-  June 21,2026</t>
  </si>
  <si>
    <t>https://4ammedia.zendesk.com/agent/tickets/276565</t>
  </si>
  <si>
    <r>
      <rPr>
        <rFont val="Arial, sans-serif"/>
        <color rgb="FF1155CC"/>
        <u/>
      </rPr>
      <t>https://4ammedia.zendesk.com/agent/tickets/286221</t>
    </r>
  </si>
  <si>
    <r>
      <rPr>
        <rFont val="Arial, sans-serif"/>
        <color rgb="FF1155CC"/>
        <u/>
      </rPr>
      <t>https://4ammedia.zendesk.com/agent/tickets/276709</t>
    </r>
  </si>
  <si>
    <r>
      <rPr>
        <rFont val="Arial, sans-serif"/>
        <color rgb="FF1155CC"/>
        <u/>
      </rPr>
      <t>https://4ammedia.zendesk.com/agent/tickets/286245</t>
    </r>
  </si>
  <si>
    <r>
      <rPr>
        <rFont val="Arial, sans-serif"/>
        <color rgb="FF1155CC"/>
        <u/>
      </rPr>
      <t>https://4ammedia.zendesk.com/agent/tickets/278780</t>
    </r>
  </si>
  <si>
    <r>
      <rPr>
        <rFont val="Arial, sans-serif"/>
        <color rgb="FF1155CC"/>
        <u/>
      </rPr>
      <t>https://4ammedia.zendesk.com/agent/tickets/279016</t>
    </r>
  </si>
  <si>
    <r>
      <rPr>
        <rFont val="Arial, sans-serif"/>
        <color rgb="FF1155CC"/>
        <u/>
      </rPr>
      <t>https://4ammedia.zendesk.com/agent/tickets/279083</t>
    </r>
  </si>
  <si>
    <r>
      <rPr>
        <rFont val="Arial, sans-serif"/>
        <color rgb="FF1155CC"/>
        <u/>
      </rPr>
      <t>https://4ammedia.zendesk.com/agent/tickets/288971</t>
    </r>
  </si>
  <si>
    <r>
      <rPr>
        <rFont val="Arial, sans-serif"/>
        <color rgb="FF1155CC"/>
        <u/>
      </rPr>
      <t>https://4ammedia.zendesk.com/agent/tickets/280296</t>
    </r>
  </si>
  <si>
    <t>WEEK: July 13,2026 - July 19,2026</t>
  </si>
  <si>
    <t>https://4ammedia.zendesk.com/agent/tickets/280489</t>
  </si>
  <si>
    <r>
      <rPr>
        <rFont val="Arial, sans-serif"/>
        <color rgb="FF1155CC"/>
        <u/>
      </rPr>
      <t>https://4ammedia.zendesk.com/agent/tickets/289180</t>
    </r>
  </si>
  <si>
    <t>https://4ammedia.zendesk.com/agent/tickets/280560</t>
  </si>
  <si>
    <r>
      <rPr>
        <rFont val="Arial, sans-serif"/>
        <color rgb="FF1155CC"/>
        <u/>
      </rPr>
      <t>https://4ammedia.zendesk.com/agent/tickets/289271</t>
    </r>
  </si>
  <si>
    <r>
      <rPr>
        <rFont val="Arial, sans-serif"/>
        <color rgb="FF1155CC"/>
        <u/>
      </rPr>
      <t>https://4ammedia.zendesk.com/agent/tickets/282423</t>
    </r>
  </si>
  <si>
    <r>
      <rPr>
        <rFont val="Arial, sans-serif"/>
        <color rgb="FF1155CC"/>
        <u/>
      </rPr>
      <t>https://4ammedia.zendesk.com/agent/tickets/282585</t>
    </r>
  </si>
  <si>
    <r>
      <rPr>
        <rFont val="Arial, sans-serif"/>
        <color rgb="FF1155CC"/>
        <u/>
      </rPr>
      <t>https://4ammedia.zendesk.com/agent/tickets/291419</t>
    </r>
  </si>
  <si>
    <r>
      <rPr>
        <rFont val="Arial, sans-serif"/>
        <color rgb="FF1155CC"/>
        <u/>
      </rPr>
      <t>https://4ammedia.zendesk.com/agent/tickets/291571</t>
    </r>
  </si>
  <si>
    <r>
      <rPr>
        <rFont val="Arial, sans-serif"/>
        <color rgb="FF1155CC"/>
        <u/>
      </rPr>
      <t>https://4ammedia.zendesk.com/agent/tickets/282641</t>
    </r>
  </si>
  <si>
    <r>
      <rPr>
        <rFont val="Arial, sans-serif"/>
        <color rgb="FF1155CC"/>
        <u/>
      </rPr>
      <t>https://4ammedia.zendesk.com/agent/tickets/291663</t>
    </r>
  </si>
  <si>
    <r>
      <rPr>
        <rFont val="Arial, sans-serif"/>
        <color rgb="FF1155CC"/>
        <u/>
      </rPr>
      <t>https://4ammedia.zendesk.com/agent/tickets/285907</t>
    </r>
  </si>
  <si>
    <r>
      <rPr>
        <rFont val="Arial, sans-serif"/>
        <color rgb="FF1155CC"/>
        <u/>
      </rPr>
      <t>https://4ammedia.zendesk.com/agent/tickets/293706</t>
    </r>
  </si>
  <si>
    <r>
      <rPr>
        <rFont val="Arial, sans-serif"/>
        <color rgb="FF1155CC"/>
        <u/>
      </rPr>
      <t>https://4ammedia.zendesk.com/agent/tickets/286068</t>
    </r>
  </si>
  <si>
    <r>
      <rPr>
        <rFont val="Arial, sans-serif"/>
        <color rgb="FF1155CC"/>
        <u/>
      </rPr>
      <t>https://4ammedia.zendesk.com/agent/tickets/286209</t>
    </r>
  </si>
  <si>
    <r>
      <rPr>
        <rFont val="Arial, sans-serif"/>
        <color rgb="FF1155CC"/>
        <u/>
      </rPr>
      <t>https://4ammedia.zendesk.com/agent/tickets/293757</t>
    </r>
  </si>
  <si>
    <r>
      <rPr>
        <rFont val="Arial, sans-serif"/>
        <color rgb="FF1155CC"/>
        <u/>
      </rPr>
      <t>https://4ammedia.zendesk.com/agent/tickets/293839</t>
    </r>
  </si>
  <si>
    <r>
      <rPr>
        <rFont val="Arial, sans-serif"/>
        <color rgb="FF1155CC"/>
        <u/>
      </rPr>
      <t>https://4ammedia.zendesk.com/agent/tickets/295266</t>
    </r>
  </si>
  <si>
    <r>
      <rPr>
        <rFont val="Arial, sans-serif"/>
        <color rgb="FF1155CC"/>
        <u/>
      </rPr>
      <t>https://4ammedia.zendesk.com/agent/tickets/288930</t>
    </r>
  </si>
  <si>
    <r>
      <rPr>
        <rFont val="Arial, sans-serif"/>
        <color rgb="FF1155CC"/>
        <u/>
      </rPr>
      <t>https://4ammedia.zendesk.com/agent/tickets/295418</t>
    </r>
  </si>
  <si>
    <r>
      <rPr>
        <rFont val="Arial, sans-serif"/>
        <color rgb="FF1155CC"/>
        <u/>
      </rPr>
      <t>https://4ammedia.zendesk.com/agent/tickets/295445</t>
    </r>
  </si>
  <si>
    <r>
      <rPr>
        <rFont val="Arial, sans-serif"/>
        <color rgb="FF1155CC"/>
        <u/>
      </rPr>
      <t>https://4ammedia.zendesk.com/agent/tickets/299503</t>
    </r>
  </si>
  <si>
    <t>https://4ammedia.zendesk.com/agent/tickets/289294</t>
  </si>
  <si>
    <r>
      <rPr>
        <rFont val="Arial, sans-serif"/>
        <color rgb="FF1155CC"/>
        <u/>
      </rPr>
      <t>https://4ammedia.zendesk.com/agent/tickets/300548</t>
    </r>
  </si>
  <si>
    <t>https://4ammedia.zendesk.com/agent/tickets/289396</t>
  </si>
  <si>
    <r>
      <rPr>
        <rFont val="Arial, sans-serif"/>
        <color rgb="FF1155CC"/>
        <u/>
      </rPr>
      <t>https://4ammedia.zendesk.com/agent/tickets/300665</t>
    </r>
  </si>
  <si>
    <r>
      <rPr>
        <rFont val="Arial, sans-serif"/>
        <color rgb="FF1155CC"/>
        <u/>
      </rPr>
      <t>https://4ammedia.zendesk.com/agent/tickets/291418</t>
    </r>
  </si>
  <si>
    <t>125</t>
  </si>
  <si>
    <t>115</t>
  </si>
  <si>
    <r>
      <rPr>
        <rFont val="Arial, sans-serif"/>
        <color rgb="FF1155CC"/>
        <u/>
      </rPr>
      <t>https://4ammedia.zendesk.com/agent/tickets/291521</t>
    </r>
  </si>
  <si>
    <r>
      <rPr>
        <rFont val="Arial, sans-serif"/>
        <color rgb="FF1155CC"/>
        <u/>
      </rPr>
      <t>https://4ammedia.zendesk.com/agent/tickets/251227</t>
    </r>
  </si>
  <si>
    <r>
      <rPr>
        <rFont val="Arial, sans-serif"/>
        <color rgb="FF1155CC"/>
        <u/>
      </rPr>
      <t>https://4ammedia.zendesk.com/agent/tickets/302040</t>
    </r>
  </si>
  <si>
    <r>
      <rPr>
        <rFont val="Arial, sans-serif"/>
        <color rgb="FF1155CC"/>
        <u/>
      </rPr>
      <t>https://4ammedia.zendesk.com/agent/tickets/293806</t>
    </r>
  </si>
  <si>
    <r>
      <rPr>
        <rFont val="Arial, sans-serif"/>
        <color rgb="FF1155CC"/>
        <u/>
      </rPr>
      <t>https://4ammedia.zendesk.com/agent/tickets/302462</t>
    </r>
  </si>
  <si>
    <r>
      <rPr>
        <rFont val="Arial, sans-serif"/>
        <color rgb="FF1155CC"/>
        <u/>
      </rPr>
      <t>https://4ammedia.zendesk.com/agent/tickets/293899</t>
    </r>
  </si>
  <si>
    <r>
      <rPr>
        <rFont val="Arial, sans-serif"/>
        <color rgb="FF1155CC"/>
        <u/>
      </rPr>
      <t>https://4ammedia.zendesk.com/agent/tickets/302539</t>
    </r>
  </si>
  <si>
    <r>
      <rPr>
        <rFont val="Arial, sans-serif"/>
        <color rgb="FF1155CC"/>
        <u/>
      </rPr>
      <t>https://4ammedia.zendesk.com/agent/tickets/294030</t>
    </r>
  </si>
  <si>
    <r>
      <rPr>
        <rFont val="Arial, sans-serif"/>
        <color rgb="FF1155CC"/>
        <u/>
      </rPr>
      <t>https://4ammedia.zendesk.com/agent/tickets/304478</t>
    </r>
  </si>
  <si>
    <r>
      <rPr>
        <rFont val="Arial, sans-serif"/>
        <color rgb="FF1155CC"/>
        <u/>
      </rPr>
      <t>https://4ammedia.zendesk.com/agent/tickets/295373</t>
    </r>
  </si>
  <si>
    <r>
      <rPr>
        <rFont val="Arial, sans-serif"/>
        <color rgb="FF1155CC"/>
        <u/>
      </rPr>
      <t>https://4ammedia.zendesk.com/agent/tickets/304558</t>
    </r>
  </si>
  <si>
    <r>
      <rPr>
        <rFont val="Arial, sans-serif"/>
        <color rgb="FF1155CC"/>
        <u/>
      </rPr>
      <t>https://4ammedia.zendesk.com/agent/tickets/295552</t>
    </r>
  </si>
  <si>
    <r>
      <rPr>
        <rFont val="Arial, sans-serif"/>
        <color rgb="FF1155CC"/>
        <u/>
      </rPr>
      <t>https://4ammedia.zendesk.com/agent/tickets/304633</t>
    </r>
  </si>
  <si>
    <r>
      <rPr>
        <rFont val="Arial, sans-serif"/>
        <color rgb="FF1155CC"/>
        <u/>
      </rPr>
      <t>https://4ammedia.zendesk.com/agent/tickets/295731</t>
    </r>
  </si>
  <si>
    <r>
      <rPr>
        <rFont val="Arial, sans-serif"/>
        <color rgb="FF1155CC"/>
        <u/>
      </rPr>
      <t>https://4ammedia.zendesk.com/agent/tickets/306715</t>
    </r>
  </si>
  <si>
    <t>WEEK: June 22-  June 28,2026</t>
  </si>
  <si>
    <r>
      <rPr>
        <rFont val="Arial, sans-serif"/>
        <color rgb="FF1155CC"/>
        <u/>
      </rPr>
      <t>https://4ammedia.zendesk.com/agent/tickets/306877</t>
    </r>
  </si>
  <si>
    <r>
      <rPr>
        <rFont val="Arial, sans-serif"/>
        <color rgb="FF1155CC"/>
        <u/>
      </rPr>
      <t>https://4ammedia.zendesk.com/agent/tickets/297684</t>
    </r>
  </si>
  <si>
    <r>
      <rPr>
        <rFont val="Arial, sans-serif"/>
        <color rgb="FF1155CC"/>
        <u/>
      </rPr>
      <t>https://4ammedia.zendesk.com/agent/tickets/306921</t>
    </r>
  </si>
  <si>
    <r>
      <rPr>
        <rFont val="Arial, sans-serif"/>
        <color rgb="FF1155CC"/>
        <u/>
      </rPr>
      <t>https://4ammedia.zendesk.com/agent/tickets/297780</t>
    </r>
  </si>
  <si>
    <r>
      <rPr>
        <rFont val="Arial, sans-serif"/>
        <color rgb="FF1155CC"/>
        <u/>
      </rPr>
      <t>https://4ammedia.zendesk.com/agent/tickets/308578</t>
    </r>
  </si>
  <si>
    <t>WEEK: July 20,2026 - July 26,2026</t>
  </si>
  <si>
    <r>
      <rPr>
        <rFont val="Arial, sans-serif"/>
        <color rgb="FF1155CC"/>
        <u/>
      </rPr>
      <t>https://4ammedia.zendesk.com/agent/tickets/297813</t>
    </r>
  </si>
  <si>
    <r>
      <rPr>
        <rFont val="Arial, sans-serif"/>
        <color rgb="FF1155CC"/>
        <u/>
      </rPr>
      <t>https://4ammedia.zendesk.com/agent/tickets/308822</t>
    </r>
  </si>
  <si>
    <r>
      <rPr>
        <rFont val="Arial, sans-serif"/>
        <color rgb="FF1155CC"/>
        <u/>
      </rPr>
      <t>https://4ammedia.zendesk.com/agent/tickets/306242</t>
    </r>
  </si>
  <si>
    <r>
      <rPr>
        <rFont val="Arial, sans-serif"/>
        <color rgb="FF1155CC"/>
        <u/>
      </rPr>
      <t>https://4ammedia.zendesk.com/agent/tickets/308896</t>
    </r>
  </si>
  <si>
    <r>
      <rPr>
        <rFont val="Arial, sans-serif"/>
        <color rgb="FF1155CC"/>
        <u/>
      </rPr>
      <t>https://4ammedia.zendesk.com/agent/tickets/313829</t>
    </r>
  </si>
  <si>
    <r>
      <rPr>
        <rFont val="Arial, sans-serif"/>
        <color rgb="FF1155CC"/>
        <u/>
      </rPr>
      <t>https://4ammedia.zendesk.com/agent/tickets/313967</t>
    </r>
  </si>
  <si>
    <r>
      <rPr>
        <rFont val="Arial, sans-serif"/>
        <color rgb="FF1155CC"/>
        <u/>
      </rPr>
      <t>https://4ammedia.zendesk.com/agent/tickets/314018</t>
    </r>
  </si>
  <si>
    <r>
      <rPr>
        <rFont val="Arial, sans-serif"/>
        <color rgb="FF1155CC"/>
        <u/>
      </rPr>
      <t>https://4ammedia.zendesk.com/agent/tickets/306302</t>
    </r>
  </si>
  <si>
    <r>
      <rPr>
        <rFont val="Arial, sans-serif"/>
        <color rgb="FF1155CC"/>
        <u/>
      </rPr>
      <t>https://4ammedia.zendesk.com/agent/tickets/306349</t>
    </r>
  </si>
  <si>
    <r>
      <rPr>
        <rFont val="Arial, sans-serif"/>
        <color rgb="FF1155CC"/>
        <u/>
      </rPr>
      <t>https://4ammedia.zendesk.com/agent/tickets/308547</t>
    </r>
  </si>
  <si>
    <r>
      <rPr>
        <rFont val="Arial, sans-serif"/>
        <color rgb="FF1155CC"/>
        <u/>
      </rPr>
      <t>https://4ammedia.zendesk.com/agent/tickets/315881</t>
    </r>
  </si>
  <si>
    <r>
      <rPr>
        <rFont val="Arial, sans-serif"/>
        <color rgb="FF1155CC"/>
        <u/>
      </rPr>
      <t>https://4ammedia.zendesk.com/agent/tickets/308604</t>
    </r>
  </si>
  <si>
    <r>
      <rPr>
        <rFont val="Arial, sans-serif"/>
        <color rgb="FF1155CC"/>
        <u/>
      </rPr>
      <t>https://4ammedia.zendesk.com/agent/tickets/308621</t>
    </r>
  </si>
  <si>
    <r>
      <rPr>
        <rFont val="Arial, sans-serif"/>
        <color rgb="FF1155CC"/>
        <u/>
      </rPr>
      <t>https://4ammedia.zendesk.com/agent/tickets/316155</t>
    </r>
  </si>
  <si>
    <r>
      <rPr>
        <rFont val="Arial, sans-serif"/>
        <color rgb="FF1155CC"/>
        <u/>
      </rPr>
      <t>https://4ammedia.zendesk.com/agent/tickets/310375</t>
    </r>
  </si>
  <si>
    <t>175</t>
  </si>
  <si>
    <t>158</t>
  </si>
  <si>
    <t>97</t>
  </si>
  <si>
    <r>
      <rPr>
        <rFont val="Arial, sans-serif"/>
        <color rgb="FF1155CC"/>
        <u/>
      </rPr>
      <t>https://4ammedia.zendesk.com/agent/tickets/316331</t>
    </r>
  </si>
  <si>
    <r>
      <rPr>
        <rFont val="Arial, sans-serif"/>
        <color rgb="FF1155CC"/>
        <u/>
      </rPr>
      <t>https://4ammedia.zendesk.com/agent/tickets/310560</t>
    </r>
  </si>
  <si>
    <r>
      <rPr>
        <rFont val="Arial, sans-serif"/>
        <color rgb="FF1155CC"/>
        <u/>
      </rPr>
      <t>https://4ammedia.zendesk.com/agent/tickets/320455</t>
    </r>
  </si>
  <si>
    <r>
      <rPr>
        <rFont val="Arial, sans-serif"/>
        <color rgb="FF1155CC"/>
        <u/>
      </rPr>
      <t>https://4ammedia.zendesk.com/agent/tickets/310654</t>
    </r>
  </si>
  <si>
    <r>
      <rPr>
        <rFont val="Arial, sans-serif"/>
        <color rgb="FF1155CC"/>
        <u/>
      </rPr>
      <t>https://4ammedia.zendesk.com/agent/tickets/312341</t>
    </r>
  </si>
  <si>
    <r>
      <rPr>
        <rFont val="Arial, sans-serif"/>
        <color rgb="FF1155CC"/>
        <u/>
      </rPr>
      <t>https://4ammedia.zendesk.com/agent/tickets/320564</t>
    </r>
  </si>
  <si>
    <r>
      <rPr>
        <rFont val="Arial, sans-serif"/>
        <color rgb="FF1155CC"/>
        <u/>
      </rPr>
      <t>https://4ammedia.zendesk.com/agent/tickets/320756</t>
    </r>
  </si>
  <si>
    <r>
      <rPr>
        <rFont val="Arial, sans-serif"/>
        <color rgb="FF1155CC"/>
        <u/>
      </rPr>
      <t>https://4ammedia.zendesk.com/agent/tickets/312523</t>
    </r>
  </si>
  <si>
    <r>
      <rPr>
        <rFont val="Arial, sans-serif"/>
        <color rgb="FF1155CC"/>
        <u/>
      </rPr>
      <t>https://4ammedia.zendesk.com/agent/tickets/322808</t>
    </r>
  </si>
  <si>
    <r>
      <rPr>
        <rFont val="Arial, sans-serif"/>
        <color rgb="FF1155CC"/>
        <u/>
      </rPr>
      <t>https://4ammedia.zendesk.com/agent/tickets/312602</t>
    </r>
  </si>
  <si>
    <r>
      <rPr>
        <rFont val="Arial, sans-serif"/>
        <color rgb="FF1155CC"/>
        <u/>
      </rPr>
      <t>https://4ammedia.zendesk.com/agent/tickets/322933</t>
    </r>
  </si>
  <si>
    <r>
      <rPr>
        <rFont val="Arial, sans-serif"/>
        <color rgb="FF1155CC"/>
        <u/>
      </rPr>
      <t>https://4ammedia.zendesk.com/agent/tickets/323031</t>
    </r>
  </si>
  <si>
    <r>
      <rPr>
        <rFont val="Arial, sans-serif"/>
        <color rgb="FF1155CC"/>
        <u/>
      </rPr>
      <t>https://4ammedia.zendesk.com/agent/tickets/318304</t>
    </r>
  </si>
  <si>
    <r>
      <rPr>
        <rFont val="Arial, sans-serif"/>
        <color rgb="FF1155CC"/>
        <u/>
      </rPr>
      <t>https://4ammedia.zendesk.com/agent/tickets/318524</t>
    </r>
  </si>
  <si>
    <t>WEEK: July 27,2026 - August 2,2026</t>
  </si>
  <si>
    <r>
      <rPr>
        <rFont val="Arial, sans-serif"/>
        <color rgb="FF1155CC"/>
        <u/>
      </rPr>
      <t>https://4ammedia.zendesk.com/agent/tickets/315971</t>
    </r>
  </si>
  <si>
    <r>
      <rPr>
        <rFont val="Arial, sans-serif"/>
        <color rgb="FF1155CC"/>
        <u/>
      </rPr>
      <t>https://4ammedia.zendesk.com/agent/tickets/318742</t>
    </r>
  </si>
  <si>
    <r>
      <rPr>
        <rFont val="Arial, sans-serif"/>
        <color rgb="FF1155CC"/>
        <u/>
      </rPr>
      <t>https://4ammedia.zendesk.com/agent/tickets/327016</t>
    </r>
  </si>
  <si>
    <r>
      <rPr>
        <rFont val="Arial, sans-serif"/>
        <color rgb="FF1155CC"/>
        <u/>
      </rPr>
      <t>https://4ammedia.zendesk.com/agent/tickets/327113</t>
    </r>
  </si>
  <si>
    <r>
      <rPr>
        <rFont val="Arial, sans-serif"/>
        <color rgb="FF1155CC"/>
        <u/>
      </rPr>
      <t>https://4ammedia.zendesk.com/agent/tickets/316255</t>
    </r>
  </si>
  <si>
    <r>
      <rPr>
        <rFont val="Arial, sans-serif"/>
        <color rgb="FF1155CC"/>
        <u/>
      </rPr>
      <t>https://4ammedia.zendesk.com/agent/tickets/327130</t>
    </r>
  </si>
  <si>
    <r>
      <rPr>
        <rFont val="Arial, sans-serif"/>
        <color rgb="FF1155CC"/>
        <u/>
      </rPr>
      <t>https://4ammedia.zendesk.com/agent/tickets/316315</t>
    </r>
  </si>
  <si>
    <r>
      <rPr>
        <rFont val="Arial, sans-serif"/>
        <color rgb="FF1155CC"/>
        <u/>
      </rPr>
      <t>https://4ammedia.zendesk.com/agent/tickets/325471</t>
    </r>
  </si>
  <si>
    <r>
      <rPr>
        <rFont val="Arial, sans-serif"/>
        <color rgb="FF1155CC"/>
        <u/>
      </rPr>
      <t>https://4ammedia.zendesk.com/agent/tickets/325529</t>
    </r>
  </si>
  <si>
    <r>
      <rPr>
        <rFont val="Arial, sans-serif"/>
        <color rgb="FF1155CC"/>
        <u/>
      </rPr>
      <t>https://4ammedia.zendesk.com/agent/tickets/329493</t>
    </r>
  </si>
  <si>
    <t>WEEK: June 29-  July 4,2026</t>
  </si>
  <si>
    <r>
      <rPr>
        <rFont val="Arial, sans-serif"/>
        <color rgb="FF1155CC"/>
        <u/>
      </rPr>
      <t>https://4ammedia.zendesk.com/agent/tickets/325573</t>
    </r>
  </si>
  <si>
    <r>
      <rPr>
        <rFont val="Arial, sans-serif"/>
        <color rgb="FF1155CC"/>
        <u/>
      </rPr>
      <t>https://4ammedia.zendesk.com/agent/tickets/317998</t>
    </r>
  </si>
  <si>
    <r>
      <rPr>
        <rFont val="Arial, sans-serif"/>
        <color rgb="FF1155CC"/>
        <u/>
      </rPr>
      <t>https://4ammedia.zendesk.com/agent/tickets/329621</t>
    </r>
  </si>
  <si>
    <r>
      <rPr>
        <rFont val="Arial, sans-serif"/>
        <color rgb="FF1155CC"/>
        <u/>
      </rPr>
      <t>https://4ammedia.zendesk.com/agent/tickets/318207</t>
    </r>
  </si>
  <si>
    <r>
      <rPr>
        <rFont val="Arial, sans-serif"/>
        <color rgb="FF1155CC"/>
        <u/>
      </rPr>
      <t>https://4ammedia.zendesk.com/agent/tickets/329731</t>
    </r>
  </si>
  <si>
    <r>
      <rPr>
        <rFont val="Arial, sans-serif"/>
        <color rgb="FF1155CC"/>
        <u/>
      </rPr>
      <t>https://4ammedia.zendesk.com/agent/tickets/318340</t>
    </r>
  </si>
  <si>
    <t>https://4ammedia.zendesk.com/agent/tickets/320854</t>
  </si>
  <si>
    <r>
      <rPr>
        <rFont val="Arial, sans-serif"/>
        <color rgb="FF1155CC"/>
        <u/>
      </rPr>
      <t>https://4ammedia.zendesk.com/agent/tickets/331202</t>
    </r>
  </si>
  <si>
    <t>196</t>
  </si>
  <si>
    <t>195</t>
  </si>
  <si>
    <t>188</t>
  </si>
  <si>
    <r>
      <rPr>
        <rFont val="Arial, sans-serif"/>
        <color rgb="FF1155CC"/>
        <u/>
      </rPr>
      <t>https://4ammedia.zendesk.com/agent/tickets/331342</t>
    </r>
  </si>
  <si>
    <r>
      <rPr>
        <rFont val="Arial, sans-serif"/>
        <color rgb="FF1155CC"/>
        <u/>
      </rPr>
      <t>https://4ammedia.zendesk.com/agent/tickets/320926</t>
    </r>
  </si>
  <si>
    <r>
      <rPr>
        <rFont val="Arial, sans-serif"/>
        <color rgb="FF1155CC"/>
        <u/>
      </rPr>
      <t>https://4ammedia.zendesk.com/agent/tickets/331408</t>
    </r>
  </si>
  <si>
    <r>
      <rPr>
        <rFont val="Arial, sans-serif"/>
        <color rgb="FF1155CC"/>
        <u/>
      </rPr>
      <t>https://4ammedia.zendesk.com/agent/tickets/321054</t>
    </r>
  </si>
  <si>
    <r>
      <rPr>
        <rFont val="Arial, sans-serif"/>
        <color rgb="FF1155CC"/>
        <u/>
      </rPr>
      <t>https://4ammedia.zendesk.com/agent/tickets/333697</t>
    </r>
  </si>
  <si>
    <r>
      <rPr>
        <rFont val="Arial, sans-serif"/>
        <color rgb="FF1155CC"/>
        <u/>
      </rPr>
      <t>https://4ammedia.zendesk.com/agent/tickets/328005</t>
    </r>
  </si>
  <si>
    <r>
      <rPr>
        <rFont val="Arial, sans-serif"/>
        <color rgb="FF1155CC"/>
        <u/>
      </rPr>
      <t>https://4ammedia.zendesk.com/agent/tickets/333834</t>
    </r>
  </si>
  <si>
    <r>
      <rPr>
        <rFont val="Arial, sans-serif"/>
        <color rgb="FF1155CC"/>
        <u/>
      </rPr>
      <t>https://4ammedia.zendesk.com/agent/tickets/328185</t>
    </r>
  </si>
  <si>
    <r>
      <rPr>
        <rFont val="Arial, sans-serif"/>
        <color rgb="FF1155CC"/>
        <u/>
      </rPr>
      <t>https://4ammedia.zendesk.com/agent/tickets/334039</t>
    </r>
  </si>
  <si>
    <r>
      <rPr>
        <rFont val="Arial, sans-serif"/>
        <color rgb="FF1155CC"/>
        <u/>
      </rPr>
      <t>https://4ammedia.zendesk.com/agent/tickets/328276</t>
    </r>
  </si>
  <si>
    <r>
      <rPr>
        <rFont val="Arial, sans-serif"/>
        <color rgb="FF1155CC"/>
        <u/>
      </rPr>
      <t>https://4ammedia.zendesk.com/agent/tickets/337165</t>
    </r>
  </si>
  <si>
    <r>
      <rPr>
        <rFont val="Arial, sans-serif"/>
        <color rgb="FF1155CC"/>
        <u/>
      </rPr>
      <t>https://4ammedia.zendesk.com/agent/tickets/337434</t>
    </r>
  </si>
  <si>
    <r>
      <rPr>
        <rFont val="Arial, sans-serif"/>
        <color rgb="FF1155CC"/>
        <u/>
      </rPr>
      <t>https://4ammedia.zendesk.com/agent/tickets/337485</t>
    </r>
  </si>
  <si>
    <t>https://4ammedia.zendesk.com/agent/tickets/329712</t>
  </si>
  <si>
    <r>
      <rPr>
        <rFont val="Arial, sans-serif"/>
        <color rgb="FF1155CC"/>
        <u/>
      </rPr>
      <t>https://4ammedia.zendesk.com/agent/tickets/347229</t>
    </r>
  </si>
  <si>
    <r>
      <rPr>
        <rFont val="Arial, sans-serif"/>
        <color rgb="FF1155CC"/>
        <u/>
      </rPr>
      <t>https://4ammedia.zendesk.com/agent/tickets/347384</t>
    </r>
  </si>
  <si>
    <r>
      <rPr>
        <rFont val="Arial, sans-serif"/>
        <color rgb="FF1155CC"/>
        <u/>
      </rPr>
      <t>https://4ammedia.zendesk.com/agent/tickets/347430</t>
    </r>
  </si>
  <si>
    <t>https://4ammedia.zendesk.com/agent/tickets/329806</t>
  </si>
  <si>
    <t>https://4ammedia.zendesk.com/agent/tickets/329974</t>
  </si>
  <si>
    <r>
      <rPr>
        <rFont val="Arial, sans-serif"/>
        <color rgb="FF1155CC"/>
        <u/>
      </rPr>
      <t>https://4ammedia.zendesk.com/agent/tickets/350021</t>
    </r>
  </si>
  <si>
    <r>
      <rPr>
        <rFont val="Arial, sans-serif"/>
        <color rgb="FF1155CC"/>
        <u/>
      </rPr>
      <t>https://4ammedia.zendesk.com/agent/tickets/331501</t>
    </r>
  </si>
  <si>
    <r>
      <rPr>
        <rFont val="Arial, sans-serif"/>
        <color rgb="FF1155CC"/>
        <u/>
      </rPr>
      <t>https://4ammedia.zendesk.com/agent/tickets/331608</t>
    </r>
  </si>
  <si>
    <r>
      <rPr>
        <rFont val="Arial, sans-serif"/>
        <color rgb="FF1155CC"/>
        <u/>
      </rPr>
      <t>https://4ammedia.zendesk.com/agent/tickets/331658</t>
    </r>
  </si>
  <si>
    <r>
      <rPr>
        <rFont val="Arial, sans-serif"/>
        <color rgb="FF1155CC"/>
        <u/>
      </rPr>
      <t>https://4ammedia.zendesk.com/agent/tickets/333899</t>
    </r>
  </si>
  <si>
    <r>
      <rPr>
        <rFont val="Arial, sans-serif"/>
        <color rgb="FF1155CC"/>
        <u/>
      </rPr>
      <t>https://4ammedia.zendesk.com/agent/tickets/350608</t>
    </r>
  </si>
  <si>
    <r>
      <rPr>
        <rFont val="Arial, sans-serif"/>
        <color rgb="FF1155CC"/>
        <u/>
      </rPr>
      <t>https://4ammedia.zendesk.com/agent/tickets/334131</t>
    </r>
  </si>
  <si>
    <r>
      <rPr>
        <rFont val="Arial, sans-serif"/>
        <color rgb="FF1155CC"/>
        <u/>
      </rPr>
      <t>https://4ammedia.zendesk.com/agent/tickets/350775</t>
    </r>
  </si>
  <si>
    <r>
      <rPr>
        <rFont val="Arial, sans-serif"/>
        <color rgb="FF1155CC"/>
        <u/>
      </rPr>
      <t>https://4ammedia.zendesk.com/agent/tickets/334189</t>
    </r>
  </si>
  <si>
    <r>
      <rPr>
        <rFont val="Arial, sans-serif"/>
        <color rgb="FF1155CC"/>
        <u/>
      </rPr>
      <t>https://4ammedia.zendesk.com/agent/tickets/353298</t>
    </r>
  </si>
  <si>
    <r>
      <rPr>
        <rFont val="Arial, sans-serif"/>
        <color rgb="FF1155CC"/>
        <u/>
      </rPr>
      <t>https://4ammedia.zendesk.com/agent/tickets/335556</t>
    </r>
  </si>
  <si>
    <r>
      <rPr>
        <rFont val="Arial, sans-serif"/>
        <color rgb="FF1155CC"/>
        <u/>
      </rPr>
      <t>https://4ammedia.zendesk.com/agent/tickets/353710</t>
    </r>
  </si>
  <si>
    <r>
      <rPr>
        <rFont val="Arial, sans-serif"/>
        <color rgb="FF1155CC"/>
        <u/>
      </rPr>
      <t>https://4ammedia.zendesk.com/agent/tickets/337438</t>
    </r>
  </si>
  <si>
    <r>
      <rPr>
        <rFont val="Arial, sans-serif"/>
        <color rgb="FF1155CC"/>
        <u/>
      </rPr>
      <t>https://4ammedia.zendesk.com/agent/tickets/353801</t>
    </r>
  </si>
  <si>
    <r>
      <rPr>
        <rFont val="Arial, sans-serif"/>
        <color rgb="FF1155CC"/>
        <u/>
      </rPr>
      <t>https://4ammedia.zendesk.com/agent/tickets/337610</t>
    </r>
  </si>
  <si>
    <r>
      <rPr>
        <rFont val="Arial, sans-serif"/>
        <color rgb="FF1155CC"/>
        <u/>
      </rPr>
      <t>https://4ammedia.zendesk.com/agent/tickets/355903</t>
    </r>
  </si>
  <si>
    <r>
      <rPr>
        <rFont val="Arial, sans-serif"/>
        <color rgb="FF1155CC"/>
        <u/>
      </rPr>
      <t>https://4ammedia.zendesk.com/agent/tickets/344621</t>
    </r>
  </si>
  <si>
    <r>
      <rPr>
        <rFont val="Arial, sans-serif"/>
        <color rgb="FF1155CC"/>
        <u/>
      </rPr>
      <t>https://4ammedia.zendesk.com/agent/tickets/356079</t>
    </r>
  </si>
  <si>
    <r>
      <rPr>
        <rFont val="Arial, sans-serif"/>
        <color rgb="FF1155CC"/>
        <u/>
      </rPr>
      <t>https://4ammedia.zendesk.com/agent/tickets/346421</t>
    </r>
  </si>
  <si>
    <t>167</t>
  </si>
  <si>
    <r>
      <rPr>
        <rFont val="Arial, sans-serif"/>
        <color rgb="FF1155CC"/>
        <u/>
      </rPr>
      <t>https://4ammedia.zendesk.com/agent/tickets/356108</t>
    </r>
  </si>
  <si>
    <t>181</t>
  </si>
  <si>
    <t>186</t>
  </si>
  <si>
    <t>176</t>
  </si>
  <si>
    <t>128</t>
  </si>
  <si>
    <r>
      <rPr>
        <rFont val="Arial, sans-serif"/>
        <color rgb="FF1155CC"/>
        <u/>
      </rPr>
      <t>https://4ammedia.zendesk.com/agent/tickets/346437</t>
    </r>
  </si>
  <si>
    <r>
      <rPr>
        <rFont val="Arial, sans-serif"/>
        <color rgb="FF1155CC"/>
        <u/>
      </rPr>
      <t>https://4ammedia.zendesk.com/agent/tickets/363923</t>
    </r>
  </si>
  <si>
    <r>
      <rPr>
        <rFont val="Arial, sans-serif"/>
        <color rgb="FF1155CC"/>
        <u/>
      </rPr>
      <t>https://4ammedia.zendesk.com/agent/tickets/364009</t>
    </r>
  </si>
  <si>
    <r>
      <rPr>
        <rFont val="Arial, sans-serif"/>
        <color rgb="FF1155CC"/>
        <u/>
      </rPr>
      <t>https://4ammedia.zendesk.com/agent/tickets/364033</t>
    </r>
  </si>
  <si>
    <r>
      <rPr>
        <rFont val="Arial, sans-serif"/>
        <color rgb="FF1155CC"/>
        <u/>
      </rPr>
      <t>https://4ammedia.zendesk.com/agent/tickets/366302</t>
    </r>
  </si>
  <si>
    <r>
      <rPr>
        <rFont val="Arial, sans-serif"/>
        <color rgb="FF1155CC"/>
        <u/>
      </rPr>
      <t>https://4ammedia.zendesk.com/agent/tickets/350364</t>
    </r>
  </si>
  <si>
    <r>
      <rPr>
        <rFont val="Arial, sans-serif"/>
        <color rgb="FF1155CC"/>
        <u/>
      </rPr>
      <t>https://4ammedia.zendesk.com/agent/tickets/366508</t>
    </r>
  </si>
  <si>
    <r>
      <rPr>
        <rFont val="Arial, sans-serif"/>
        <color rgb="FF1155CC"/>
        <u/>
      </rPr>
      <t>https://4ammedia.zendesk.com/agent/tickets/366745</t>
    </r>
  </si>
  <si>
    <r>
      <rPr>
        <rFont val="Arial, sans-serif"/>
        <color rgb="FF1155CC"/>
        <u/>
      </rPr>
      <t>https://4ammedia.zendesk.com/agent/tickets/350792</t>
    </r>
  </si>
  <si>
    <r>
      <rPr>
        <rFont val="Arial, sans-serif"/>
        <color rgb="FF1155CC"/>
        <u/>
      </rPr>
      <t>https://4ammedia.zendesk.com/agent/tickets/350998</t>
    </r>
  </si>
  <si>
    <r>
      <rPr>
        <rFont val="Arial, sans-serif"/>
        <color rgb="FF1155CC"/>
        <u/>
      </rPr>
      <t>https://4ammedia.zendesk.com/agent/tickets/353274</t>
    </r>
  </si>
  <si>
    <r>
      <rPr>
        <rFont val="Arial, sans-serif"/>
        <color rgb="FF1155CC"/>
        <u/>
      </rPr>
      <t>https://4ammedia.zendesk.com/agent/tickets/369134</t>
    </r>
  </si>
  <si>
    <r>
      <rPr>
        <rFont val="Arial, sans-serif"/>
        <color rgb="FF1155CC"/>
        <u/>
      </rPr>
      <t>https://4ammedia.zendesk.com/agent/tickets/353593</t>
    </r>
  </si>
  <si>
    <r>
      <rPr>
        <rFont val="Arial, sans-serif"/>
        <color rgb="FF1155CC"/>
        <u/>
      </rPr>
      <t>https://4ammedia.zendesk.com/agent/tickets/369611</t>
    </r>
  </si>
  <si>
    <r>
      <rPr>
        <rFont val="Arial, sans-serif"/>
        <color rgb="FF1155CC"/>
        <u/>
      </rPr>
      <t>https://4ammedia.zendesk.com/agent/tickets/353697</t>
    </r>
  </si>
  <si>
    <r>
      <rPr>
        <rFont val="Arial, sans-serif"/>
        <color rgb="FF1155CC"/>
        <u/>
      </rPr>
      <t>https://4ammedia.zendesk.com/agent/tickets/369882</t>
    </r>
  </si>
  <si>
    <r>
      <rPr>
        <rFont val="Arial, sans-serif"/>
        <color rgb="FF1155CC"/>
        <u/>
      </rPr>
      <t>https://4ammedia.zendesk.com/agent/tickets/356022</t>
    </r>
  </si>
  <si>
    <r>
      <rPr>
        <rFont val="Arial, sans-serif"/>
        <color rgb="FF1155CC"/>
        <u/>
      </rPr>
      <t>https://4ammedia.zendesk.com/agent/tickets/373684</t>
    </r>
  </si>
  <si>
    <r>
      <rPr>
        <rFont val="Arial, sans-serif"/>
        <color rgb="FF1155CC"/>
        <u/>
      </rPr>
      <t>https://4ammedia.zendesk.com/agent/tickets/356118</t>
    </r>
  </si>
  <si>
    <r>
      <rPr>
        <rFont val="Arial, sans-serif"/>
        <color rgb="FF1155CC"/>
        <u/>
      </rPr>
      <t>https://4ammedia.zendesk.com/agent/tickets/374036</t>
    </r>
  </si>
  <si>
    <r>
      <rPr>
        <rFont val="Arial, sans-serif"/>
        <color rgb="FF1155CC"/>
        <u/>
      </rPr>
      <t>https://4ammedia.zendesk.com/agent/tickets/356211</t>
    </r>
  </si>
  <si>
    <r>
      <rPr>
        <rFont val="Arial, sans-serif"/>
        <color rgb="FF1155CC"/>
        <u/>
      </rPr>
      <t>https://4ammedia.zendesk.com/agent/tickets/356583</t>
    </r>
  </si>
  <si>
    <t>WEEK: July 6-  July 12,2026</t>
  </si>
  <si>
    <r>
      <rPr>
        <rFont val="Arial, sans-serif"/>
        <color rgb="FF1155CC"/>
        <u/>
      </rPr>
      <t>https://4ammedia.zendesk.com/agent/tickets/374296</t>
    </r>
  </si>
  <si>
    <r>
      <rPr>
        <rFont val="Arial, sans-serif"/>
        <color rgb="FF1155CC"/>
        <u/>
      </rPr>
      <t>https://4ammedia.zendesk.com/agent/tickets/357993</t>
    </r>
  </si>
  <si>
    <r>
      <rPr>
        <rFont val="Arial, sans-serif"/>
        <color rgb="FF1155CC"/>
        <u/>
      </rPr>
      <t>https://4ammedia.zendesk.com/agent/tickets/376860</t>
    </r>
  </si>
  <si>
    <r>
      <rPr>
        <rFont val="Arial, sans-serif"/>
        <color rgb="FF1155CC"/>
        <u/>
      </rPr>
      <t>https://4ammedia.zendesk.com/agent/tickets/358300</t>
    </r>
  </si>
  <si>
    <r>
      <rPr>
        <rFont val="Arial, sans-serif"/>
        <color rgb="FF1155CC"/>
        <u/>
      </rPr>
      <t>https://4ammedia.zendesk.com/agent/tickets/377007</t>
    </r>
  </si>
  <si>
    <r>
      <rPr>
        <rFont val="Arial, sans-serif"/>
        <color rgb="FF1155CC"/>
        <u/>
      </rPr>
      <t>https://4ammedia.zendesk.com/agent/tickets/366183</t>
    </r>
  </si>
  <si>
    <r>
      <rPr>
        <rFont val="Arial, sans-serif"/>
        <color rgb="FF1155CC"/>
        <u/>
      </rPr>
      <t>https://4ammedia.zendesk.com/agent/tickets/366460</t>
    </r>
  </si>
  <si>
    <r>
      <rPr>
        <rFont val="Arial, sans-serif"/>
        <color rgb="FF1155CC"/>
        <u/>
      </rPr>
      <t>https://4ammedia.zendesk.com/agent/tickets/377130</t>
    </r>
  </si>
  <si>
    <r>
      <rPr>
        <rFont val="Arial, sans-serif"/>
        <color rgb="FF1155CC"/>
        <u/>
      </rPr>
      <t>https://4ammedia.zendesk.com/agent/tickets/366714</t>
    </r>
  </si>
  <si>
    <r>
      <rPr>
        <rFont val="Arial, sans-serif"/>
        <color rgb="FF1155CC"/>
        <u/>
      </rPr>
      <t>https://4ammedia.zendesk.com/agent/tickets/384266</t>
    </r>
  </si>
  <si>
    <r>
      <rPr>
        <rFont val="Arial, sans-serif"/>
        <color rgb="FF1155CC"/>
        <u/>
      </rPr>
      <t>https://4ammedia.zendesk.com/agent/tickets/384499</t>
    </r>
  </si>
  <si>
    <r>
      <rPr>
        <rFont val="Arial, sans-serif"/>
        <color rgb="FF1155CC"/>
        <u/>
      </rPr>
      <t>https://4ammedia.zendesk.com/agent/tickets/384621</t>
    </r>
  </si>
  <si>
    <r>
      <rPr>
        <rFont val="Arial, sans-serif"/>
        <color rgb="FF1155CC"/>
        <u/>
      </rPr>
      <t>https://4ammedia.zendesk.com/agent/tickets/369815</t>
    </r>
  </si>
  <si>
    <r>
      <rPr>
        <rFont val="Arial, sans-serif"/>
        <color rgb="FF1155CC"/>
        <u/>
      </rPr>
      <t>https://4ammedia.zendesk.com/agent/tickets/384800</t>
    </r>
  </si>
  <si>
    <r>
      <rPr>
        <rFont val="Arial, sans-serif"/>
        <color rgb="FF1155CC"/>
        <u/>
      </rPr>
      <t>https://4ammedia.zendesk.com/agent/tickets/386667</t>
    </r>
  </si>
  <si>
    <t>190</t>
  </si>
  <si>
    <t>189</t>
  </si>
  <si>
    <r>
      <rPr>
        <rFont val="Arial, sans-serif"/>
        <color rgb="FF1155CC"/>
        <u/>
      </rPr>
      <t>https://4ammedia.zendesk.com/agent/tickets/369968</t>
    </r>
  </si>
  <si>
    <t>185</t>
  </si>
  <si>
    <r>
      <rPr>
        <rFont val="Arial, sans-serif"/>
        <color rgb="FF1155CC"/>
        <u/>
      </rPr>
      <t>https://4ammedia.zendesk.com/agent/tickets/387123</t>
    </r>
  </si>
  <si>
    <r>
      <rPr>
        <rFont val="Arial, sans-serif"/>
        <color rgb="FF1155CC"/>
        <u/>
      </rPr>
      <t>https://4ammedia.zendesk.com/agent/tickets/370135</t>
    </r>
  </si>
  <si>
    <r>
      <rPr>
        <rFont val="Arial, sans-serif"/>
        <color rgb="FF1155CC"/>
        <u/>
      </rPr>
      <t>https://4ammedia.zendesk.com/agent/tickets/373868</t>
    </r>
  </si>
  <si>
    <r>
      <rPr>
        <rFont val="Arial, sans-serif"/>
        <color rgb="FF1155CC"/>
        <u/>
      </rPr>
      <t>https://4ammedia.zendesk.com/agent/tickets/374044</t>
    </r>
  </si>
  <si>
    <r>
      <rPr>
        <rFont val="Arial, sans-serif"/>
        <color rgb="FF1155CC"/>
        <u/>
      </rPr>
      <t>https://4ammedia.zendesk.com/agent/tickets/389827</t>
    </r>
  </si>
  <si>
    <r>
      <rPr>
        <rFont val="Arial, sans-serif"/>
        <color rgb="FF1155CC"/>
        <u/>
      </rPr>
      <t>https://4ammedia.zendesk.com/agent/tickets/374149</t>
    </r>
  </si>
  <si>
    <r>
      <rPr>
        <rFont val="Arial, sans-serif"/>
        <color rgb="FF1155CC"/>
        <u/>
      </rPr>
      <t>https://4ammedia.zendesk.com/agent/tickets/376831</t>
    </r>
  </si>
  <si>
    <r>
      <rPr>
        <rFont val="Arial, sans-serif"/>
        <color rgb="FF1155CC"/>
        <u/>
      </rPr>
      <t>https://4ammedia.zendesk.com/agent/tickets/377135</t>
    </r>
  </si>
  <si>
    <r>
      <rPr>
        <rFont val="Arial, sans-serif"/>
        <color rgb="FF1155CC"/>
        <u/>
      </rPr>
      <t>https://4ammedia.zendesk.com/agent/tickets/389983</t>
    </r>
  </si>
  <si>
    <r>
      <rPr>
        <rFont val="Arial, sans-serif"/>
        <color rgb="FF1155CC"/>
        <u/>
      </rPr>
      <t>https://4ammedia.zendesk.com/agent/tickets/377142</t>
    </r>
  </si>
  <si>
    <r>
      <rPr>
        <rFont val="Arial, sans-serif"/>
        <color rgb="FF1155CC"/>
        <u/>
      </rPr>
      <t>https://4ammedia.zendesk.com/agent/tickets/390254</t>
    </r>
  </si>
  <si>
    <r>
      <rPr>
        <rFont val="Arial, sans-serif"/>
        <color rgb="FF1155CC"/>
        <u/>
      </rPr>
      <t>https://4ammedia.zendesk.com/agent/tickets/378985</t>
    </r>
  </si>
  <si>
    <r>
      <rPr>
        <rFont val="Arial, sans-serif"/>
        <color rgb="FF1155CC"/>
        <u/>
      </rPr>
      <t>https://4ammedia.zendesk.com/agent/tickets/393254</t>
    </r>
  </si>
  <si>
    <r>
      <rPr>
        <rFont val="Arial, sans-serif"/>
        <color rgb="FF1155CC"/>
        <u/>
      </rPr>
      <t>https://4ammedia.zendesk.com/agent/tickets/379390</t>
    </r>
  </si>
  <si>
    <r>
      <rPr>
        <rFont val="Arial, sans-serif"/>
        <color rgb="FF1155CC"/>
        <u/>
      </rPr>
      <t>https://4ammedia.zendesk.com/agent/tickets/393337</t>
    </r>
  </si>
  <si>
    <r>
      <rPr>
        <rFont val="Arial, sans-serif"/>
        <color rgb="FF1155CC"/>
        <u/>
      </rPr>
      <t>https://4ammedia.zendesk.com/agent/tickets/379445</t>
    </r>
  </si>
  <si>
    <r>
      <rPr>
        <rFont val="Arial, sans-serif"/>
        <color rgb="FF1155CC"/>
        <u/>
      </rPr>
      <t>https://4ammedia.zendesk.com/agent/tickets/393408</t>
    </r>
  </si>
  <si>
    <r>
      <rPr>
        <rFont val="Arial, sans-serif"/>
        <color rgb="FF1155CC"/>
        <u/>
      </rPr>
      <t>https://4ammedia.zendesk.com/agent/tickets/384445</t>
    </r>
  </si>
  <si>
    <r>
      <rPr>
        <rFont val="Arial, sans-serif"/>
        <color rgb="FF1155CC"/>
        <u/>
      </rPr>
      <t>https://4ammedia.zendesk.com/agent/tickets/396234</t>
    </r>
  </si>
  <si>
    <r>
      <rPr>
        <rFont val="Arial, sans-serif"/>
        <color rgb="FF1155CC"/>
        <u/>
      </rPr>
      <t>https://4ammedia.zendesk.com/agent/tickets/384596</t>
    </r>
  </si>
  <si>
    <r>
      <rPr>
        <rFont val="Arial, sans-serif"/>
        <color rgb="FF1155CC"/>
        <u/>
      </rPr>
      <t>https://4ammedia.zendesk.com/agent/tickets/396423</t>
    </r>
  </si>
  <si>
    <r>
      <rPr>
        <rFont val="Arial, sans-serif"/>
        <color rgb="FF1155CC"/>
        <u/>
      </rPr>
      <t>https://4ammedia.zendesk.com/agent/tickets/384989</t>
    </r>
  </si>
  <si>
    <r>
      <rPr>
        <rFont val="Arial, sans-serif"/>
        <color rgb="FF1155CC"/>
        <u/>
      </rPr>
      <t>https://4ammedia.zendesk.com/agent/tickets/396509</t>
    </r>
  </si>
  <si>
    <r>
      <rPr>
        <rFont val="Arial, sans-serif"/>
        <color rgb="FF1155CC"/>
        <u/>
      </rPr>
      <t>https://4ammedia.zendesk.com/agent/tickets/399398</t>
    </r>
  </si>
  <si>
    <r>
      <rPr>
        <rFont val="Arial, sans-serif"/>
        <color rgb="FF1155CC"/>
        <u/>
      </rPr>
      <t>https://4ammedia.zendesk.com/agent/tickets/399737</t>
    </r>
  </si>
  <si>
    <r>
      <rPr>
        <rFont val="Arial, sans-serif"/>
        <color rgb="FF1155CC"/>
        <u/>
      </rPr>
      <t>https://4ammedia.zendesk.com/agent/tickets/389385</t>
    </r>
  </si>
  <si>
    <r>
      <rPr>
        <rFont val="Arial, sans-serif"/>
        <color rgb="FF1155CC"/>
        <u/>
      </rPr>
      <t>https://4ammedia.zendesk.com/agent/tickets/399848</t>
    </r>
  </si>
  <si>
    <r>
      <rPr>
        <rFont val="Arial, sans-serif"/>
        <color rgb="FF1155CC"/>
        <u/>
      </rPr>
      <t>https://4ammedia.zendesk.com/agent/tickets/408861</t>
    </r>
  </si>
  <si>
    <r>
      <rPr>
        <rFont val="Arial, sans-serif"/>
        <color rgb="FF1155CC"/>
        <u/>
      </rPr>
      <t>https://4ammedia.zendesk.com/agent/tickets/389517</t>
    </r>
  </si>
  <si>
    <r>
      <rPr>
        <rFont val="Arial, sans-serif"/>
        <color rgb="FF1155CC"/>
        <u/>
      </rPr>
      <t>https://4ammedia.zendesk.com/agent/tickets/409288</t>
    </r>
  </si>
  <si>
    <r>
      <rPr>
        <rFont val="Arial, sans-serif"/>
        <color rgb="FF1155CC"/>
        <u/>
      </rPr>
      <t>https://4ammedia.zendesk.com/agent/tickets/409386</t>
    </r>
  </si>
  <si>
    <r>
      <rPr>
        <rFont val="Arial, sans-serif"/>
        <color rgb="FF1155CC"/>
        <u/>
      </rPr>
      <t>https://4ammedia.zendesk.com/agent/tickets/389746</t>
    </r>
  </si>
  <si>
    <r>
      <rPr>
        <rFont val="Arial, sans-serif"/>
        <color rgb="FF1155CC"/>
        <u/>
      </rPr>
      <t>https://4ammedia.zendesk.com/agent/tickets/393005</t>
    </r>
  </si>
  <si>
    <r>
      <rPr>
        <rFont val="Arial, sans-serif"/>
        <color rgb="FF1155CC"/>
        <u/>
      </rPr>
      <t>https://4ammedia.zendesk.com/agent/tickets/393041</t>
    </r>
  </si>
  <si>
    <t>WEEK: July 13 -  July 19,2026</t>
  </si>
  <si>
    <r>
      <rPr>
        <rFont val="Arial, sans-serif"/>
        <color rgb="FF1155CC"/>
        <u/>
      </rPr>
      <t>https://4ammedia.zendesk.com/agent/tickets/412341</t>
    </r>
  </si>
  <si>
    <r>
      <rPr>
        <rFont val="Arial, sans-serif"/>
        <color rgb="FF1155CC"/>
        <u/>
      </rPr>
      <t>https://4ammedia.zendesk.com/agent/tickets/393330</t>
    </r>
  </si>
  <si>
    <r>
      <rPr>
        <rFont val="Arial, sans-serif"/>
        <color rgb="FF1155CC"/>
        <u/>
      </rPr>
      <t>https://4ammedia.zendesk.com/agent/tickets/395757</t>
    </r>
  </si>
  <si>
    <r>
      <rPr>
        <rFont val="Arial, sans-serif"/>
        <color rgb="FF1155CC"/>
        <u/>
      </rPr>
      <t>https://4ammedia.zendesk.com/agent/tickets/412570</t>
    </r>
  </si>
  <si>
    <r>
      <rPr>
        <rFont val="Arial, sans-serif"/>
        <color rgb="FF1155CC"/>
        <u/>
      </rPr>
      <t>https://4ammedia.zendesk.com/agent/tickets/395982</t>
    </r>
  </si>
  <si>
    <r>
      <rPr>
        <rFont val="Arial, sans-serif"/>
        <color rgb="FF1155CC"/>
        <u/>
      </rPr>
      <t>https://4ammedia.zendesk.com/agent/tickets/412754</t>
    </r>
  </si>
  <si>
    <r>
      <rPr>
        <rFont val="Arial, sans-serif"/>
        <color rgb="FF1155CC"/>
        <u/>
      </rPr>
      <t>https://4ammedia.zendesk.com/agent/tickets/396001</t>
    </r>
  </si>
  <si>
    <r>
      <rPr>
        <rFont val="Arial, sans-serif"/>
        <color rgb="FF1155CC"/>
        <u/>
      </rPr>
      <t>https://4ammedia.zendesk.com/agent/tickets/415579</t>
    </r>
  </si>
  <si>
    <r>
      <rPr>
        <rFont val="Arial, sans-serif"/>
        <color rgb="FF1155CC"/>
        <u/>
      </rPr>
      <t>https://4ammedia.zendesk.com/agent/tickets/406192</t>
    </r>
  </si>
  <si>
    <r>
      <rPr>
        <rFont val="Arial, sans-serif"/>
        <color rgb="FF1155CC"/>
        <u/>
      </rPr>
      <t>https://4ammedia.zendesk.com/agent/tickets/416249</t>
    </r>
  </si>
  <si>
    <r>
      <rPr>
        <rFont val="Arial, sans-serif"/>
        <color rgb="FF1155CC"/>
        <u/>
      </rPr>
      <t>https://4ammedia.zendesk.com/agent/tickets/406371</t>
    </r>
  </si>
  <si>
    <r>
      <rPr>
        <rFont val="Arial, sans-serif"/>
        <color rgb="FF1155CC"/>
        <u/>
      </rPr>
      <t>https://4ammedia.zendesk.com/agent/tickets/416515</t>
    </r>
  </si>
  <si>
    <r>
      <rPr>
        <rFont val="Arial, sans-serif"/>
        <color rgb="FF1155CC"/>
        <u/>
      </rPr>
      <t>https://4ammedia.zendesk.com/agent/tickets/406751</t>
    </r>
  </si>
  <si>
    <r>
      <rPr>
        <rFont val="Arial, sans-serif"/>
        <color rgb="FF1155CC"/>
        <u/>
      </rPr>
      <t>https://4ammedia.zendesk.com/agent/tickets/419499</t>
    </r>
  </si>
  <si>
    <r>
      <rPr>
        <rFont val="Arial, sans-serif"/>
        <color rgb="FF1155CC"/>
        <u/>
      </rPr>
      <t>https://4ammedia.zendesk.com/agent/tickets/409623</t>
    </r>
  </si>
  <si>
    <r>
      <rPr>
        <rFont val="Arial, sans-serif"/>
        <color rgb="FF1155CC"/>
        <u/>
      </rPr>
      <t>https://4ammedia.zendesk.com/agent/tickets/419688</t>
    </r>
  </si>
  <si>
    <r>
      <rPr>
        <rFont val="Arial, sans-serif"/>
        <color rgb="FF1155CC"/>
        <u/>
      </rPr>
      <t>https://4ammedia.zendesk.com/agent/tickets/409780</t>
    </r>
  </si>
  <si>
    <r>
      <rPr>
        <rFont val="Arial, sans-serif"/>
        <color rgb="FF1155CC"/>
        <u/>
      </rPr>
      <t>https://4ammedia.zendesk.com/agent/tickets/419848</t>
    </r>
  </si>
  <si>
    <r>
      <rPr>
        <rFont val="Arial, sans-serif"/>
        <color rgb="FF1155CC"/>
        <u/>
      </rPr>
      <t>https://4ammedia.zendesk.com/agent/tickets/409788</t>
    </r>
  </si>
  <si>
    <r>
      <rPr>
        <rFont val="Arial, sans-serif"/>
        <color rgb="FF1155CC"/>
        <u/>
      </rPr>
      <t>https://4ammedia.zendesk.com/agent/tickets/412475</t>
    </r>
  </si>
  <si>
    <r>
      <rPr>
        <rFont val="Arial, sans-serif"/>
        <color rgb="FF1155CC"/>
        <u/>
      </rPr>
      <t>https://4ammedia.zendesk.com/agent/tickets/412682</t>
    </r>
  </si>
  <si>
    <t>200</t>
  </si>
  <si>
    <r>
      <rPr>
        <rFont val="Arial, sans-serif"/>
        <color rgb="FF1155CC"/>
        <u/>
      </rPr>
      <t>https://4ammedia.zendesk.com/agent/tickets/412915</t>
    </r>
  </si>
  <si>
    <r>
      <rPr>
        <rFont val="Arial, sans-serif"/>
        <color rgb="FF1155CC"/>
        <u/>
      </rPr>
      <t>https://4ammedia.zendesk.com/agent/tickets/416108</t>
    </r>
  </si>
  <si>
    <r>
      <rPr>
        <rFont val="Arial, sans-serif"/>
        <color rgb="FF1155CC"/>
        <u/>
      </rPr>
      <t>https://4ammedia.zendesk.com/agent/tickets/416543</t>
    </r>
  </si>
  <si>
    <r>
      <rPr>
        <rFont val="Arial, sans-serif"/>
        <color rgb="FF1155CC"/>
        <u/>
      </rPr>
      <t>https://4ammedia.zendesk.com/agent/tickets/416588</t>
    </r>
  </si>
  <si>
    <r>
      <rPr>
        <rFont val="Arial, sans-serif"/>
        <color rgb="FF1155CC"/>
        <u/>
      </rPr>
      <t>https://4ammedia.zendesk.com/agent/tickets/419498</t>
    </r>
  </si>
  <si>
    <t>WEEK: July 20 -  July 26,2026</t>
  </si>
  <si>
    <r>
      <rPr>
        <rFont val="Arial, sans-serif"/>
        <color rgb="FF1155CC"/>
        <u/>
      </rPr>
      <t>https://4ammedia.zendesk.com/agent/tickets/249343</t>
    </r>
  </si>
  <si>
    <r>
      <rPr>
        <rFont val="Arial, sans-serif"/>
        <color rgb="FF1155CC"/>
        <u/>
      </rPr>
      <t>https://4ammedia.zendesk.com/agent/tickets/419925</t>
    </r>
  </si>
  <si>
    <r>
      <rPr>
        <rFont val="Arial, sans-serif"/>
        <color rgb="FF1155CC"/>
        <u/>
      </rPr>
      <t>https://4ammedia.zendesk.com/agent/tickets/420024</t>
    </r>
  </si>
  <si>
    <r>
      <rPr>
        <rFont val="Arial, sans-serif"/>
        <color rgb="FF1155CC"/>
        <u/>
      </rPr>
      <t>https://4ammedia.zendesk.com/agent/tickets/422361</t>
    </r>
  </si>
  <si>
    <r>
      <rPr>
        <rFont val="Arial, sans-serif"/>
        <color rgb="FF1155CC"/>
        <u/>
      </rPr>
      <t>https://4ammedia.zendesk.com/agent/tickets/422558</t>
    </r>
  </si>
  <si>
    <r>
      <rPr>
        <rFont val="Arial, sans-serif"/>
        <color rgb="FF1155CC"/>
        <u/>
      </rPr>
      <t>https://4ammedia.zendesk.com/agent/tickets/422631</t>
    </r>
  </si>
  <si>
    <r>
      <rPr>
        <rFont val="Arial, sans-serif"/>
        <color rgb="FF1155CC"/>
        <u/>
      </rPr>
      <t>https://4ammedia.zendesk.com/agent/tickets/249462</t>
    </r>
  </si>
  <si>
    <r>
      <rPr>
        <rFont val="Arial, sans-serif"/>
        <color rgb="FF1155CC"/>
        <u/>
      </rPr>
      <t>https://4ammedia.zendesk.com/agent/tickets/429894</t>
    </r>
  </si>
  <si>
    <r>
      <rPr>
        <rFont val="Arial, sans-serif"/>
        <color rgb="FF1155CC"/>
        <u/>
      </rPr>
      <t>https://4ammedia.zendesk.com/agent/tickets/249734</t>
    </r>
  </si>
  <si>
    <r>
      <rPr>
        <rFont val="Arial, sans-serif"/>
        <color rgb="FF1155CC"/>
        <u/>
      </rPr>
      <t>https://4ammedia.zendesk.com/agent/tickets/430290</t>
    </r>
  </si>
  <si>
    <r>
      <rPr>
        <rFont val="Arial, sans-serif"/>
        <color rgb="FF1155CC"/>
        <u/>
      </rPr>
      <t>https://4ammedia.zendesk.com/agent/tickets/251937</t>
    </r>
  </si>
  <si>
    <r>
      <rPr>
        <rFont val="Arial, sans-serif"/>
        <color rgb="FF1155CC"/>
        <u/>
      </rPr>
      <t>https://4ammedia.zendesk.com/agent/tickets/430359</t>
    </r>
  </si>
  <si>
    <r>
      <rPr>
        <rFont val="Arial, sans-serif"/>
        <color rgb="FF1155CC"/>
        <u/>
      </rPr>
      <t>https://4ammedia.zendesk.com/agent/tickets/252094</t>
    </r>
  </si>
  <si>
    <r>
      <rPr>
        <rFont val="Arial, sans-serif"/>
        <color rgb="FF1155CC"/>
        <u/>
      </rPr>
      <t>https://4ammedia.zendesk.com/agent/tickets/252563</t>
    </r>
  </si>
  <si>
    <r>
      <rPr>
        <rFont val="Arial, sans-serif"/>
        <color rgb="FF1155CC"/>
        <u/>
      </rPr>
      <t>https://4ammedia.zendesk.com/agent/tickets/253560</t>
    </r>
  </si>
  <si>
    <r>
      <rPr>
        <rFont val="Arial, sans-serif"/>
        <color rgb="FF1155CC"/>
        <u/>
      </rPr>
      <t>https://4ammedia.zendesk.com/agent/tickets/253877</t>
    </r>
  </si>
  <si>
    <r>
      <rPr>
        <rFont val="Arial, sans-serif"/>
        <color rgb="FF1155CC"/>
        <u/>
      </rPr>
      <t>https://4ammedia.zendesk.com/agent/tickets/254047</t>
    </r>
  </si>
  <si>
    <r>
      <rPr>
        <rFont val="Arial, sans-serif"/>
        <color rgb="FF1155CC"/>
        <u/>
      </rPr>
      <t>https://4ammedia.zendesk.com/agent/tickets/255747</t>
    </r>
  </si>
  <si>
    <r>
      <rPr>
        <rFont val="Arial, sans-serif"/>
        <color rgb="FF1155CC"/>
        <u/>
      </rPr>
      <t>https://4ammedia.zendesk.com/agent/tickets/256110</t>
    </r>
  </si>
  <si>
    <r>
      <rPr>
        <rFont val="Arial, sans-serif"/>
        <color rgb="FF1155CC"/>
        <u/>
      </rPr>
      <t>https://4ammedia.zendesk.com/agent/tickets/256429</t>
    </r>
  </si>
  <si>
    <r>
      <rPr>
        <rFont val="Arial, sans-serif"/>
        <color rgb="FF1155CC"/>
        <u/>
      </rPr>
      <t>https://4ammedia.zendesk.com/agent/tickets/257920</t>
    </r>
  </si>
  <si>
    <r>
      <rPr>
        <rFont val="Arial, sans-serif"/>
        <color rgb="FF1155CC"/>
        <u/>
      </rPr>
      <t>https://4ammedia.zendesk.com/agent/tickets/258088</t>
    </r>
  </si>
  <si>
    <r>
      <rPr>
        <rFont val="Arial, sans-serif"/>
        <color rgb="FF1155CC"/>
        <u/>
      </rPr>
      <t>https://4ammedia.zendesk.com/agent/tickets/258335</t>
    </r>
  </si>
  <si>
    <r>
      <rPr>
        <rFont val="Arial, sans-serif"/>
        <color rgb="FF1155CC"/>
        <u/>
      </rPr>
      <t>https://4ammedia.zendesk.com/agent/tickets/262447</t>
    </r>
  </si>
  <si>
    <t>https://horizondirect.gorgias.com/app/ticket/376146896</t>
  </si>
  <si>
    <r>
      <rPr>
        <rFont val="Arial, sans-serif"/>
        <color rgb="FF1155CC"/>
        <u/>
      </rPr>
      <t>https://4ammedia.zendesk.com/agent/tickets/262636</t>
    </r>
  </si>
  <si>
    <r>
      <rPr>
        <rFont val="Arial, sans-serif"/>
        <color rgb="FF1155CC"/>
        <u/>
      </rPr>
      <t>https://4ammedia.zendesk.com/agent/tickets/262838</t>
    </r>
  </si>
  <si>
    <t>WEEK: July 27 -  Aug 2,2026</t>
  </si>
  <si>
    <r>
      <rPr>
        <rFont val="Arial, sans-serif"/>
        <color rgb="FF1155CC"/>
        <u/>
      </rPr>
      <t>https://4ammedia.zendesk.com/agent/tickets/265113</t>
    </r>
  </si>
  <si>
    <r>
      <rPr>
        <rFont val="Arial, sans-serif"/>
        <color rgb="FF1155CC"/>
        <u/>
      </rPr>
      <t>https://4ammedia.zendesk.com/agent/tickets/265416</t>
    </r>
  </si>
  <si>
    <r>
      <rPr>
        <rFont val="Arial, sans-serif"/>
        <color rgb="FF1155CC"/>
        <u/>
      </rPr>
      <t>https://4ammedia.zendesk.com/agent/tickets/265576</t>
    </r>
  </si>
  <si>
    <r>
      <rPr>
        <rFont val="Arial, sans-serif"/>
        <color rgb="FF1155CC"/>
        <u/>
      </rPr>
      <t>https://4ammedia.zendesk.com/agent/tickets/267131</t>
    </r>
  </si>
  <si>
    <t>https://horizondirect.gorgias.com/app/ticket/376104916</t>
  </si>
  <si>
    <r>
      <rPr>
        <rFont val="Arial, sans-serif"/>
        <color rgb="FF1155CC"/>
        <u/>
      </rPr>
      <t>https://4ammedia.zendesk.com/agent/tickets/267220</t>
    </r>
  </si>
  <si>
    <r>
      <rPr>
        <rFont val="Arial, sans-serif"/>
        <color rgb="FF1155CC"/>
        <u/>
      </rPr>
      <t>https://4ammedia.zendesk.com/agent/tickets/267616</t>
    </r>
  </si>
  <si>
    <t>https://horizondirect.gorgias.com/app/ticket/376111740</t>
  </si>
  <si>
    <r>
      <rPr>
        <rFont val="Arial, sans-serif"/>
        <color rgb="FF1155CC"/>
        <u/>
      </rPr>
      <t>https://4ammedia.zendesk.com/agent/tickets/269534</t>
    </r>
  </si>
  <si>
    <t>https://horizondirect.gorgias.com/app/ticket/376261116</t>
  </si>
  <si>
    <r>
      <rPr>
        <rFont val="Arial, sans-serif"/>
        <color rgb="FF1155CC"/>
        <u/>
      </rPr>
      <t>https://4ammedia.zendesk.com/agent/tickets/269668</t>
    </r>
  </si>
  <si>
    <t xml:space="preserve">Wrong refund amount processed. Shipping and warranty has been refunded </t>
  </si>
  <si>
    <t>https://horizondirect.gorgias.com/app/ticket/376301998</t>
  </si>
  <si>
    <r>
      <rPr>
        <rFont val="Arial, sans-serif"/>
        <color rgb="FF1155CC"/>
        <u/>
      </rPr>
      <t>https://4ammedia.zendesk.com/agent/tickets/269846</t>
    </r>
  </si>
  <si>
    <r>
      <rPr>
        <rFont val="Arial, sans-serif"/>
        <color rgb="FF1155CC"/>
        <u/>
      </rPr>
      <t>https://4ammedia.zendesk.com/agent/tickets/271155</t>
    </r>
  </si>
  <si>
    <r>
      <rPr>
        <rFont val="Arial, sans-serif"/>
        <color rgb="FF1155CC"/>
        <u/>
      </rPr>
      <t>https://4ammedia.zendesk.com/agent/tickets/271648</t>
    </r>
  </si>
  <si>
    <r>
      <rPr>
        <rFont val="Arial, sans-serif"/>
        <color rgb="FF1155CC"/>
        <u/>
      </rPr>
      <t>https://4ammedia.zendesk.com/agent/tickets/271761</t>
    </r>
  </si>
  <si>
    <r>
      <rPr>
        <rFont val="Arial, sans-serif"/>
        <color rgb="FF1155CC"/>
        <u/>
      </rPr>
      <t>https://horizondirect.gorgias.com/app/ticket/376298025</t>
    </r>
  </si>
  <si>
    <t>This is a subscription - Wrong tagging</t>
  </si>
  <si>
    <t>https://horizondirect.gorgias.com/app/ticket/376401766</t>
  </si>
  <si>
    <t>Always send return instruction email</t>
  </si>
  <si>
    <t>https://horizondirect.gorgias.com/app/ticket/376422663</t>
  </si>
  <si>
    <r>
      <rPr>
        <rFont val="Arial, sans-serif"/>
        <color rgb="FF1155CC"/>
        <u/>
      </rPr>
      <t>https://4ammedia.zendesk.com/agent/tickets/275645</t>
    </r>
  </si>
  <si>
    <t xml:space="preserve">CSR claimed that she processed a refund, but no refund was processed on sticky and notes did not match the call - order alreaedy shipped, can no longer be canceled. CSR should've offered return instead </t>
  </si>
  <si>
    <t>https://horizondirect.gorgias.com/app/ticket/376437649</t>
  </si>
  <si>
    <t>https://horizondirect.gorgias.com/app/ticket/376704054</t>
  </si>
  <si>
    <t>Full refund was not processed. Only return orders have deductable fees</t>
  </si>
  <si>
    <t>https://horizondirect.gorgias.com/app/ticket/376724254</t>
  </si>
  <si>
    <r>
      <rPr>
        <rFont val="Arial, sans-serif"/>
        <color rgb="FF1155CC"/>
        <u/>
      </rPr>
      <t>https://4ammedia.zendesk.com/agent/tickets/275812</t>
    </r>
  </si>
  <si>
    <r>
      <rPr>
        <rFont val="Arial, sans-serif"/>
        <color rgb="FF1155CC"/>
        <u/>
      </rPr>
      <t>https://4ammedia.zendesk.com/agent/tickets/275908</t>
    </r>
  </si>
  <si>
    <t>https://horizondirect.gorgias.com/app/ticket/376706349</t>
  </si>
  <si>
    <r>
      <rPr>
        <rFont val="Arial, sans-serif"/>
        <color rgb="FF1155CC"/>
        <u/>
      </rPr>
      <t>https://4ammedia.zendesk.com/agent/tickets/278343</t>
    </r>
  </si>
  <si>
    <t>Incomplete refund - wrong tagging</t>
  </si>
  <si>
    <t>https://horizondirect.gorgias.com/app/ticket/376792578</t>
  </si>
  <si>
    <r>
      <rPr>
        <rFont val="Arial, sans-serif"/>
        <color rgb="FF1155CC"/>
        <u/>
      </rPr>
      <t>https://4ammedia.zendesk.com/agent/tickets/278654</t>
    </r>
  </si>
  <si>
    <t>https://horizondirect.gorgias.com/app/ticket/376796013</t>
  </si>
  <si>
    <r>
      <rPr>
        <rFont val="Arial, sans-serif"/>
        <color rgb="FF1155CC"/>
        <u/>
      </rPr>
      <t>https://4ammedia.zendesk.com/agent/tickets/278802</t>
    </r>
  </si>
  <si>
    <t xml:space="preserve">CSR should've directly mentioned that she can be escalated to a callback list for assistance </t>
  </si>
  <si>
    <t>https://horizondirect.gorgias.com/app/ticket/376817573</t>
  </si>
  <si>
    <r>
      <rPr>
        <rFont val="Arial, sans-serif"/>
        <color rgb="FF1155CC"/>
        <u/>
      </rPr>
      <t>https://4ammedia.zendesk.com/agent/tickets/279741</t>
    </r>
  </si>
  <si>
    <r>
      <rPr>
        <rFont val="Arial, sans-serif"/>
        <color rgb="FF1155CC"/>
        <u/>
      </rPr>
      <t>https://4ammedia.zendesk.com/agent/tickets/279892</t>
    </r>
  </si>
  <si>
    <r>
      <rPr>
        <rFont val="Arial, sans-serif"/>
        <color rgb="FF1155CC"/>
        <u/>
      </rPr>
      <t>https://4ammedia.zendesk.com/agent/tickets/280114</t>
    </r>
  </si>
  <si>
    <t xml:space="preserve">Week (Feb 2 -Feb 8,2026) </t>
  </si>
  <si>
    <r>
      <rPr>
        <rFont val="Arial, sans-serif"/>
        <color rgb="FF1155CC"/>
        <u/>
      </rPr>
      <t>https://4ammedia.zendesk.com/agent/tickets/282230</t>
    </r>
  </si>
  <si>
    <t>https://horizondirect.gorgias.com/app/ticket/377024182</t>
  </si>
  <si>
    <r>
      <rPr>
        <rFont val="Arial, sans-serif"/>
        <color rgb="FF1155CC"/>
        <u/>
      </rPr>
      <t>https://4ammedia.zendesk.com/agent/tickets/282401</t>
    </r>
  </si>
  <si>
    <t>WEEK: Aug 3 -  Aug 9,2026</t>
  </si>
  <si>
    <r>
      <rPr>
        <rFont val="Arial, sans-serif"/>
        <color rgb="FF1155CC"/>
        <u/>
      </rPr>
      <t>https://4ammedia.zendesk.com/agent/tickets/282683</t>
    </r>
  </si>
  <si>
    <r>
      <rPr>
        <rFont val="Arial, sans-serif"/>
        <color rgb="FF1155CC"/>
        <u/>
      </rPr>
      <t>https://4ammedia.zendesk.com/agent/tickets/284031</t>
    </r>
  </si>
  <si>
    <t>CSR should know when to stop especially if cx sound likes trying to say something</t>
  </si>
  <si>
    <t>https://horizondirect.gorgias.com/app/ticket/377031632</t>
  </si>
  <si>
    <r>
      <rPr>
        <rFont val="Arial, sans-serif"/>
        <color rgb="FF1155CC"/>
        <u/>
      </rPr>
      <t>https://4ammedia.zendesk.com/agent/tickets/284045</t>
    </r>
  </si>
  <si>
    <t>https://horizondirect.gorgias.com/app/ticket/377180919</t>
  </si>
  <si>
    <r>
      <rPr>
        <rFont val="Arial, sans-serif"/>
        <color rgb="FF1155CC"/>
        <u/>
      </rPr>
      <t>https://4ammedia.zendesk.com/agent/tickets/284096</t>
    </r>
  </si>
  <si>
    <t>https://horizondirect.gorgias.com/app/ticket/377192167</t>
  </si>
  <si>
    <t xml:space="preserve">CX lacks of explanation of the benefit of availing BTE </t>
  </si>
  <si>
    <t>https://horizondirect.gorgias.com/app/ticket/377209081</t>
  </si>
  <si>
    <t xml:space="preserve">CSR should've tried to offer to cx to try domes from amazon </t>
  </si>
  <si>
    <t>https://horizondirect.gorgias.com/app/ticket/377189337</t>
  </si>
  <si>
    <r>
      <rPr>
        <rFont val="Arial, sans-serif"/>
        <color rgb="FF1155CC"/>
        <u/>
      </rPr>
      <t>https://4ammedia.zendesk.com/agent/tickets/288284</t>
    </r>
  </si>
  <si>
    <t xml:space="preserve">CSR should've also suggested to reset thge hearing aid first after charging </t>
  </si>
  <si>
    <t>https://horizondirect.gorgias.com/app/ticket/377328281</t>
  </si>
  <si>
    <r>
      <rPr>
        <rFont val="Arial, sans-serif"/>
        <color rgb="FF1155CC"/>
        <u/>
      </rPr>
      <t>https://4ammedia.zendesk.com/agent/tickets/288381</t>
    </r>
  </si>
  <si>
    <t>194</t>
  </si>
  <si>
    <t xml:space="preserve">CSR should've asked first on how long did the cx charged the hearing aid and asked for the color of the light indicator of the charging case </t>
  </si>
  <si>
    <t>https://horizondirect.gorgias.com/app/ticket/377342007</t>
  </si>
  <si>
    <r>
      <rPr>
        <rFont val="Arial, sans-serif"/>
        <color rgb="FF1155CC"/>
        <u/>
      </rPr>
      <t>https://4ammedia.zendesk.com/agent/tickets/288443</t>
    </r>
  </si>
  <si>
    <t>https://horizondirect.gorgias.com/app/ticket/377362263</t>
  </si>
  <si>
    <r>
      <rPr>
        <rFont val="Arial, sans-serif"/>
        <color rgb="FF1155CC"/>
        <u/>
      </rPr>
      <t>https://4ammedia.zendesk.com/agent/tickets/290736</t>
    </r>
  </si>
  <si>
    <t>CSR failed to probe and ask more questions about the hearing aid</t>
  </si>
  <si>
    <t>https://horizondirect.gorgias.com/app/ticket/377485409</t>
  </si>
  <si>
    <r>
      <rPr>
        <rFont val="Arial, sans-serif"/>
        <color rgb="FF1155CC"/>
        <u/>
      </rPr>
      <t>https://4ammedia.zendesk.com/agent/tickets/290896</t>
    </r>
  </si>
  <si>
    <r>
      <rPr>
        <rFont val="Arial, sans-serif"/>
        <color rgb="FF1155CC"/>
        <u/>
      </rPr>
      <t>https://4ammedia.zendesk.com/agent/tickets/290933</t>
    </r>
  </si>
  <si>
    <t xml:space="preserve">CSR should've at least tried to save the extra item before offering cancellation </t>
  </si>
  <si>
    <t>https://horizondirect.gorgias.com/app/ticket/377488652</t>
  </si>
  <si>
    <r>
      <rPr>
        <rFont val="Arial, sans-serif"/>
        <color rgb="FF1155CC"/>
        <u/>
      </rPr>
      <t>https://4ammedia.zendesk.com/agent/tickets/292649</t>
    </r>
  </si>
  <si>
    <t>https://horizondirect.gorgias.com/app/ticket/377516895</t>
  </si>
  <si>
    <r>
      <rPr>
        <rFont val="Arial, sans-serif"/>
        <color rgb="FF1155CC"/>
        <u/>
      </rPr>
      <t>https://4ammedia.zendesk.com/agent/tickets/292932</t>
    </r>
  </si>
  <si>
    <t>https://horizondirect.gorgias.com/app/ticket/377605229</t>
  </si>
  <si>
    <r>
      <rPr>
        <rFont val="Arial, sans-serif"/>
        <color rgb="FF1155CC"/>
        <u/>
      </rPr>
      <t>https://4ammedia.zendesk.com/agent/tickets/293107</t>
    </r>
  </si>
  <si>
    <r>
      <rPr>
        <rFont val="Arial, sans-serif"/>
        <color rgb="FF1155CC"/>
        <u/>
      </rPr>
      <t>https://4ammedia.zendesk.com/agent/tickets/294944</t>
    </r>
  </si>
  <si>
    <t>https://horizondirect.gorgias.com/app/ticket/377626693</t>
  </si>
  <si>
    <r>
      <rPr>
        <rFont val="Arial, sans-serif"/>
        <color rgb="FF1155CC"/>
        <u/>
      </rPr>
      <t>https://4ammedia.zendesk.com/agent/tickets/295272</t>
    </r>
  </si>
  <si>
    <t>CSR should've also suggested to reset the device after charging</t>
  </si>
  <si>
    <t>https://horizondirect.gorgias.com/app/ticket/377644218</t>
  </si>
  <si>
    <r>
      <rPr>
        <rFont val="Arial, sans-serif"/>
        <color rgb="FF1155CC"/>
        <u/>
      </rPr>
      <t>https://4ammedia.zendesk.com/agent/tickets/295308</t>
    </r>
  </si>
  <si>
    <r>
      <rPr>
        <rFont val="Arial, sans-serif"/>
        <color rgb="FF1155CC"/>
        <u/>
      </rPr>
      <t>https://4ammedia.zendesk.com/agent/tickets/298658</t>
    </r>
  </si>
  <si>
    <r>
      <rPr>
        <rFont val="Arial, sans-serif"/>
        <color rgb="FF1155CC"/>
        <u/>
      </rPr>
      <t>https://4ammedia.zendesk.com/agent/tickets/298856</t>
    </r>
  </si>
  <si>
    <t xml:space="preserve">Week (Feb 9 -Feb 15,2026) </t>
  </si>
  <si>
    <r>
      <rPr>
        <rFont val="Arial, sans-serif"/>
        <color rgb="FF1155CC"/>
        <u/>
      </rPr>
      <t>https://4ammedia.zendesk.com/agent/tickets/298894</t>
    </r>
  </si>
  <si>
    <t>https://horizondirect.gorgias.com/app/ticket/377931983</t>
  </si>
  <si>
    <r>
      <rPr>
        <rFont val="Arial, sans-serif"/>
        <color rgb="FF1155CC"/>
        <u/>
      </rPr>
      <t>https://4ammedia.zendesk.com/agent/tickets/301633</t>
    </r>
  </si>
  <si>
    <t>https://horizondirect.gorgias.com/app/ticket/377924936</t>
  </si>
  <si>
    <r>
      <rPr>
        <rFont val="Arial, sans-serif"/>
        <color rgb="FF1155CC"/>
        <u/>
      </rPr>
      <t>https://4ammedia.zendesk.com/agent/tickets/301754</t>
    </r>
  </si>
  <si>
    <t>https://horizondirect.gorgias.com/app/ticket/377923110</t>
  </si>
  <si>
    <r>
      <rPr>
        <rFont val="Arial, sans-serif"/>
        <color rgb="FF1155CC"/>
        <u/>
      </rPr>
      <t>https://4ammedia.zendesk.com/agent/tickets/301968</t>
    </r>
  </si>
  <si>
    <t>https://horizondirect.gorgias.com/app/ticket/378093114</t>
  </si>
  <si>
    <r>
      <rPr>
        <rFont val="Arial, sans-serif"/>
        <color rgb="FF1155CC"/>
        <u/>
      </rPr>
      <t>https://4ammedia.zendesk.com/agent/tickets/304063</t>
    </r>
  </si>
  <si>
    <t>https://horizondirect.gorgias.com/app/ticket/378112762</t>
  </si>
  <si>
    <r>
      <rPr>
        <rFont val="Arial, sans-serif"/>
        <color rgb="FF1155CC"/>
        <u/>
      </rPr>
      <t>https://4ammedia.zendesk.com/agent/tickets/304373</t>
    </r>
  </si>
  <si>
    <r>
      <rPr>
        <rFont val="Arial"/>
        <color rgb="FF1155CC"/>
        <u/>
      </rPr>
      <t>https://horizondirect.gorgias.com/app/ticket/378121482</t>
    </r>
  </si>
  <si>
    <r>
      <rPr>
        <rFont val="Arial, sans-serif"/>
        <color rgb="FF1155CC"/>
        <u/>
      </rPr>
      <t>https://4ammedia.zendesk.com/agent/tickets/304473</t>
    </r>
  </si>
  <si>
    <r>
      <rPr>
        <rFont val="Arial, sans-serif"/>
        <color rgb="FF1155CC"/>
        <u/>
      </rPr>
      <t>https://horizondirect.gorgias.com/app/ticket/378559165</t>
    </r>
  </si>
  <si>
    <r>
      <rPr>
        <rFont val="Arial, sans-serif"/>
        <color rgb="FF1155CC"/>
        <u/>
      </rPr>
      <t>https://4ammedia.zendesk.com/agent/tickets/306142</t>
    </r>
  </si>
  <si>
    <r>
      <rPr>
        <rFont val="Arial, sans-serif"/>
        <color rgb="FF1155CC"/>
        <u/>
      </rPr>
      <t>https://horizondirect.gorgias.com/app/ticket/378561714</t>
    </r>
  </si>
  <si>
    <r>
      <rPr>
        <rFont val="Arial, sans-serif"/>
        <color rgb="FF1155CC"/>
        <u/>
      </rPr>
      <t>https://4ammedia.zendesk.com/agent/tickets/306280</t>
    </r>
  </si>
  <si>
    <r>
      <rPr>
        <rFont val="Arial, sans-serif"/>
        <color rgb="FF1155CC"/>
        <u/>
      </rPr>
      <t>https://horizondirect.gorgias.com/app/ticket/378570340</t>
    </r>
  </si>
  <si>
    <r>
      <rPr>
        <rFont val="Arial, sans-serif"/>
        <color rgb="FF1155CC"/>
        <u/>
      </rPr>
      <t>https://4ammedia.zendesk.com/agent/tickets/306387</t>
    </r>
  </si>
  <si>
    <r>
      <rPr>
        <rFont val="Arial, sans-serif"/>
        <color rgb="FF1155CC"/>
        <u/>
      </rPr>
      <t>https://horizondirect.gorgias.com/app/ticket/378634159</t>
    </r>
  </si>
  <si>
    <r>
      <rPr>
        <rFont val="Arial, sans-serif"/>
        <color rgb="FF1155CC"/>
        <u/>
      </rPr>
      <t>https://4ammedia.zendesk.com/agent/tickets/310029</t>
    </r>
  </si>
  <si>
    <r>
      <rPr>
        <rFont val="Arial, sans-serif"/>
        <color rgb="FF1155CC"/>
        <u/>
      </rPr>
      <t>https://horizondirect.gorgias.com/app/ticket/378647453</t>
    </r>
  </si>
  <si>
    <r>
      <rPr>
        <rFont val="Arial, sans-serif"/>
        <color rgb="FF1155CC"/>
        <u/>
      </rPr>
      <t>https://4ammedia.zendesk.com/agent/tickets/310361</t>
    </r>
  </si>
  <si>
    <t xml:space="preserve">GREAT CALL! </t>
  </si>
  <si>
    <r>
      <rPr>
        <rFont val="Arial, sans-serif"/>
        <color rgb="FF1155CC"/>
        <u/>
      </rPr>
      <t>https://horizondirect.gorgias.com/app/ticket/378653378</t>
    </r>
  </si>
  <si>
    <r>
      <rPr>
        <rFont val="Arial, sans-serif"/>
        <color rgb="FF1155CC"/>
        <u/>
      </rPr>
      <t>https://4ammedia.zendesk.com/agent/tickets/310500</t>
    </r>
  </si>
  <si>
    <r>
      <rPr>
        <rFont val="Arial, sans-serif"/>
        <color rgb="FF1155CC"/>
        <u/>
      </rPr>
      <t>https://horizondirect.gorgias.com/app/ticket/378716252</t>
    </r>
  </si>
  <si>
    <r>
      <rPr>
        <rFont val="Arial, sans-serif"/>
        <color rgb="FF1155CC"/>
        <u/>
      </rPr>
      <t>https://4ammedia.zendesk.com/agent/tickets/311897</t>
    </r>
  </si>
  <si>
    <r>
      <rPr>
        <rFont val="Arial, sans-serif"/>
        <color rgb="FF1155CC"/>
        <u/>
      </rPr>
      <t>https://horizondirect.gorgias.com/app/ticket/378730626</t>
    </r>
  </si>
  <si>
    <r>
      <rPr>
        <rFont val="Arial, sans-serif"/>
        <color rgb="FF1155CC"/>
        <u/>
      </rPr>
      <t>https://4ammedia.zendesk.com/agent/tickets/312117</t>
    </r>
  </si>
  <si>
    <r>
      <rPr>
        <rFont val="Arial, sans-serif"/>
        <color rgb="FF1155CC"/>
        <u/>
      </rPr>
      <t>https://horizondirect.gorgias.com/app/ticket/378741814</t>
    </r>
  </si>
  <si>
    <r>
      <rPr>
        <rFont val="Arial, sans-serif"/>
        <color rgb="FF1155CC"/>
        <u/>
      </rPr>
      <t>https://4ammedia.zendesk.com/agent/tickets/312165</t>
    </r>
  </si>
  <si>
    <t xml:space="preserve">Week (Feb 16 -Feb 22,2026) </t>
  </si>
  <si>
    <r>
      <rPr>
        <rFont val="Arial, sans-serif"/>
        <color rgb="FF1155CC"/>
        <u/>
      </rPr>
      <t>https://horizondirect.gorgias.com/app/ticket/378841700</t>
    </r>
  </si>
  <si>
    <r>
      <rPr>
        <rFont val="Arial, sans-serif"/>
        <color rgb="FF1155CC"/>
        <u/>
      </rPr>
      <t>https://4ammedia.zendesk.com/agent/tickets/315485</t>
    </r>
  </si>
  <si>
    <r>
      <rPr>
        <rFont val="Arial, sans-serif"/>
        <color rgb="FF1155CC"/>
        <u/>
      </rPr>
      <t>https://horizondirect.gorgias.com/app/ticket/378868070</t>
    </r>
  </si>
  <si>
    <r>
      <rPr>
        <rFont val="Arial, sans-serif"/>
        <color rgb="FF1155CC"/>
        <u/>
      </rPr>
      <t>https://4ammedia.zendesk.com/agent/tickets/315998</t>
    </r>
  </si>
  <si>
    <r>
      <rPr>
        <rFont val="Arial, sans-serif"/>
        <color rgb="FF1155CC"/>
        <u/>
      </rPr>
      <t>https://horizondirect.gorgias.com/app/ticket/378880750</t>
    </r>
  </si>
  <si>
    <r>
      <rPr>
        <rFont val="Arial, sans-serif"/>
        <color rgb="FF1155CC"/>
        <u/>
      </rPr>
      <t>https://4ammedia.zendesk.com/agent/tickets/316168</t>
    </r>
  </si>
  <si>
    <t>CSR failed to offer BTE to cx</t>
  </si>
  <si>
    <r>
      <rPr>
        <rFont val="Arial, sans-serif"/>
        <color rgb="FF1155CC"/>
        <u/>
      </rPr>
      <t>https://horizondirect.gorgias.com/app/ticket/378983013</t>
    </r>
  </si>
  <si>
    <r>
      <rPr>
        <rFont val="Arial, sans-serif"/>
        <color rgb="FF1155CC"/>
        <u/>
      </rPr>
      <t>https://4ammedia.zendesk.com/agent/tickets/321946</t>
    </r>
  </si>
  <si>
    <r>
      <rPr>
        <rFont val="Arial, sans-serif"/>
        <color rgb="FF1155CC"/>
        <u/>
      </rPr>
      <t>https://horizondirect.gorgias.com/app/ticket/379002874</t>
    </r>
  </si>
  <si>
    <r>
      <rPr>
        <rFont val="Arial, sans-serif"/>
        <color rgb="FF1155CC"/>
        <u/>
      </rPr>
      <t>https://4ammedia.zendesk.com/agent/tickets/322189</t>
    </r>
  </si>
  <si>
    <r>
      <rPr>
        <rFont val="Arial, sans-serif"/>
        <color rgb="FF1155CC"/>
        <u/>
      </rPr>
      <t>https://4ammedia.zendesk.com/agent/tickets/322433</t>
    </r>
  </si>
  <si>
    <r>
      <rPr>
        <rFont val="Arial, sans-serif"/>
        <color rgb="FF1155CC"/>
        <u/>
      </rPr>
      <t>https://4ammedia.zendesk.com/agent/tickets/324897</t>
    </r>
  </si>
  <si>
    <r>
      <rPr>
        <rFont val="Arial, sans-serif"/>
        <color rgb="FF1155CC"/>
        <u/>
      </rPr>
      <t>https://4ammedia.zendesk.com/agent/tickets/325055</t>
    </r>
  </si>
  <si>
    <r>
      <rPr>
        <rFont val="Arial, sans-serif"/>
        <color rgb="FF1155CC"/>
        <u/>
      </rPr>
      <t>https://4ammedia.zendesk.com/agent/tickets/325249</t>
    </r>
  </si>
  <si>
    <r>
      <rPr>
        <rFont val="Arial, sans-serif"/>
        <color rgb="FF1155CC"/>
        <u/>
      </rPr>
      <t>https://horizondirect.gorgias.com/app/ticket/379008799</t>
    </r>
  </si>
  <si>
    <r>
      <rPr>
        <rFont val="Arial, sans-serif"/>
        <color rgb="FF1155CC"/>
        <u/>
      </rPr>
      <t>https://4ammedia.zendesk.com/agent/tickets/317847</t>
    </r>
  </si>
  <si>
    <r>
      <rPr>
        <rFont val="Arial, sans-serif"/>
        <color rgb="FF1155CC"/>
        <u/>
      </rPr>
      <t>https://horizondirect.gorgias.com/app/ticket/379242998</t>
    </r>
  </si>
  <si>
    <r>
      <rPr>
        <rFont val="Arial, sans-serif"/>
        <color rgb="FF1155CC"/>
        <u/>
      </rPr>
      <t>https://4ammedia.zendesk.com/agent/tickets/318249</t>
    </r>
  </si>
  <si>
    <r>
      <rPr>
        <rFont val="Arial, sans-serif"/>
        <color rgb="FF1155CC"/>
        <u/>
      </rPr>
      <t>https://horizondirect.gorgias.com/app/ticket/379253964</t>
    </r>
  </si>
  <si>
    <r>
      <rPr>
        <rFont val="Arial, sans-serif"/>
        <color rgb="FF1155CC"/>
        <u/>
      </rPr>
      <t>https://4ammedia.zendesk.com/agent/tickets/318443</t>
    </r>
  </si>
  <si>
    <r>
      <rPr>
        <rFont val="Arial, sans-serif"/>
        <color rgb="FF1155CC"/>
        <u/>
      </rPr>
      <t>https://horizondirect.gorgias.com/app/ticket/379270072</t>
    </r>
  </si>
  <si>
    <r>
      <rPr>
        <rFont val="Arial, sans-serif"/>
        <color rgb="FF1155CC"/>
        <u/>
      </rPr>
      <t>https://4ammedia.zendesk.com/agent/tickets/326345</t>
    </r>
  </si>
  <si>
    <t>The sales tax for the hearing aid has been refunded, but the sales tax for the warrant and initial shipping cost is non refundable as those item are not eligible for refund</t>
  </si>
  <si>
    <r>
      <rPr>
        <rFont val="Arial, sans-serif"/>
        <color rgb="FF1155CC"/>
        <u/>
      </rPr>
      <t>https://horizondirect.gorgias.com/app/ticket/379373715</t>
    </r>
  </si>
  <si>
    <r>
      <rPr>
        <rFont val="Arial, sans-serif"/>
        <color rgb="FF1155CC"/>
        <u/>
      </rPr>
      <t>https://4ammedia.zendesk.com/agent/tickets/326499</t>
    </r>
  </si>
  <si>
    <r>
      <rPr>
        <rFont val="Arial, sans-serif"/>
        <color rgb="FF1155CC"/>
        <u/>
      </rPr>
      <t>https://horizondirect.gorgias.com/app/ticket/379380602</t>
    </r>
  </si>
  <si>
    <r>
      <rPr>
        <rFont val="Arial, sans-serif"/>
        <color rgb="FF1155CC"/>
        <u/>
      </rPr>
      <t>https://4ammedia.zendesk.com/agent/tickets/326549</t>
    </r>
  </si>
  <si>
    <r>
      <rPr>
        <rFont val="Arial, sans-serif"/>
        <color rgb="FF1155CC"/>
        <u/>
      </rPr>
      <t>https://4ammedia.zendesk.com/agent/tickets/330603</t>
    </r>
  </si>
  <si>
    <r>
      <rPr>
        <rFont val="Arial, sans-serif"/>
        <color rgb="FF1155CC"/>
        <u/>
      </rPr>
      <t>https://horizondirect.gorgias.com/app/ticket/379408347</t>
    </r>
  </si>
  <si>
    <r>
      <rPr>
        <rFont val="Arial"/>
        <color rgb="FF1155CC"/>
        <u/>
      </rPr>
      <t>https://horizondirect.gorgias.com/app/ticket/379468952</t>
    </r>
  </si>
  <si>
    <r>
      <rPr>
        <rFont val="Arial, sans-serif"/>
        <color rgb="FF1155CC"/>
        <u/>
      </rPr>
      <t>https://4ammedia.zendesk.com/agent/tickets/330730</t>
    </r>
  </si>
  <si>
    <r>
      <rPr>
        <rFont val="Arial"/>
        <color rgb="FF1155CC"/>
        <u/>
      </rPr>
      <t>https://horizondirect.gorgias.com/app/ticket/379472122</t>
    </r>
  </si>
  <si>
    <r>
      <rPr>
        <rFont val="Arial, sans-serif"/>
        <color rgb="FF1155CC"/>
        <u/>
      </rPr>
      <t>https://4ammedia.zendesk.com/agent/tickets/330815</t>
    </r>
  </si>
  <si>
    <r>
      <rPr>
        <rFont val="Arial"/>
        <color rgb="FF1155CC"/>
        <u/>
      </rPr>
      <t>https://horizondirect.gorgias.com/app/ticket/379479181</t>
    </r>
  </si>
  <si>
    <r>
      <rPr>
        <rFont val="Arial, sans-serif"/>
        <color rgb="FF1155CC"/>
        <u/>
      </rPr>
      <t>https://4ammedia.zendesk.com/agent/tickets/333254</t>
    </r>
  </si>
  <si>
    <r>
      <rPr>
        <rFont val="Arial, sans-serif"/>
        <color rgb="FF1155CC"/>
        <u/>
      </rPr>
      <t>https://4ammedia.zendesk.com/agent/tickets/333518</t>
    </r>
  </si>
  <si>
    <r>
      <rPr>
        <rFont val="Arial, sans-serif"/>
        <color rgb="FF1155CC"/>
        <u/>
      </rPr>
      <t>https://4ammedia.zendesk.com/agent/tickets/333631</t>
    </r>
  </si>
  <si>
    <t xml:space="preserve">Week (Feb 23 - March 1 ,2026) </t>
  </si>
  <si>
    <r>
      <rPr>
        <rFont val="Arial, sans-serif"/>
        <color rgb="FF1155CC"/>
        <u/>
      </rPr>
      <t>https://4ammedia.zendesk.com/agent/tickets/336698</t>
    </r>
  </si>
  <si>
    <r>
      <rPr>
        <rFont val="Arial, sans-serif"/>
        <color rgb="FF1155CC"/>
        <u/>
      </rPr>
      <t>https://horizondirect.gorgias.com/app/ticket/379681295</t>
    </r>
  </si>
  <si>
    <r>
      <rPr>
        <rFont val="Arial, sans-serif"/>
        <color rgb="FF1155CC"/>
        <u/>
      </rPr>
      <t>https://4ammedia.zendesk.com/agent/tickets/337103</t>
    </r>
  </si>
  <si>
    <r>
      <rPr>
        <rFont val="Arial, sans-serif"/>
        <color rgb="FF1155CC"/>
        <u/>
      </rPr>
      <t>https://4ammedia.zendesk.com/agent/tickets/337189</t>
    </r>
  </si>
  <si>
    <r>
      <rPr>
        <rFont val="Arial, sans-serif"/>
        <color rgb="FF1155CC"/>
        <u/>
      </rPr>
      <t>https://4ammedia.zendesk.com/agent/tickets/340391</t>
    </r>
  </si>
  <si>
    <r>
      <rPr>
        <rFont val="Arial, sans-serif"/>
        <color rgb="FF1155CC"/>
        <u/>
      </rPr>
      <t>https://horizondirect.gorgias.com/app/ticket/379687319</t>
    </r>
  </si>
  <si>
    <r>
      <rPr>
        <rFont val="Arial, sans-serif"/>
        <color rgb="FF1155CC"/>
        <u/>
      </rPr>
      <t>https://4ammedia.zendesk.com/agent/tickets/340998</t>
    </r>
  </si>
  <si>
    <t xml:space="preserve">Lacks of probing. CSR  Immediately resorted to Audiologist consultation and return. </t>
  </si>
  <si>
    <r>
      <rPr>
        <rFont val="Arial, sans-serif"/>
        <color rgb="FF1155CC"/>
        <u/>
      </rPr>
      <t>https://horizondirect.gorgias.com/app/ticket/379704478</t>
    </r>
  </si>
  <si>
    <r>
      <rPr>
        <rFont val="Arial, sans-serif"/>
        <color rgb="FF1155CC"/>
        <u/>
      </rPr>
      <t>https://4ammedia.zendesk.com/agent/tickets/341145</t>
    </r>
  </si>
  <si>
    <r>
      <rPr>
        <rFont val="Arial, sans-serif"/>
        <color rgb="FF1155CC"/>
        <u/>
      </rPr>
      <t>https://horizondirect.gorgias.com/app/ticket/379822783</t>
    </r>
  </si>
  <si>
    <r>
      <rPr>
        <rFont val="Arial, sans-serif"/>
        <color rgb="FF1155CC"/>
        <u/>
      </rPr>
      <t>https://4ammedia.zendesk.com/agent/tickets/343397</t>
    </r>
  </si>
  <si>
    <r>
      <rPr>
        <rFont val="Arial, sans-serif"/>
        <color rgb="FF1155CC"/>
        <u/>
      </rPr>
      <t>https://horizondirect.gorgias.com/app/ticket/379829980</t>
    </r>
  </si>
  <si>
    <r>
      <rPr>
        <rFont val="Arial, sans-serif"/>
        <color rgb="FF1155CC"/>
        <u/>
      </rPr>
      <t>https://4ammedia.zendesk.com/agent/tickets/343591</t>
    </r>
  </si>
  <si>
    <r>
      <rPr>
        <rFont val="Arial, sans-serif"/>
        <color rgb="FF1155CC"/>
        <u/>
      </rPr>
      <t>https://horizondirect.gorgias.com/app/ticket/379842607</t>
    </r>
  </si>
  <si>
    <r>
      <rPr>
        <rFont val="Arial, sans-serif"/>
        <color rgb="FF1155CC"/>
        <u/>
      </rPr>
      <t>https://4ammedia.zendesk.com/agent/tickets/344020</t>
    </r>
  </si>
  <si>
    <r>
      <rPr>
        <rFont val="Arial, sans-serif"/>
        <color rgb="FF1155CC"/>
        <u/>
      </rPr>
      <t>https://horizondirect.gorgias.com/app/ticket/380116275</t>
    </r>
  </si>
  <si>
    <r>
      <rPr>
        <rFont val="Arial, sans-serif"/>
        <color rgb="FF1155CC"/>
        <u/>
      </rPr>
      <t>https://horizondirect.gorgias.com/app/ticket/380141921</t>
    </r>
  </si>
  <si>
    <r>
      <rPr>
        <rFont val="Arial, sans-serif"/>
        <color rgb="FF1155CC"/>
        <u/>
      </rPr>
      <t>https://horizondirect.gorgias.com/app/ticket/380156559</t>
    </r>
  </si>
  <si>
    <r>
      <rPr>
        <rFont val="Arial, sans-serif"/>
        <color rgb="FF1155CC"/>
        <u/>
      </rPr>
      <t>https://4ammedia.zendesk.com/agent/tickets/349467</t>
    </r>
  </si>
  <si>
    <t xml:space="preserve">International order is not eligible for return - we only 50% refund. Since cx will ocver custome fees which i </t>
  </si>
  <si>
    <t>https://horizondirect.gorgias.com/app/ticket/380244984</t>
  </si>
  <si>
    <r>
      <rPr>
        <rFont val="Arial"/>
        <color rgb="FF1155CC"/>
        <u/>
      </rPr>
      <t>https://horizondirect.gorgias.com/app/ticket/380260616</t>
    </r>
  </si>
  <si>
    <r>
      <rPr>
        <rFont val="Arial, sans-serif"/>
        <color rgb="FF1155CC"/>
        <u/>
      </rPr>
      <t>https://4ammedia.zendesk.com/agent/tickets/349993</t>
    </r>
  </si>
  <si>
    <r>
      <rPr>
        <rFont val="Arial, sans-serif"/>
        <color rgb="FF1155CC"/>
        <u/>
      </rPr>
      <t>https://4ammedia.zendesk.com/agent/tickets/350176</t>
    </r>
  </si>
  <si>
    <r>
      <rPr>
        <rFont val="Arial"/>
        <color rgb="FF1155CC"/>
        <u/>
      </rPr>
      <t>https://horizondirect.gorgias.com/app/ticket/380275873</t>
    </r>
  </si>
  <si>
    <r>
      <rPr>
        <rFont val="Arial, sans-serif"/>
        <color rgb="FF1155CC"/>
        <u/>
      </rPr>
      <t>https://4ammedia.zendesk.com/agent/tickets/352582</t>
    </r>
  </si>
  <si>
    <r>
      <rPr>
        <rFont val="Arial, sans-serif"/>
        <color rgb="FF1155CC"/>
        <u/>
      </rPr>
      <t>https://4ammedia.zendesk.com/agent/tickets/352951</t>
    </r>
  </si>
  <si>
    <r>
      <rPr>
        <rFont val="Arial, sans-serif"/>
        <color rgb="FF1155CC"/>
        <u/>
      </rPr>
      <t>https://4ammedia.zendesk.com/agent/tickets/353171</t>
    </r>
  </si>
  <si>
    <r>
      <rPr>
        <rFont val="Arial"/>
        <color rgb="FF1155CC"/>
        <u/>
      </rPr>
      <t>https://horizondirect.gorgias.com/app/ticket/380350488</t>
    </r>
  </si>
  <si>
    <r>
      <rPr>
        <rFont val="Arial, sans-serif"/>
        <color rgb="FF1155CC"/>
        <u/>
      </rPr>
      <t>https://4ammedia.zendesk.com/agent/tickets/355005</t>
    </r>
  </si>
  <si>
    <r>
      <rPr>
        <rFont val="Arial, sans-serif"/>
        <color rgb="FF1155CC"/>
        <u/>
      </rPr>
      <t>https://4ammedia.zendesk.com/agent/tickets/355176</t>
    </r>
  </si>
  <si>
    <r>
      <rPr>
        <rFont val="Arial"/>
        <color rgb="FF1155CC"/>
        <u/>
      </rPr>
      <t>https://horizondirect.gorgias.com/app/ticket/380370488</t>
    </r>
  </si>
  <si>
    <r>
      <rPr>
        <rFont val="Arial, sans-serif"/>
        <color rgb="FF1155CC"/>
        <u/>
      </rPr>
      <t>https://4ammedia.zendesk.com/agent/tickets/355437</t>
    </r>
  </si>
  <si>
    <r>
      <rPr>
        <rFont val="Arial"/>
        <color rgb="FF1155CC"/>
        <u/>
      </rPr>
      <t>https://horizondirect.gorgias.com/app/ticket/380371686</t>
    </r>
  </si>
  <si>
    <r>
      <rPr>
        <rFont val="Arial, sans-serif"/>
        <color rgb="FF1155CC"/>
        <u/>
      </rPr>
      <t>https://4ammedia.zendesk.com/agent/tickets/357613</t>
    </r>
  </si>
  <si>
    <t>No detailed troubleshooting notes incldued</t>
  </si>
  <si>
    <t>WEEK: September 27,2026 - October 4,2026</t>
  </si>
  <si>
    <r>
      <rPr>
        <rFont val="Arial, sans-serif"/>
        <color rgb="FF1155CC"/>
        <u/>
      </rPr>
      <t>https://4ammedia.zendesk.com/agent/tickets/357978</t>
    </r>
  </si>
  <si>
    <t xml:space="preserve">Week (March 2-  March 8 ,2026) </t>
  </si>
  <si>
    <r>
      <rPr>
        <rFont val="Arial, sans-serif"/>
        <color rgb="FF1155CC"/>
        <u/>
      </rPr>
      <t>https://4ammedia.zendesk.com/agent/tickets/358275</t>
    </r>
  </si>
  <si>
    <r>
      <rPr>
        <rFont val="Arial"/>
        <color rgb="FF1155CC"/>
        <u/>
      </rPr>
      <t>https://horizondirect.gorgias.com/app/ticket/380571217</t>
    </r>
  </si>
  <si>
    <r>
      <rPr>
        <rFont val="Arial, sans-serif"/>
        <color rgb="FF1155CC"/>
        <u/>
      </rPr>
      <t>https://4ammedia.zendesk.com/agent/tickets/360822</t>
    </r>
  </si>
  <si>
    <r>
      <rPr>
        <rFont val="Arial, sans-serif"/>
        <color rgb="FF1155CC"/>
        <u/>
      </rPr>
      <t>https://4ammedia.zendesk.com/agent/tickets/361209</t>
    </r>
  </si>
  <si>
    <r>
      <rPr>
        <rFont val="Arial, sans-serif"/>
        <color rgb="FF1155CC"/>
        <u/>
      </rPr>
      <t>https://4ammedia.zendesk.com/agent/tickets/361628</t>
    </r>
  </si>
  <si>
    <r>
      <rPr>
        <rFont val="Arial"/>
        <color rgb="FF1155CC"/>
        <u/>
      </rPr>
      <t>https://horizondirect.gorgias.com/app/ticket/380582463</t>
    </r>
  </si>
  <si>
    <r>
      <rPr>
        <rFont val="Arial"/>
        <color rgb="FF1155CC"/>
        <u/>
      </rPr>
      <t>https://horizondirect.gorgias.com/app/ticket/380621799</t>
    </r>
  </si>
  <si>
    <r>
      <rPr>
        <rFont val="Arial, sans-serif"/>
        <color rgb="FF1155CC"/>
        <u/>
      </rPr>
      <t>https://4ammedia.zendesk.com/agent/tickets/368538</t>
    </r>
  </si>
  <si>
    <r>
      <rPr>
        <rFont val="Arial"/>
        <color rgb="FF1155CC"/>
        <u/>
      </rPr>
      <t>https://horizondirect.gorgias.com/app/ticket/380720922</t>
    </r>
  </si>
  <si>
    <t>https://horizondirect.gorgias.com/app/ticket/380732495</t>
  </si>
  <si>
    <r>
      <rPr>
        <rFont val="Arial, sans-serif"/>
        <color rgb="FF1155CC"/>
        <u/>
      </rPr>
      <t>https://4ammedia.zendesk.com/agent/tickets/368889</t>
    </r>
  </si>
  <si>
    <t xml:space="preserve">CSR was able to process the order upgrade for BTE however failed to include the email address on the order details </t>
  </si>
  <si>
    <t>https://horizondirect.gorgias.com/app/ticket/380733664</t>
  </si>
  <si>
    <r>
      <rPr>
        <rFont val="Arial, sans-serif"/>
        <color rgb="FF1155CC"/>
        <u/>
      </rPr>
      <t>https://4ammedia.zendesk.com/agent/tickets/369012</t>
    </r>
  </si>
  <si>
    <r>
      <rPr>
        <rFont val="Arial"/>
        <color rgb="FF1155CC"/>
        <u/>
      </rPr>
      <t>https://horizondirect.gorgias.com/app/ticket/380995720</t>
    </r>
  </si>
  <si>
    <r>
      <rPr>
        <rFont val="Arial, sans-serif"/>
        <color rgb="FF1155CC"/>
        <u/>
      </rPr>
      <t>https://4ammedia.zendesk.com/agent/tickets/372993</t>
    </r>
  </si>
  <si>
    <r>
      <rPr>
        <rFont val="Arial"/>
        <color rgb="FF1155CC"/>
        <u/>
      </rPr>
      <t>https://horizondirect.gorgias.com/app/ticket/381008676</t>
    </r>
  </si>
  <si>
    <r>
      <rPr>
        <rFont val="Arial, sans-serif"/>
        <color rgb="FF1155CC"/>
        <u/>
      </rPr>
      <t>https://4ammedia.zendesk.com/agent/tickets/373272</t>
    </r>
  </si>
  <si>
    <r>
      <rPr>
        <rFont val="Arial, sans-serif"/>
        <color rgb="FF1155CC"/>
        <u/>
      </rPr>
      <t>https://4ammedia.zendesk.com/agent/tickets/373646</t>
    </r>
  </si>
  <si>
    <t xml:space="preserve">CSR should've suggest to clean the charging ports as well </t>
  </si>
  <si>
    <r>
      <rPr>
        <rFont val="Arial"/>
        <color rgb="FF1155CC"/>
        <u/>
      </rPr>
      <t>https://horizondirect.gorgias.com/app/ticket/381034076</t>
    </r>
  </si>
  <si>
    <r>
      <rPr>
        <rFont val="Arial, sans-serif"/>
        <color rgb="FF1155CC"/>
        <u/>
      </rPr>
      <t>https://4ammedia.zendesk.com/agent/tickets/375545</t>
    </r>
  </si>
  <si>
    <r>
      <rPr>
        <rFont val="Arial, sans-serif"/>
        <color rgb="FF1155CC"/>
        <u/>
      </rPr>
      <t>https://horizondirect.gorgias.com/app/ticket/381126144</t>
    </r>
  </si>
  <si>
    <r>
      <rPr>
        <rFont val="Arial, sans-serif"/>
        <color rgb="FF1155CC"/>
        <u/>
      </rPr>
      <t>https://4ammedia.zendesk.com/agent/tickets/375745</t>
    </r>
  </si>
  <si>
    <t>CSR should've called back cx immediately</t>
  </si>
  <si>
    <r>
      <rPr>
        <rFont val="Arial, sans-serif"/>
        <color rgb="FF1155CC"/>
        <u/>
      </rPr>
      <t>https://horizondirect.gorgias.com/app/ticket/381143546</t>
    </r>
  </si>
  <si>
    <r>
      <rPr>
        <rFont val="Arial, sans-serif"/>
        <color rgb="FF1155CC"/>
        <u/>
      </rPr>
      <t>https://4ammedia.zendesk.com/agent/tickets/375916</t>
    </r>
  </si>
  <si>
    <r>
      <rPr>
        <rFont val="Arial, sans-serif"/>
        <color rgb="FF1155CC"/>
        <u/>
      </rPr>
      <t>https://4ammedia.zendesk.com/agent/tickets/378452</t>
    </r>
  </si>
  <si>
    <r>
      <rPr>
        <rFont val="Arial, sans-serif"/>
        <color rgb="FF1155CC"/>
        <u/>
      </rPr>
      <t>https://horizondirect.gorgias.com/app/ticket/381146065</t>
    </r>
  </si>
  <si>
    <r>
      <rPr>
        <rFont val="Arial, sans-serif"/>
        <color rgb="FF1155CC"/>
        <u/>
      </rPr>
      <t>https://4ammedia.zendesk.com/agent/tickets/378609</t>
    </r>
  </si>
  <si>
    <t>https://horizondirect.gorgias.com/app/ticket/381258162</t>
  </si>
  <si>
    <t>On leave for his wedding celebration</t>
  </si>
  <si>
    <t>WEEK: October 5,2026 - October 1,2026</t>
  </si>
  <si>
    <r>
      <rPr>
        <rFont val="Arial, sans-serif"/>
        <color rgb="FF1155CC"/>
        <u/>
      </rPr>
      <t>https://4ammedia.zendesk.com/agent/tickets/378685</t>
    </r>
  </si>
  <si>
    <t>http://horizondirect.gorgias.com/app/ticket/381253455</t>
  </si>
  <si>
    <r>
      <rPr>
        <rFont val="Arial, sans-serif"/>
        <color rgb="FF1155CC"/>
        <u/>
      </rPr>
      <t>https://4ammedia.zendesk.com/agent/tickets/381420</t>
    </r>
  </si>
  <si>
    <t xml:space="preserve">Great Call! </t>
  </si>
  <si>
    <t>https://horizondirect.gorgias.com/app/ticket/381260313</t>
  </si>
  <si>
    <r>
      <rPr>
        <rFont val="Arial, sans-serif"/>
        <color rgb="FF1155CC"/>
        <u/>
      </rPr>
      <t>https://4ammedia.zendesk.com/agent/tickets/381515</t>
    </r>
  </si>
  <si>
    <r>
      <rPr>
        <rFont val="Arial, sans-serif"/>
        <color rgb="FF1155CC"/>
        <u/>
      </rPr>
      <t>https://4ammedia.zendesk.com/agent/tickets/381544</t>
    </r>
  </si>
  <si>
    <t xml:space="preserve">Week (March 9-  March 15 ,2026) </t>
  </si>
  <si>
    <r>
      <rPr>
        <rFont val="Arial, sans-serif"/>
        <color rgb="FF1155CC"/>
        <u/>
      </rPr>
      <t>https://horizondirect.gorgias.com/app/ticket/381482770</t>
    </r>
  </si>
  <si>
    <r>
      <rPr>
        <rFont val="Arial, sans-serif"/>
        <color rgb="FF1155CC"/>
        <u/>
      </rPr>
      <t>https://horizondirect.gorgias.com/app/ticket/381495827</t>
    </r>
  </si>
  <si>
    <r>
      <rPr>
        <rFont val="Arial, sans-serif"/>
        <color rgb="FF1155CC"/>
        <u/>
      </rPr>
      <t>https://horizondirect.gorgias.com/app/ticket/381510489</t>
    </r>
  </si>
  <si>
    <t>https://horizondirect.gorgias.com/app/ticket/381523082</t>
  </si>
  <si>
    <t>https://horizondirect.gorgias.com/app/ticket/381646966</t>
  </si>
  <si>
    <t>https://horizondirect.gorgias.com/app/ticket/381670149</t>
  </si>
  <si>
    <r>
      <rPr>
        <rFont val="Arial, sans-serif"/>
        <color rgb="FF1155CC"/>
        <u/>
      </rPr>
      <t>https://4ammedia.zendesk.com/agent/tickets/388440</t>
    </r>
  </si>
  <si>
    <r>
      <rPr>
        <rFont val="Arial, sans-serif"/>
        <color rgb="FF1155CC"/>
        <u/>
      </rPr>
      <t>https://horizondirect.gorgias.com/app/ticket/381900757</t>
    </r>
  </si>
  <si>
    <r>
      <rPr>
        <rFont val="Arial, sans-serif"/>
        <color rgb="FF1155CC"/>
        <u/>
      </rPr>
      <t>https://horizondirect.gorgias.com/app/ticket/381902905</t>
    </r>
  </si>
  <si>
    <r>
      <rPr>
        <rFont val="Arial, sans-serif"/>
        <color rgb="FF1155CC"/>
        <u/>
      </rPr>
      <t>https://4ammedia.zendesk.com/agent/tickets/388739</t>
    </r>
  </si>
  <si>
    <r>
      <rPr>
        <rFont val="Arial, sans-serif"/>
        <color rgb="FF1155CC"/>
        <u/>
      </rPr>
      <t>https://horizondirect.gorgias.com/app/ticket/381944327</t>
    </r>
  </si>
  <si>
    <r>
      <rPr>
        <rFont val="Arial, sans-serif"/>
        <color rgb="FF1155CC"/>
        <u/>
      </rPr>
      <t>https://4ammedia.zendesk.com/agent/tickets/388835</t>
    </r>
  </si>
  <si>
    <t>https://horizondirect.gorgias.com/app/ticket/382200768</t>
  </si>
  <si>
    <r>
      <rPr>
        <rFont val="Arial, sans-serif"/>
        <color rgb="FF1155CC"/>
        <u/>
      </rPr>
      <t>https://4ammedia.zendesk.com/agent/tickets/392161</t>
    </r>
  </si>
  <si>
    <r>
      <rPr>
        <rFont val="Arial, sans-serif"/>
        <color rgb="FF1155CC"/>
        <u/>
      </rPr>
      <t>https://4ammedia.zendesk.com/agent/tickets/392417</t>
    </r>
  </si>
  <si>
    <r>
      <rPr>
        <rFont val="Arial, sans-serif"/>
        <color rgb="FF1155CC"/>
        <u/>
      </rPr>
      <t>https://4ammedia.zendesk.com/agent/tickets/392531</t>
    </r>
  </si>
  <si>
    <t>https://horizondirect.gorgias.com/app/ticket/382204671</t>
  </si>
  <si>
    <r>
      <rPr>
        <rFont val="Arial, sans-serif"/>
        <color rgb="FF1155CC"/>
        <u/>
      </rPr>
      <t>https://4ammedia.zendesk.com/agent/tickets/395555</t>
    </r>
  </si>
  <si>
    <t>https://horizondirect.gorgias.com/app/ticket/382213187</t>
  </si>
  <si>
    <r>
      <rPr>
        <rFont val="Arial, sans-serif"/>
        <color rgb="FF1155CC"/>
        <u/>
      </rPr>
      <t>https://4ammedia.zendesk.com/agent/tickets/395948</t>
    </r>
  </si>
  <si>
    <r>
      <rPr>
        <rFont val="Arial"/>
        <color rgb="FF1155CC"/>
        <u/>
      </rPr>
      <t>https://horizondirect.gorgias.com/app/ticket/382217432</t>
    </r>
  </si>
  <si>
    <r>
      <rPr>
        <rFont val="Arial, sans-serif"/>
        <color rgb="FF1155CC"/>
        <u/>
      </rPr>
      <t>https://4ammedia.zendesk.com/agent/tickets/396229</t>
    </r>
  </si>
  <si>
    <r>
      <rPr>
        <rFont val="Arial, sans-serif"/>
        <color rgb="FF1155CC"/>
        <u/>
      </rPr>
      <t>https://4ammedia.zendesk.com/agent/tickets/398382</t>
    </r>
  </si>
  <si>
    <r>
      <rPr>
        <rFont val="Arial"/>
        <color rgb="FF1155CC"/>
        <u/>
      </rPr>
      <t>https://horizondirect.gorgias.com/app/ticket/382317236</t>
    </r>
  </si>
  <si>
    <r>
      <rPr>
        <rFont val="Arial, sans-serif"/>
        <color rgb="FF1155CC"/>
        <u/>
      </rPr>
      <t>https://4ammedia.zendesk.com/agent/tickets/398634</t>
    </r>
  </si>
  <si>
    <r>
      <rPr>
        <rFont val="Arial"/>
        <color rgb="FF1155CC"/>
        <u/>
      </rPr>
      <t>https://horizondirect.gorgias.com/app/ticket/382327731</t>
    </r>
  </si>
  <si>
    <r>
      <rPr>
        <rFont val="Arial, sans-serif"/>
        <color rgb="FF1155CC"/>
        <u/>
      </rPr>
      <t>https://4ammedia.zendesk.com/agent/tickets/398693</t>
    </r>
  </si>
  <si>
    <r>
      <rPr>
        <rFont val="Arial, sans-serif"/>
        <color rgb="FF1155CC"/>
        <u/>
      </rPr>
      <t>https://4ammedia.zendesk.com/agent/tickets/402375</t>
    </r>
  </si>
  <si>
    <t xml:space="preserve">Week (March 16-  March 22 ,2026) </t>
  </si>
  <si>
    <r>
      <rPr>
        <rFont val="Arial, sans-serif"/>
        <color rgb="FF1155CC"/>
        <u/>
      </rPr>
      <t>https://4ammedia.zendesk.com/agent/tickets/402814</t>
    </r>
  </si>
  <si>
    <t>https://horizondirect.gorgias.com/app/ticket/382546928</t>
  </si>
  <si>
    <r>
      <rPr>
        <rFont val="Arial, sans-serif"/>
        <color rgb="FF1155CC"/>
        <u/>
      </rPr>
      <t>https://4ammedia.zendesk.com/agent/tickets/403151</t>
    </r>
  </si>
  <si>
    <t>https://horizondirect.gorgias.com/app/ticket/382552088</t>
  </si>
  <si>
    <r>
      <rPr>
        <rFont val="Arial, sans-serif"/>
        <color rgb="FF1155CC"/>
        <u/>
      </rPr>
      <t>https://4ammedia.zendesk.com/agent/tickets/410609</t>
    </r>
  </si>
  <si>
    <t>https://horizondirect.gorgias.com/app/ticket/382567700</t>
  </si>
  <si>
    <t>https://horizondirect.gorgias.com/app/ticket/382309115</t>
  </si>
  <si>
    <r>
      <rPr>
        <rFont val="Arial, sans-serif"/>
        <color rgb="FF1155CC"/>
        <u/>
      </rPr>
      <t>https://4ammedia.zendesk.com/agent/tickets/410732</t>
    </r>
  </si>
  <si>
    <t>https://horizondirect.gorgias.com/app/ticket/382310728</t>
  </si>
  <si>
    <r>
      <rPr>
        <rFont val="Arial, sans-serif"/>
        <color rgb="FF1155CC"/>
        <u/>
      </rPr>
      <t>https://4ammedia.zendesk.com/agent/tickets/413055</t>
    </r>
  </si>
  <si>
    <t>https://horizondirect.gorgias.com/app/ticket/382415078</t>
  </si>
  <si>
    <r>
      <rPr>
        <rFont val="Arial, sans-serif"/>
        <color rgb="FF1155CC"/>
        <u/>
      </rPr>
      <t>https://4ammedia.zendesk.com/agent/tickets/414937</t>
    </r>
  </si>
  <si>
    <r>
      <rPr>
        <rFont val="Arial, sans-serif"/>
        <color rgb="FF1155CC"/>
        <u/>
      </rPr>
      <t>https://4ammedia.zendesk.com/agent/tickets/415155</t>
    </r>
  </si>
  <si>
    <t>https://horizondirect.gorgias.com/app/ticket/383007309</t>
  </si>
  <si>
    <r>
      <rPr>
        <rFont val="Arial, sans-serif"/>
        <color rgb="FF1155CC"/>
        <u/>
      </rPr>
      <t>https://4ammedia.zendesk.com/agent/tickets/415364</t>
    </r>
  </si>
  <si>
    <t>https://horizondirect.gorgias.com/app/ticket/383026331</t>
  </si>
  <si>
    <r>
      <rPr>
        <rFont val="Arial, sans-serif"/>
        <color rgb="FF1155CC"/>
        <u/>
      </rPr>
      <t>https://4ammedia.zendesk.com/agent/tickets/418525</t>
    </r>
  </si>
  <si>
    <r>
      <rPr>
        <rFont val="Arial, sans-serif"/>
        <color rgb="FF1155CC"/>
        <u/>
      </rPr>
      <t>https://4ammedia.zendesk.com/agent/tickets/418993</t>
    </r>
  </si>
  <si>
    <r>
      <rPr>
        <rFont val="Arial, sans-serif"/>
        <color rgb="FF1155CC"/>
        <u/>
      </rPr>
      <t>https://4ammedia.zendesk.com/agent/tickets/419258</t>
    </r>
  </si>
  <si>
    <t>https://horizondirect.gorgias.com/app/ticket/383028264</t>
  </si>
  <si>
    <r>
      <rPr>
        <rFont val="Arial, sans-serif"/>
        <color rgb="FF1155CC"/>
        <u/>
      </rPr>
      <t>https://4ammedia.zendesk.com/agent/tickets/422067</t>
    </r>
  </si>
  <si>
    <r>
      <rPr>
        <rFont val="Arial, sans-serif"/>
        <color rgb="FF1155CC"/>
        <u/>
      </rPr>
      <t>https://4ammedia.zendesk.com/agent/tickets/422532</t>
    </r>
  </si>
  <si>
    <t>https://horizondirect.gorgias.com/app/ticket/383131731</t>
  </si>
  <si>
    <r>
      <rPr>
        <rFont val="Arial, sans-serif"/>
        <color rgb="FF1155CC"/>
        <u/>
      </rPr>
      <t>https://4ammedia.zendesk.com/agent/tickets/422782</t>
    </r>
  </si>
  <si>
    <t>https://horizondirect.gorgias.com/app/ticket/383135880</t>
  </si>
  <si>
    <r>
      <rPr>
        <rFont val="Arial, sans-serif"/>
        <color rgb="FF1155CC"/>
        <u/>
      </rPr>
      <t>https://4ammedia.zendesk.com/agent/tickets/425960</t>
    </r>
  </si>
  <si>
    <t>https://horizondirect.gorgias.com/app/ticket/383144111</t>
  </si>
  <si>
    <r>
      <rPr>
        <rFont val="Arial, sans-serif"/>
        <color rgb="FF1155CC"/>
        <u/>
      </rPr>
      <t>https://4ammedia.zendesk.com/agent/tickets/426603</t>
    </r>
  </si>
  <si>
    <r>
      <rPr>
        <rFont val="Arial, sans-serif"/>
        <color rgb="FF1155CC"/>
        <u/>
      </rPr>
      <t>https://4ammedia.zendesk.com/agent/tickets/426952</t>
    </r>
  </si>
  <si>
    <t>https://horizondirect.gorgias.com/app/ticket/383222107</t>
  </si>
  <si>
    <t>https://horizondirect.gorgias.com/app/ticket/383228629</t>
  </si>
  <si>
    <t>https://horizondirect.gorgias.com/app/ticket/383231513</t>
  </si>
  <si>
    <t xml:space="preserve">Week (March 23-  March 29 ,2026) </t>
  </si>
  <si>
    <t>https://horizondirect.gorgias.com/app/ticket/383432472</t>
  </si>
  <si>
    <t>https://horizondirect.gorgias.com/app/ticket/383440265</t>
  </si>
  <si>
    <t>https://horizondirect.gorgias.com/app/ticket/383460072</t>
  </si>
  <si>
    <t>https://horizondirect.gorgias.com/app/ticket/383597788</t>
  </si>
  <si>
    <t>https://horizondirect.gorgias.com/app/ticket/383582160</t>
  </si>
  <si>
    <t>https://horizondirect.gorgias.com/app/ticket/383570385</t>
  </si>
  <si>
    <t>https://horizondirect.gorgias.com/app/ticket/383847292</t>
  </si>
  <si>
    <t>https://horizondirect.gorgias.com/app/ticket/383852909</t>
  </si>
  <si>
    <t>https://horizondirect.gorgias.com/app/ticket/383853668</t>
  </si>
  <si>
    <t>https://horizondirect.gorgias.com/app/ticket/384164234</t>
  </si>
  <si>
    <t>https://horizondirect.gorgias.com/app/ticket/384181193</t>
  </si>
  <si>
    <t>https://horizondirect.gorgias.com/app/ticket/384186081</t>
  </si>
  <si>
    <t xml:space="preserve">Week (March 30-  April 5 ,2026) </t>
  </si>
  <si>
    <r>
      <rPr>
        <rFont val="Arial, sans-serif"/>
        <color rgb="FF1155CC"/>
        <u/>
      </rPr>
      <t>https://horizondirect.gorgias.com/app/ticket/376298025</t>
    </r>
  </si>
  <si>
    <t>https://horizondirect.gorgias.com/app/ticket/384302466</t>
  </si>
  <si>
    <t>https://horizondirect.gorgias.com/app/ticket/384312945</t>
  </si>
  <si>
    <t>https://horizondirect.gorgias.com/app/ticket/384327072</t>
  </si>
  <si>
    <t>https://horizondirect.gorgias.com/app/ticket/384437722</t>
  </si>
  <si>
    <t>https://horizondirect.gorgias.com/app/ticket/384449534</t>
  </si>
  <si>
    <t>https://horizondirect.gorgias.com/app/ticket/384458685</t>
  </si>
  <si>
    <r>
      <rPr>
        <rFont val="Arial"/>
        <color rgb="FF1155CC"/>
        <u/>
      </rPr>
      <t>https://horizondirect.gorgias.com/app/ticket/384844382</t>
    </r>
  </si>
  <si>
    <r>
      <rPr>
        <rFont val="Arial"/>
        <color rgb="FF1155CC"/>
        <u/>
      </rPr>
      <t>https://horizondirect.gorgias.com/app/ticket/384849566</t>
    </r>
  </si>
  <si>
    <r>
      <rPr>
        <rFont val="Arial"/>
        <color rgb="FF1155CC"/>
        <u/>
      </rPr>
      <t>https://horizondirect.gorgias.com/app/ticket/384862926</t>
    </r>
  </si>
  <si>
    <t>https://horizondirect.gorgias.com/app/ticket/384945697</t>
  </si>
  <si>
    <r>
      <rPr>
        <rFont val="Arial, sans-serif"/>
        <color rgb="FF1155CC"/>
        <u/>
      </rPr>
      <t>https://horizondirect.gorgias.com/app/ticket/379681295</t>
    </r>
  </si>
  <si>
    <t>https://horizondirect.gorgias.com/app/ticket/384953269</t>
  </si>
  <si>
    <r>
      <rPr>
        <rFont val="Arial, sans-serif"/>
        <color rgb="FF1155CC"/>
        <u/>
      </rPr>
      <t>https://horizondirect.gorgias.com/app/ticket/379687319</t>
    </r>
  </si>
  <si>
    <t>https://horizondirect.gorgias.com/app/ticket/384963151</t>
  </si>
  <si>
    <r>
      <rPr>
        <rFont val="Arial, sans-serif"/>
        <color rgb="FF1155CC"/>
        <u/>
      </rPr>
      <t>https://horizondirect.gorgias.com/app/ticket/379704478</t>
    </r>
  </si>
  <si>
    <t>https://horizondirect.gorgias.com/app/ticket/385062789</t>
  </si>
  <si>
    <r>
      <rPr>
        <rFont val="Arial, sans-serif"/>
        <color rgb="FF1155CC"/>
        <u/>
      </rPr>
      <t>https://horizondirect.gorgias.com/app/ticket/379822783</t>
    </r>
  </si>
  <si>
    <t>https://horizondirect.gorgias.com/app/ticket/385065938</t>
  </si>
  <si>
    <t>https://horizondirect.gorgias.com/app/ticket/385074013</t>
  </si>
  <si>
    <t xml:space="preserve">Week (April 5-  April 12 ,2026) </t>
  </si>
  <si>
    <t>https://horizondirect.gorgias.com/app/ticket/385167294</t>
  </si>
  <si>
    <r>
      <rPr>
        <rFont val="Arial, sans-serif"/>
        <color rgb="FF1155CC"/>
        <u/>
      </rPr>
      <t>https://horizondirect.gorgias.com/app/ticket/379829980</t>
    </r>
  </si>
  <si>
    <r>
      <rPr>
        <rFont val="Arial, sans-serif"/>
        <color rgb="FF1155CC"/>
        <u/>
      </rPr>
      <t>https://horizondirect.gorgias.com/app/ticket/379842607</t>
    </r>
  </si>
  <si>
    <r>
      <rPr>
        <rFont val="Arial, sans-serif"/>
        <color rgb="FF1155CC"/>
        <u/>
      </rPr>
      <t>https://horizondirect.gorgias.com/app/ticket/380116275</t>
    </r>
  </si>
  <si>
    <t>https://horizondirect.gorgias.com/app/ticket/385182098</t>
  </si>
  <si>
    <r>
      <rPr>
        <rFont val="Arial, sans-serif"/>
        <color rgb="FF1155CC"/>
        <u/>
      </rPr>
      <t>https://horizondirect.gorgias.com/app/ticket/380141921</t>
    </r>
  </si>
  <si>
    <t xml:space="preserve"> </t>
  </si>
  <si>
    <t xml:space="preserve">Week:
January 5- January 11 
</t>
  </si>
  <si>
    <t xml:space="preserve">Week:
January 12- January 18
</t>
  </si>
  <si>
    <r>
      <rPr>
        <rFont val="Arial, sans-serif"/>
        <color rgb="FF1155CC"/>
        <u/>
      </rPr>
      <t>https://horizondirect.gorgias.com/app/ticket/380156559</t>
    </r>
  </si>
  <si>
    <t xml:space="preserve">Week:
January 19- January 25
</t>
  </si>
  <si>
    <t xml:space="preserve">Week:
January 26- February 1
</t>
  </si>
  <si>
    <t>January 2026
Overall Score</t>
  </si>
  <si>
    <t xml:space="preserve">Week:
Feb 2 - Feb 8
</t>
  </si>
  <si>
    <t xml:space="preserve">Week:
Feb 9 - Feb 15
</t>
  </si>
  <si>
    <t xml:space="preserve">Week:
Feb 16 - Feb 22
</t>
  </si>
  <si>
    <t xml:space="preserve">Week:
Feb 23 - Mar 1
</t>
  </si>
  <si>
    <t>February 2026
Overall Score</t>
  </si>
  <si>
    <t xml:space="preserve">Week:
Mar 2 - Mar 8
</t>
  </si>
  <si>
    <t xml:space="preserve">Week:
Mar 9 - Mar 15
</t>
  </si>
  <si>
    <t xml:space="preserve">Week:
Mar 16 - Mar 22
</t>
  </si>
  <si>
    <t>https://horizondirect.gorgias.com/app/ticket/385189424</t>
  </si>
  <si>
    <t xml:space="preserve">Week:
Mar 23 - Mar 29
</t>
  </si>
  <si>
    <t>March  2026
Overall Score</t>
  </si>
  <si>
    <t xml:space="preserve">Week:
Mar 30 - April 5
</t>
  </si>
  <si>
    <t xml:space="preserve">Week:
April 6 - April 12
</t>
  </si>
  <si>
    <t xml:space="preserve">Week:
April 13 - April 19
</t>
  </si>
  <si>
    <t xml:space="preserve">Week:
April 20 - April 26
</t>
  </si>
  <si>
    <t xml:space="preserve">Week:
April 27 - May 3
</t>
  </si>
  <si>
    <t>April  2026
Overall Score</t>
  </si>
  <si>
    <t xml:space="preserve">Week:
May 4 - May 10
</t>
  </si>
  <si>
    <t xml:space="preserve">Week:
May 11 - May 17
</t>
  </si>
  <si>
    <t xml:space="preserve">Week:
May 18 - May 24
</t>
  </si>
  <si>
    <t xml:space="preserve">Week:
May 25 - May 31
</t>
  </si>
  <si>
    <t>May 2026
Overall Score</t>
  </si>
  <si>
    <t>Week:
June 1 - June 7</t>
  </si>
  <si>
    <t xml:space="preserve">
Week:
June 8 - June 14
</t>
  </si>
  <si>
    <t xml:space="preserve">
Week:
June 15 - June 21
</t>
  </si>
  <si>
    <t xml:space="preserve">
Week:
June 22 - June 28
</t>
  </si>
  <si>
    <t>June 2026
Overall Score</t>
  </si>
  <si>
    <t>Week:
June 29 - July 5</t>
  </si>
  <si>
    <t xml:space="preserve">
Week:
July 6 - July 12
</t>
  </si>
  <si>
    <t xml:space="preserve">
Week:
July 13 - July 19
</t>
  </si>
  <si>
    <t xml:space="preserve">
Week:
July 20 - July 26
</t>
  </si>
  <si>
    <t xml:space="preserve">
Week:
July 27 - Aug 2
</t>
  </si>
  <si>
    <t>July 2026
Overall Score</t>
  </si>
  <si>
    <t>Week:
August 3,2026 - 
August 9,2026</t>
  </si>
  <si>
    <t xml:space="preserve">
Week:
August 10,2026 - 
August 16,2026
</t>
  </si>
  <si>
    <t xml:space="preserve">
Week:
August 17,2026 - 
August 23,2026
</t>
  </si>
  <si>
    <t>August 2026
Overall Score</t>
  </si>
  <si>
    <t>https://horizondirect.gorgias.com/app/ticket/385610600</t>
  </si>
  <si>
    <r>
      <rPr>
        <rFont val="Arial"/>
        <color rgb="FF1155CC"/>
        <u/>
      </rPr>
      <t>https://horizondirect.gorgias.com/app/ticket/380260616</t>
    </r>
  </si>
  <si>
    <t>https://horizondirect.gorgias.com/app/ticket/385621649</t>
  </si>
  <si>
    <r>
      <rPr>
        <rFont val="Arial"/>
        <color rgb="FF1155CC"/>
        <u/>
      </rPr>
      <t>https://horizondirect.gorgias.com/app/ticket/380275873</t>
    </r>
  </si>
  <si>
    <t>https://horizondirect.gorgias.com/app/ticket/385626620</t>
  </si>
  <si>
    <r>
      <rPr>
        <rFont val="Arial"/>
        <color rgb="FF1155CC"/>
        <u/>
      </rPr>
      <t>https://horizondirect.gorgias.com/app/ticket/380350488</t>
    </r>
  </si>
  <si>
    <r>
      <rPr>
        <rFont val="Arial"/>
        <color rgb="FF1155CC"/>
        <u/>
      </rPr>
      <t>https://horizondirect.gorgias.com/app/ticket/380370488</t>
    </r>
  </si>
  <si>
    <t>https://horizondirect.gorgias.com/app/ticket/385747442</t>
  </si>
  <si>
    <r>
      <rPr>
        <rFont val="Arial"/>
        <color rgb="FF1155CC"/>
        <u/>
      </rPr>
      <t>https://horizondirect.gorgias.com/app/ticket/380371686</t>
    </r>
  </si>
  <si>
    <t>https://horizondirect.gorgias.com/app/ticket/385757767</t>
  </si>
  <si>
    <t>https://horizondirect.gorgias.com/app/ticket/385759794</t>
  </si>
  <si>
    <t>https://horizondirect.gorgias.com/app/ticket/380324822</t>
  </si>
  <si>
    <t>N/A</t>
  </si>
  <si>
    <t>https://horizondirect.gorgias.com/app/ticket/380716614</t>
  </si>
  <si>
    <t>https://horizondirect.gorgias.com/app/ticket/379574136</t>
  </si>
  <si>
    <r>
      <rPr>
        <rFont val="Arial, sans-serif"/>
        <color rgb="FF1155CC"/>
        <u/>
      </rPr>
      <t>https://horizondirect.gorgias.com/app/ticket/380726963</t>
    </r>
  </si>
  <si>
    <r>
      <rPr>
        <rFont val="Arial, sans-serif"/>
        <color rgb="FF1155CC"/>
        <u/>
      </rPr>
      <t>https://horizondirect.gorgias.com/app/ticket/379436702</t>
    </r>
  </si>
  <si>
    <r>
      <rPr>
        <rFont val="Arial, sans-serif"/>
        <color rgb="FF1155CC"/>
        <u/>
      </rPr>
      <t>https://horizondirect.gorgias.com/app/ticket/380714408</t>
    </r>
  </si>
  <si>
    <t>https://horizondirect.gorgias.com/app/ticket/381251575</t>
  </si>
  <si>
    <t>https://horizondirect.gorgias.com/app/ticket/381254037</t>
  </si>
  <si>
    <t>Joemica Carnio</t>
  </si>
  <si>
    <r>
      <rPr>
        <rFont val="Arial, sans-serif"/>
        <color rgb="FF1155CC"/>
        <u/>
      </rPr>
      <t>https://horizondirect.gorgias.com/app/ticket/381255027</t>
    </r>
  </si>
  <si>
    <t>https://horizondirect.gorgias.com/app/ticket/385866238</t>
  </si>
  <si>
    <r>
      <rPr>
        <rFont val="Arial, sans-serif"/>
        <color rgb="FF1155CC"/>
        <u/>
      </rPr>
      <t>https://horizondirect.gorgias.com/app/ticket/381376489</t>
    </r>
  </si>
  <si>
    <r>
      <rPr>
        <rFont val="Arial"/>
        <color theme="1"/>
      </rPr>
      <t xml:space="preserve">Tagging should be </t>
    </r>
    <r>
      <rPr>
        <rFont val="Arial"/>
        <b/>
        <i/>
        <color rgb="FF990000"/>
      </rPr>
      <t>Complaint        &gt; Order_Creation        &gt; Order Status - Order not found        Resolved - With Reply</t>
    </r>
  </si>
  <si>
    <r>
      <rPr>
        <rFont val="Arial, sans-serif"/>
        <color rgb="FF1155CC"/>
        <u/>
      </rPr>
      <t>https://horizondirect.gorgias.com/app/ticket/381349939</t>
    </r>
  </si>
  <si>
    <r>
      <rPr>
        <rFont val="Arial"/>
        <color rgb="FF1155CC"/>
        <u/>
      </rPr>
      <t>https://horizondirect.gorgias.com/app/ticket/385844182</t>
    </r>
  </si>
  <si>
    <t xml:space="preserve">BTE should be manually turned on and CX should hear beeping prompt tone to verify that the deivce is turned on </t>
  </si>
  <si>
    <r>
      <rPr>
        <rFont val="Arial, sans-serif"/>
        <color rgb="FF1155CC"/>
        <u/>
      </rPr>
      <t>https://horizondirect.gorgias.com/app/ticket/381370391</t>
    </r>
  </si>
  <si>
    <t>https://horizondirect.gorgias.com/app/ticket/385850250</t>
  </si>
  <si>
    <t>CSR should've suggested cleaning the charging ports or the hearing aid. Also try using a differnent charging cord. Lacks of probing and TS</t>
  </si>
  <si>
    <r>
      <rPr>
        <rFont val="Arial, sans-serif"/>
        <color rgb="FF1155CC"/>
        <u/>
      </rPr>
      <t>https://horizondirect.gorgias.com/app/ticket/381365022</t>
    </r>
  </si>
  <si>
    <r>
      <rPr>
        <rFont val="Arial"/>
        <color rgb="FF1155CC"/>
        <u/>
      </rPr>
      <t>https://horizondirect.gorgias.com/app/ticket/385954276</t>
    </r>
  </si>
  <si>
    <r>
      <rPr>
        <rFont val="Arial, sans-serif"/>
        <color rgb="FF1155CC"/>
        <u/>
      </rPr>
      <t>https://horizondirect.gorgias.com/app/ticket/381367783</t>
    </r>
  </si>
  <si>
    <r>
      <rPr>
        <rFont val="Arial"/>
        <color rgb="FF1155CC"/>
        <u/>
      </rPr>
      <t>https://horizondirect.gorgias.com/app/ticket/385957319</t>
    </r>
  </si>
  <si>
    <r>
      <rPr>
        <rFont val="Arial, sans-serif"/>
        <color rgb="FF1155CC"/>
        <u/>
      </rPr>
      <t>https://horizondirect.gorgias.com/app/ticket/381381449</t>
    </r>
  </si>
  <si>
    <r>
      <rPr>
        <rFont val="Arial"/>
        <color rgb="FF1155CC"/>
        <u/>
      </rPr>
      <t>https://horizondirect.gorgias.com/app/ticket/385959345</t>
    </r>
  </si>
  <si>
    <t xml:space="preserve">Week (April 13-  April 19 ,2026) </t>
  </si>
  <si>
    <r>
      <rPr>
        <rFont val="Arial, sans-serif"/>
        <color rgb="FF1155CC"/>
        <u/>
      </rPr>
      <t>https://horizondirect.gorgias.com/app/ticket/381481478</t>
    </r>
  </si>
  <si>
    <t>https://horizondirect.gorgias.com/app/ticket/386073837</t>
  </si>
  <si>
    <r>
      <rPr>
        <rFont val="Arial, sans-serif"/>
        <color rgb="FF1155CC"/>
        <u/>
      </rPr>
      <t>https://horizondirect.gorgias.com/app/ticket/381484631</t>
    </r>
  </si>
  <si>
    <r>
      <rPr>
        <rFont val="Arial, sans-serif"/>
        <color rgb="FF1155CC"/>
        <u/>
      </rPr>
      <t>https://horizondirect.gorgias.com/app/ticket/381488126</t>
    </r>
  </si>
  <si>
    <t>https://horizondirect.gorgias.com/app/ticket/381646153</t>
  </si>
  <si>
    <t>https://horizondirect.gorgias.com/app/ticket/386091351</t>
  </si>
  <si>
    <t>CSR should've tried to offer guidance on proper insertion of the hearing aid</t>
  </si>
  <si>
    <t>https://horizondirect.gorgias.com/app/ticket/381626764</t>
  </si>
  <si>
    <t>https://horizondirect.gorgias.com/app/ticket/386100966</t>
  </si>
  <si>
    <t>https://horizondirect.gorgias.com/app/ticket/381638990</t>
  </si>
  <si>
    <r>
      <rPr>
        <rFont val="Arial, sans-serif"/>
        <color rgb="FF1155CC"/>
        <u/>
      </rPr>
      <t>https://horizondirect.gorgias.com/app/ticket/381773285</t>
    </r>
  </si>
  <si>
    <t>https://horizondirect.gorgias.com/app/ticket/386506578</t>
  </si>
  <si>
    <t>https://horizondirect.gorgias.com/app/ticket/386511915</t>
  </si>
  <si>
    <r>
      <rPr>
        <rFont val="Arial, sans-serif"/>
        <color rgb="FF1155CC"/>
        <u/>
      </rPr>
      <t>https://horizondirect.gorgias.com/app/ticket/381782889</t>
    </r>
  </si>
  <si>
    <t>https://horizondirect.gorgias.com/app/ticket/386516890</t>
  </si>
  <si>
    <r>
      <rPr>
        <rFont val="Arial, sans-serif"/>
        <color rgb="FF1155CC"/>
        <u/>
      </rPr>
      <t>https://horizondirect.gorgias.com/app/ticket/381800966</t>
    </r>
  </si>
  <si>
    <t>https://horizondirect.gorgias.com/app/ticket/386642822</t>
  </si>
  <si>
    <t>https://horizondirect.gorgias.com/app/ticket/382226917</t>
  </si>
  <si>
    <t>https://horizondirect.gorgias.com/app/ticket/382193814</t>
  </si>
  <si>
    <t>https://horizondirect.gorgias.com/app/ticket/382213811</t>
  </si>
  <si>
    <t>https://horizondirect.gorgias.com/app/ticket/386652755</t>
  </si>
  <si>
    <r>
      <rPr>
        <rFont val="Arial, sans-serif"/>
        <color rgb="FF1155CC"/>
        <u/>
      </rPr>
      <t>https://horizondirect.gorgias.com/app/ticket/382298673</t>
    </r>
  </si>
  <si>
    <t>https://horizondirect.gorgias.com/app/ticket/386659486</t>
  </si>
  <si>
    <r>
      <rPr>
        <rFont val="Arial, sans-serif"/>
        <color rgb="FF1155CC"/>
        <u/>
      </rPr>
      <t>https://horizondirect.gorgias.com/app/ticket/382311350</t>
    </r>
  </si>
  <si>
    <t>https://horizondirect.gorgias.com/app/ticket/386740427</t>
  </si>
  <si>
    <r>
      <rPr>
        <rFont val="Arial, sans-serif"/>
        <color rgb="FF1155CC"/>
        <u/>
      </rPr>
      <t>https://horizondirect.gorgias.com/app/ticket/382321079</t>
    </r>
  </si>
  <si>
    <t>https://horizondirect.gorgias.com/app/ticket/386758117</t>
  </si>
  <si>
    <t>CSR should've asked cx what was the issue they encoutered on our device and provide TS</t>
  </si>
  <si>
    <t>https://horizondirect.gorgias.com/app/ticket/386760671</t>
  </si>
  <si>
    <t>https://horizondirect.gorgias.com/app/ticket/386847225</t>
  </si>
  <si>
    <r>
      <rPr>
        <rFont val="Arial, sans-serif"/>
        <color rgb="FF1155CC"/>
        <u/>
      </rPr>
      <t>https://horizondirect.gorgias.com/app/ticket/382545099</t>
    </r>
  </si>
  <si>
    <t>https://horizondirect.gorgias.com/app/ticket/386863135</t>
  </si>
  <si>
    <t>https://horizondirect.gorgias.com/app/ticket/386870220</t>
  </si>
  <si>
    <r>
      <rPr>
        <rFont val="Arial, sans-serif"/>
        <color rgb="FF1155CC"/>
        <u/>
      </rPr>
      <t>https://horizondirect.gorgias.com/app/ticket/382572679</t>
    </r>
  </si>
  <si>
    <t xml:space="preserve">Reminder, all self returned items are not eligible for refund, always disclose this to customer </t>
  </si>
  <si>
    <r>
      <rPr>
        <rFont val="Arial, sans-serif"/>
        <color rgb="FF1155CC"/>
        <u/>
      </rPr>
      <t>https://horizondirect.gorgias.com/app/ticket/382591627</t>
    </r>
  </si>
  <si>
    <t xml:space="preserve">Week (April 20-  April 26 ,2026) </t>
  </si>
  <si>
    <t>https://horizondirect.gorgias.com/app/ticket/382719493</t>
  </si>
  <si>
    <t>CA3364d9eb07ef707006932808cb29b042</t>
  </si>
  <si>
    <t>https://horizondirect.gorgias.com/app/ticket/382733618</t>
  </si>
  <si>
    <t>https://horizondirect.gorgias.com/app/ticket/382749837</t>
  </si>
  <si>
    <r>
      <rPr>
        <rFont val="Arial, sans-serif"/>
        <color rgb="FF1155CC"/>
        <u/>
      </rPr>
      <t>https://horizondirect.gorgias.com/app/ticket/382860297</t>
    </r>
  </si>
  <si>
    <r>
      <rPr>
        <rFont val="Arial, sans-serif"/>
        <color rgb="FF1155CC"/>
        <u/>
      </rPr>
      <t>https://horizondirect.gorgias.com/app/ticket/382872852</t>
    </r>
  </si>
  <si>
    <r>
      <rPr>
        <rFont val="Arial, sans-serif"/>
        <color rgb="FF1155CC"/>
        <u/>
      </rPr>
      <t>https://horizondirect.gorgias.com/app/ticket/382891620</t>
    </r>
  </si>
  <si>
    <r>
      <rPr>
        <rFont val="Arial, sans-serif"/>
        <color rgb="FF1155CC"/>
        <u/>
      </rPr>
      <t>https://horizondirect.gorgias.com/app/ticket/383132948</t>
    </r>
  </si>
  <si>
    <t>CAb9f87753e4f3428007f29107d33cf7e7</t>
  </si>
  <si>
    <r>
      <rPr>
        <rFont val="Arial, sans-serif"/>
        <color rgb="FF1155CC"/>
        <u/>
      </rPr>
      <t>https://horizondirect.gorgias.com/app/ticket/383147677</t>
    </r>
  </si>
  <si>
    <t>CAb49ab9d18ad6aa272c1e5a5fab1a8358</t>
  </si>
  <si>
    <r>
      <rPr>
        <rFont val="Arial, sans-serif"/>
        <color rgb="FF1155CC"/>
        <u/>
      </rPr>
      <t>https://horizondirect.gorgias.com/app/ticket/383157291</t>
    </r>
  </si>
  <si>
    <r>
      <rPr>
        <rFont val="Arial, sans-serif"/>
        <color rgb="FF1155CC"/>
        <u/>
      </rPr>
      <t>https://horizondirect.gorgias.com/app/ticket/383221173</t>
    </r>
  </si>
  <si>
    <r>
      <rPr>
        <rFont val="Arial, sans-serif"/>
        <color rgb="FF1155CC"/>
        <u/>
      </rPr>
      <t>https://horizondirect.gorgias.com/app/ticket/383228588</t>
    </r>
  </si>
  <si>
    <r>
      <rPr>
        <rFont val="Arial, sans-serif"/>
        <color rgb="FF1155CC"/>
        <u/>
      </rPr>
      <t>https://horizondirect.gorgias.com/app/ticket/383243868</t>
    </r>
  </si>
  <si>
    <t>https://horizondirect.gorgias.com/app/ticket/387561635</t>
  </si>
  <si>
    <r>
      <rPr>
        <rFont val="Arial"/>
        <color rgb="FF1155CC"/>
        <u/>
      </rPr>
      <t>https://horizondirect.gorgias.com/app/ticket/387563788</t>
    </r>
  </si>
  <si>
    <r>
      <rPr>
        <rFont val="Arial, sans-serif"/>
        <color rgb="FF1155CC"/>
        <u/>
      </rPr>
      <t>https://horizondirect.gorgias.com/app/ticket/383431861</t>
    </r>
  </si>
  <si>
    <t>https://horizondirect.gorgias.com/app/ticket/387583033</t>
  </si>
  <si>
    <t>https://horizondirect.gorgias.com/app/ticket/387653105</t>
  </si>
  <si>
    <r>
      <rPr>
        <rFont val="Arial, sans-serif"/>
        <color rgb="FF1155CC"/>
        <u/>
      </rPr>
      <t>https://horizondirect.gorgias.com/app/ticket/383449183</t>
    </r>
  </si>
  <si>
    <t>https://horizondirect.gorgias.com/app/ticket/387659457</t>
  </si>
  <si>
    <r>
      <rPr>
        <rFont val="Arial, sans-serif"/>
        <color rgb="FF1155CC"/>
        <u/>
      </rPr>
      <t>https://horizondirect.gorgias.com/app/ticket/383464294</t>
    </r>
  </si>
  <si>
    <r>
      <rPr>
        <rFont val="Arial, sans-serif"/>
        <color rgb="FF1155CC"/>
        <u/>
      </rPr>
      <t>https://horizondirect.gorgias.com/app/ticket/383702713</t>
    </r>
  </si>
  <si>
    <t>https://horizondirect.gorgias.com/app/ticket/387665428</t>
  </si>
  <si>
    <r>
      <rPr>
        <rFont val="Arial, sans-serif"/>
        <color rgb="FF1155CC"/>
        <u/>
      </rPr>
      <t>https://horizondirect.gorgias.com/app/ticket/383722970</t>
    </r>
  </si>
  <si>
    <t>https://horizondirect.gorgias.com/app/ticket/387748419</t>
  </si>
  <si>
    <r>
      <rPr>
        <rFont val="Arial, sans-serif"/>
        <color rgb="FF1155CC"/>
        <u/>
      </rPr>
      <t>https://horizondirect.gorgias.com/app/ticket/383735260</t>
    </r>
  </si>
  <si>
    <t>https://horizondirect.gorgias.com/app/ticket/387756628</t>
  </si>
  <si>
    <r>
      <rPr>
        <rFont val="Arial, sans-serif"/>
        <color rgb="FF1155CC"/>
        <u/>
      </rPr>
      <t>https://horizondirect.gorgias.com/app/ticket/383863961</t>
    </r>
  </si>
  <si>
    <t>https://horizondirect.gorgias.com/app/ticket/387756892</t>
  </si>
  <si>
    <r>
      <rPr>
        <rFont val="Arial, sans-serif"/>
        <color rgb="FF1155CC"/>
        <u/>
      </rPr>
      <t>https://horizondirect.gorgias.com/app/ticket/383869917</t>
    </r>
  </si>
  <si>
    <r>
      <rPr>
        <rFont val="Arial, sans-serif"/>
        <color rgb="FF1155CC"/>
        <u/>
      </rPr>
      <t>https://horizondirect.gorgias.com/app/ticket/383880434</t>
    </r>
  </si>
  <si>
    <t>https://horizondirect.gorgias.com/app/ticket/384093797</t>
  </si>
  <si>
    <t xml:space="preserve">Week (April 27 -  May 3 ,2026) </t>
  </si>
  <si>
    <t>https://horizondirect.gorgias.com/app/ticket/387875048</t>
  </si>
  <si>
    <t>https://horizondirect.gorgias.com/app/ticket/384100980</t>
  </si>
  <si>
    <t>https://horizondirect.gorgias.com/app/ticket/384104884</t>
  </si>
  <si>
    <t>https://horizondirect.gorgias.com/app/ticket/384168381</t>
  </si>
  <si>
    <t>https://horizondirect.gorgias.com/app/ticket/387877868</t>
  </si>
  <si>
    <t>https://horizondirect.gorgias.com/app/ticket/387879301</t>
  </si>
  <si>
    <t>https://horizondirect.gorgias.com/app/ticket/384173964</t>
  </si>
  <si>
    <t>https://horizondirect.gorgias.com/app/ticket/384185906</t>
  </si>
  <si>
    <t>CAfd9b2f4fd2a336e82fd54c5dd537bc30</t>
  </si>
  <si>
    <r>
      <rPr>
        <rFont val="Arial, sans-serif"/>
        <color rgb="FF1155CC"/>
        <u/>
      </rPr>
      <t>https://horizondirect.gorgias.com/app/ticket/384296283</t>
    </r>
  </si>
  <si>
    <r>
      <rPr>
        <rFont val="Arial, sans-serif"/>
        <color rgb="FF1155CC"/>
        <u/>
      </rPr>
      <t>https://horizondirect.gorgias.com/app/ticket/384303422</t>
    </r>
  </si>
  <si>
    <r>
      <rPr>
        <rFont val="Arial, sans-serif"/>
        <color rgb="FF1155CC"/>
        <u/>
      </rPr>
      <t>https://horizondirect.gorgias.com/app/ticket/384313108</t>
    </r>
  </si>
  <si>
    <t>https://horizondirect.gorgias.com/app/ticket/384452602</t>
  </si>
  <si>
    <t>https://horizondirect.gorgias.com/app/ticket/384461390</t>
  </si>
  <si>
    <t xml:space="preserve">Process full refund </t>
  </si>
  <si>
    <t>https://horizondirect.gorgias.com/app/ticket/384454691</t>
  </si>
  <si>
    <r>
      <rPr>
        <rFont val="Arial, sans-serif"/>
        <color rgb="FF1155CC"/>
        <u/>
      </rPr>
      <t>https://horizondirect.gorgias.com/app/ticket/384576499</t>
    </r>
  </si>
  <si>
    <r>
      <rPr>
        <rFont val="Arial, sans-serif"/>
        <color rgb="FF1155CC"/>
        <u/>
      </rPr>
      <t>https://horizondirect.gorgias.com/app/ticket/384586904</t>
    </r>
  </si>
  <si>
    <r>
      <rPr>
        <rFont val="Arial, sans-serif"/>
        <color rgb="FF1155CC"/>
        <u/>
      </rPr>
      <t>https://horizondirect.gorgias.com/app/ticket/384594944</t>
    </r>
  </si>
  <si>
    <r>
      <rPr>
        <rFont val="Arial, sans-serif"/>
        <color rgb="FF1155CC"/>
        <u/>
      </rPr>
      <t>https://horizondirect.gorgias.com/app/ticket/384724795</t>
    </r>
  </si>
  <si>
    <t>CSR fail to explain how the $100 voucher works</t>
  </si>
  <si>
    <r>
      <rPr>
        <rFont val="Arial, sans-serif"/>
        <color rgb="FF1155CC"/>
        <u/>
      </rPr>
      <t>https://horizondirect.gorgias.com/app/ticket/384730924</t>
    </r>
  </si>
  <si>
    <r>
      <rPr>
        <rFont val="Arial, sans-serif"/>
        <color rgb="FF1155CC"/>
        <u/>
      </rPr>
      <t>https://horizondirect.gorgias.com/app/ticket/384741175</t>
    </r>
  </si>
  <si>
    <r>
      <rPr>
        <rFont val="Arial, sans-serif"/>
        <color rgb="FF1155CC"/>
        <u/>
      </rPr>
      <t>https://horizondirect.gorgias.com/app/ticket/385044541</t>
    </r>
  </si>
  <si>
    <r>
      <rPr>
        <rFont val="Arial, sans-serif"/>
        <color rgb="FF1155CC"/>
        <u/>
      </rPr>
      <t>https://horizondirect.gorgias.com/app/ticket/385058950</t>
    </r>
  </si>
  <si>
    <r>
      <rPr>
        <rFont val="Arial, sans-serif"/>
        <color rgb="FF1155CC"/>
        <u/>
      </rPr>
      <t>https://horizondirect.gorgias.com/app/ticket/385066942</t>
    </r>
  </si>
  <si>
    <r>
      <rPr>
        <rFont val="Arial, sans-serif"/>
        <color rgb="FF1155CC"/>
        <u/>
      </rPr>
      <t>https://horizondirect.gorgias.com/app/ticket/385174956</t>
    </r>
  </si>
  <si>
    <t>CA4dfd3b52e4db447fae2aed2c77f9a757</t>
  </si>
  <si>
    <r>
      <rPr>
        <rFont val="Arial, sans-serif"/>
        <color rgb="FF1155CC"/>
        <u/>
      </rPr>
      <t>https://horizondirect.gorgias.com/app/ticket/385190907</t>
    </r>
  </si>
  <si>
    <r>
      <rPr>
        <rFont val="Arial, sans-serif"/>
        <color rgb="FF1155CC"/>
        <u/>
      </rPr>
      <t>https://horizondirect.gorgias.com/app/ticket/385200575</t>
    </r>
  </si>
  <si>
    <t>CA36d212bdcd01174480a48726c25d7717</t>
  </si>
  <si>
    <t>https://horizondirect.gorgias.com/app/ticket/385354904</t>
  </si>
  <si>
    <t>CA8b3ebf9af9040281a4874aae35e0a2c5</t>
  </si>
  <si>
    <t>https://horizondirect.gorgias.com/app/ticket/385338498</t>
  </si>
  <si>
    <t>CA9736f0f22c41cc7370e1f949be57a72f</t>
  </si>
  <si>
    <t>CAe8db768e04caac05f8bc5e67857cbbd6</t>
  </si>
  <si>
    <t>https://horizondirect.gorgias.com/app/ticket/385341670</t>
  </si>
  <si>
    <r>
      <rPr>
        <rFont val="Arial, sans-serif"/>
        <color rgb="FF1155CC"/>
        <u/>
      </rPr>
      <t>https://horizondirect.gorgias.com/app/ticket/385461727</t>
    </r>
  </si>
  <si>
    <r>
      <rPr>
        <rFont val="Arial, sans-serif"/>
        <color rgb="FF1155CC"/>
        <u/>
      </rPr>
      <t>https://horizondirect.gorgias.com/app/ticket/385476457</t>
    </r>
  </si>
  <si>
    <r>
      <rPr>
        <rFont val="Arial, sans-serif"/>
        <color rgb="FF1155CC"/>
        <u/>
      </rPr>
      <t>https://horizondirect.gorgias.com/app/ticket/385481664</t>
    </r>
  </si>
  <si>
    <t>https://horizondirect.gorgias.com/app/ticket/385861537</t>
  </si>
  <si>
    <t>https://horizondirect.gorgias.com/app/ticket/385856072</t>
  </si>
  <si>
    <t xml:space="preserve">Week (May 4 -  May 10,2026) </t>
  </si>
  <si>
    <t>https://horizondirect.gorgias.com/app/ticket/385852001</t>
  </si>
  <si>
    <t>CA281a13aebd74de9b469a1ab3c5e65d4b</t>
  </si>
  <si>
    <t>https://horizondirect.gorgias.com/app/ticket/385953180</t>
  </si>
  <si>
    <t>https://horizondirect.gorgias.com/app/ticket/385944377</t>
  </si>
  <si>
    <t>CA977cf7570ef9bd59b7700f6cafdfb770</t>
  </si>
  <si>
    <t>https://horizondirect.gorgias.com/app/ticket/385941473</t>
  </si>
  <si>
    <t>CA4f75f43b21e229f9238a4407edca5606</t>
  </si>
  <si>
    <t>CA9c27f33c6cea533bbeac9832514473a4</t>
  </si>
  <si>
    <r>
      <rPr>
        <rFont val="Arial, sans-serif"/>
        <color rgb="FF1155CC"/>
        <u/>
      </rPr>
      <t>https://horizondirect.gorgias.com/app/ticket/386072788</t>
    </r>
  </si>
  <si>
    <t>CAbd40434296dee194bd5bc424545f71ec</t>
  </si>
  <si>
    <r>
      <rPr>
        <rFont val="Arial, sans-serif"/>
        <color rgb="FF1155CC"/>
        <u/>
      </rPr>
      <t>https://horizondirect.gorgias.com/app/ticket/386081252</t>
    </r>
  </si>
  <si>
    <t>CA7490f6a48a4d0adcfc98be1d328cc960</t>
  </si>
  <si>
    <r>
      <rPr>
        <rFont val="Arial, sans-serif"/>
        <color rgb="FF1155CC"/>
        <u/>
      </rPr>
      <t>https://horizondirect.gorgias.com/app/ticket/386096588</t>
    </r>
  </si>
  <si>
    <t>CAeaff2a9abefdf08979e5ab0db4fbe0e7</t>
  </si>
  <si>
    <t>https://horizondirect.gorgias.com/app/ticket/386235092</t>
  </si>
  <si>
    <t>CAa30d543675a059e5afe16bad1445b17a</t>
  </si>
  <si>
    <t>https://horizondirect.gorgias.com/app/ticket/386228626</t>
  </si>
  <si>
    <t>CA8185c48519f43cf00f6577620db65fa2</t>
  </si>
  <si>
    <t>https://horizondirect.gorgias.com/app/ticket/386224699</t>
  </si>
  <si>
    <t>CAdda1448c141202007b317f66ba1daaf9</t>
  </si>
  <si>
    <t>CA88b00382f2312501f8ce8ea10e11fd90</t>
  </si>
  <si>
    <t>https://horizondirect.gorgias.com/app/ticket/386356120</t>
  </si>
  <si>
    <t>https://horizondirect.gorgias.com/app/ticket/386384644</t>
  </si>
  <si>
    <r>
      <rPr>
        <rFont val="Arial, sans-serif"/>
        <color rgb="FF1155CC"/>
        <u/>
      </rPr>
      <t>https://horizondirect.gorgias.com/app/ticket/386392709</t>
    </r>
  </si>
  <si>
    <t>CA80eb04238e0802705ffc54ffabfb2ade</t>
  </si>
  <si>
    <r>
      <rPr>
        <rFont val="Arial, sans-serif"/>
        <color rgb="FF1155CC"/>
        <u/>
      </rPr>
      <t>https://horizondirect.gorgias.com/app/ticket/386743035</t>
    </r>
  </si>
  <si>
    <t>CA7474e5ea836e657bc9647781b4309bee</t>
  </si>
  <si>
    <r>
      <rPr>
        <rFont val="Arial, sans-serif"/>
        <color rgb="FF1155CC"/>
        <u/>
      </rPr>
      <t>https://horizondirect.gorgias.com/app/ticket/386751189</t>
    </r>
  </si>
  <si>
    <r>
      <rPr>
        <rFont val="Arial, sans-serif"/>
        <color rgb="FF1155CC"/>
        <u/>
      </rPr>
      <t>https://horizondirect.gorgias.com/app/ticket/386754490</t>
    </r>
  </si>
  <si>
    <t>CAcc363d3c7046771ad385100938a3792c</t>
  </si>
  <si>
    <r>
      <rPr>
        <rFont val="Arial, sans-serif"/>
        <color rgb="FF1155CC"/>
        <u/>
      </rPr>
      <t>https://horizondirect.gorgias.com/app/ticket/386840263</t>
    </r>
  </si>
  <si>
    <t>CA88b653949efdcf6a3ebda19ed023421d</t>
  </si>
  <si>
    <r>
      <rPr>
        <rFont val="Arial, sans-serif"/>
        <color rgb="FF1155CC"/>
        <u/>
      </rPr>
      <t>https://horizondirect.gorgias.com/app/ticket/386851609</t>
    </r>
  </si>
  <si>
    <r>
      <rPr>
        <rFont val="Arial, sans-serif"/>
        <color rgb="FF1155CC"/>
        <u/>
      </rPr>
      <t>https://horizondirect.gorgias.com/app/ticket/386862304</t>
    </r>
  </si>
  <si>
    <t xml:space="preserve">Week (May 11 -  May 17,2026) </t>
  </si>
  <si>
    <t>CA6e05f590106fffc237fa3f0c75ac7a6f</t>
  </si>
  <si>
    <t>CA6698e5647aebe9c560ee560ac794d6af</t>
  </si>
  <si>
    <t>CA81ea970126990d8bc963b8b2f0dc0a39</t>
  </si>
  <si>
    <t>CA49e2ed5471c33a294462f6f0ab7dcef5</t>
  </si>
  <si>
    <t>CAe49b8959d8cfc72f8f287752db4644b4</t>
  </si>
  <si>
    <t>CAff0806c9ceedf14d52da5a6c866c28f1</t>
  </si>
  <si>
    <t>CA9435cb6a091019f2fdf329c4699f03ad</t>
  </si>
  <si>
    <t>CA08ec150b7f1beddc770f160a40140c2b</t>
  </si>
  <si>
    <t>CAd0664c00fcf0351037c47e6bc35badd9</t>
  </si>
  <si>
    <t>CA8c530a11ab705038fe297ec3b8b87afe</t>
  </si>
  <si>
    <t>CAd3d5494c06c3a7c01d18213bc0771fff</t>
  </si>
  <si>
    <t>CA764065d86b0d858f4246032e5f55797a</t>
  </si>
  <si>
    <t>CA8efe325abf1cacdbfb3810ed7c7d2c2b</t>
  </si>
  <si>
    <t>CA6670b21ae603897e93e9d842ca8a39ad</t>
  </si>
  <si>
    <t>CA197cba7ee07e0130eeda5e1009459221</t>
  </si>
  <si>
    <t>CAc54fcdf0c0dc9854ea7ef724bd1fa320</t>
  </si>
  <si>
    <t>CAd94cf7a3a610b95fabfc60533d419f68</t>
  </si>
  <si>
    <t>CA5a7f2196aca26bad7760b927f7dcc7bc</t>
  </si>
  <si>
    <t>CAd4c8868321b9ac1a6b618eb19f98de7d</t>
  </si>
  <si>
    <r>
      <rPr>
        <rFont val="Arial, sans-serif"/>
        <color rgb="FF1155CC"/>
        <u/>
      </rPr>
      <t>https://horizondirect.gorgias.com/app/ticket/387649084</t>
    </r>
  </si>
  <si>
    <t>CA7d6e75d6c3ededc05473b9eae44cc021</t>
  </si>
  <si>
    <r>
      <rPr>
        <rFont val="Arial, sans-serif"/>
        <color rgb="FF1155CC"/>
        <u/>
      </rPr>
      <t>https://horizondirect.gorgias.com/app/ticket/387656519</t>
    </r>
  </si>
  <si>
    <t>CA08b7046b19d6a1e6bdf381f98ace01da</t>
  </si>
  <si>
    <r>
      <rPr>
        <rFont val="Arial, sans-serif"/>
        <color rgb="FF1155CC"/>
        <u/>
      </rPr>
      <t>https://horizondirect.gorgias.com/app/ticket/387661174</t>
    </r>
  </si>
  <si>
    <r>
      <rPr>
        <rFont val="Arial, sans-serif"/>
        <color rgb="FF1155CC"/>
        <u/>
      </rPr>
      <t>https://horizondirect.gorgias.com/app/ticket/387868394</t>
    </r>
  </si>
  <si>
    <t xml:space="preserve">Week (May 18 -  May 24,2026) </t>
  </si>
  <si>
    <t>CA1014cbb1a94cfadc6496985e725046a9</t>
  </si>
  <si>
    <r>
      <rPr>
        <rFont val="Arial, sans-serif"/>
        <color rgb="FF1155CC"/>
        <u/>
      </rPr>
      <t>https://horizondirect.gorgias.com/app/ticket/387874358</t>
    </r>
  </si>
  <si>
    <r>
      <rPr>
        <rFont val="Arial, sans-serif"/>
        <color rgb="FF1155CC"/>
        <u/>
      </rPr>
      <t>https://horizondirect.gorgias.com/app/ticket/387879968</t>
    </r>
  </si>
  <si>
    <t>CA499fd9467c1342c3af69303d89e53e98</t>
  </si>
  <si>
    <t>CA222aa15fc41a303b7db7b6ebef994fc3</t>
  </si>
  <si>
    <t>CAa03829a3b4b3d2180b1bea7beeaf9eeb</t>
  </si>
  <si>
    <t>CA10bee1980d99b0212361e8872340dbb0</t>
  </si>
  <si>
    <t>CA658b4fe903816a00f0ee002a4c2b9841</t>
  </si>
  <si>
    <t>CAd736c54c53e14bc5bc48c595f4a3ff64</t>
  </si>
  <si>
    <t>CA7e9e2657fac29e301e9455fec85dc47f</t>
  </si>
  <si>
    <t>CA332f499360309d3527e31a8751b168a5</t>
  </si>
  <si>
    <t>CAdbc7717db6fa08f997eeebb7aee4543e</t>
  </si>
  <si>
    <t>CA80d7c3857931d8ae5694305442c5f7e5</t>
  </si>
  <si>
    <r>
      <rPr>
        <rFont val="Arial"/>
        <color rgb="FF1155CC"/>
        <u/>
      </rPr>
      <t>https://4ammedia.zendesk.com/agent/tickets/143701</t>
    </r>
  </si>
  <si>
    <t>CAaacae88196c25271e9cf74efe07919a7</t>
  </si>
  <si>
    <t>CAf8be984fa1f0ebc0eff8b63afc51fb83</t>
  </si>
  <si>
    <r>
      <rPr>
        <rFont val="Arial"/>
        <color rgb="FF1155CC"/>
        <u/>
      </rPr>
      <t>https://4ammedia.zendesk.com/agent/tickets/143739</t>
    </r>
  </si>
  <si>
    <t>CA5fb2705e4ea5b346435f7aa370069100</t>
  </si>
  <si>
    <r>
      <rPr>
        <rFont val="Arial"/>
        <color rgb="FF1155CC"/>
        <u/>
      </rPr>
      <t>https://4ammedia.zendesk.com/agent/tickets/143797</t>
    </r>
  </si>
  <si>
    <t>CAfaa14fe9e87d12152f84b0c13fa83e65</t>
  </si>
  <si>
    <t>https://4ammedia.zendesk.com/agent/tickets/147638</t>
  </si>
  <si>
    <t>CAaff9b3dc84eb61bdfef859152b9d8aa8</t>
  </si>
  <si>
    <t>https://4ammedia.zendesk.com/agent/tickets/147781</t>
  </si>
  <si>
    <t>CA294f5170293d745a15a7c2b14b9452f5</t>
  </si>
  <si>
    <t>CA1d292713a8ff8b9fe67a54b88af2d3f7</t>
  </si>
  <si>
    <r>
      <rPr>
        <rFont val="Arial"/>
        <color rgb="FF1155CC"/>
        <u/>
      </rPr>
      <t>https://4ammedia.zendesk.com/agent/tickets/147834</t>
    </r>
  </si>
  <si>
    <t>CA47bb607fcf069c906d516335c8321822</t>
  </si>
  <si>
    <t xml:space="preserve">Week (May 25 -  May 31,2026) </t>
  </si>
  <si>
    <t>https://4ammedia.zendesk.com/agent/tickets/149402</t>
  </si>
  <si>
    <t>CAc3279351a7ae8e3daa7e1d06597b0c03</t>
  </si>
  <si>
    <t>CA5631babc343532dcdf27a09e2fe01fb0</t>
  </si>
  <si>
    <t>CA7aef15584393cccaeacded5a0ec75594</t>
  </si>
  <si>
    <t>https://4ammedia.zendesk.com/agent/tickets/149540</t>
  </si>
  <si>
    <t>CAb65e1da6b3ebbac165014a3f3393e275</t>
  </si>
  <si>
    <t>https://4ammedia.zendesk.com/agent/tickets/149587</t>
  </si>
  <si>
    <t>CA4cf3b9d96b5664eb3e58efb7156e3d2a</t>
  </si>
  <si>
    <t>CAe12d69cabc588e83431cef107a2aa17b</t>
  </si>
  <si>
    <t>https://4ammedia.zendesk.com/agent/tickets/150759</t>
  </si>
  <si>
    <t>CAdd8746f01c79c53f43598eaf176c5744</t>
  </si>
  <si>
    <t>https://4ammedia.zendesk.com/agent/tickets/150987</t>
  </si>
  <si>
    <t>CA1894096b855eef3fde7592ec1e5d259b</t>
  </si>
  <si>
    <t>https://4ammedia.zendesk.com/agent/tickets/151076</t>
  </si>
  <si>
    <t>CA683739d22f63d4d8926cbcaf9b5237de</t>
  </si>
  <si>
    <t>https://4ammedia.zendesk.com/agent/tickets/152290</t>
  </si>
  <si>
    <t>CAd3413f30b9f5bbfc6e9aa785f991729f</t>
  </si>
  <si>
    <t>CA55750570db74b894550509918b7e8931</t>
  </si>
  <si>
    <t>https://4ammedia.zendesk.com/agent/tickets/152452</t>
  </si>
  <si>
    <t>CA53d17c1762374715d265e753cff96570</t>
  </si>
  <si>
    <t>https://4ammedia.zendesk.com/agent/tickets/152553</t>
  </si>
  <si>
    <t>CAdbf4c3a34245ff6d8ff8facfd061cf99</t>
  </si>
  <si>
    <r>
      <rPr>
        <rFont val="Arial"/>
        <color rgb="FF1155CC"/>
        <u/>
      </rPr>
      <t>https://4ammedia.zendesk.com/agent/tickets/154051</t>
    </r>
  </si>
  <si>
    <t>CA84c1b54ade1f00cf5be4172fdfb54491</t>
  </si>
  <si>
    <r>
      <rPr>
        <rFont val="Arial"/>
        <color rgb="FF1155CC"/>
        <u/>
      </rPr>
      <t>https://4ammedia.zendesk.com/agent/tickets/154169</t>
    </r>
  </si>
  <si>
    <r>
      <rPr>
        <rFont val="Arial"/>
        <color rgb="FF1155CC"/>
        <u/>
      </rPr>
      <t>https://4ammedia.zendesk.com/agent/tickets/143609</t>
    </r>
  </si>
  <si>
    <t>https://4ammedia.zendesk.com/agent/tickets/155403</t>
  </si>
  <si>
    <t>CA29265196194907f3d7b7e4481c162ddb</t>
  </si>
  <si>
    <t>https://4ammedia.zendesk.com/agent/tickets/155439</t>
  </si>
  <si>
    <t>https://4ammedia.zendesk.com/agent/tickets/155649</t>
  </si>
  <si>
    <t>CAef388974c84bb00db79a893056a34711</t>
  </si>
  <si>
    <t xml:space="preserve">Week (June 1 -  June 7,2026) </t>
  </si>
  <si>
    <t>CAcaf028ee1ea0dd20e6e52716d84a416d</t>
  </si>
  <si>
    <t>CA8211cd7afb604abee8889efd0979d710</t>
  </si>
  <si>
    <t>CA594ee227bd1b1bcda08032c12f37a224</t>
  </si>
  <si>
    <t>CA9c1089971f19ad5c76b497b0831f29be</t>
  </si>
  <si>
    <t>CA57406181facb5b898bfde0d25f2ecfaf</t>
  </si>
  <si>
    <t>http://4ammedia.zendesk.com/agent/tickets/159271</t>
  </si>
  <si>
    <t>CA519b47ea9857c62dc01256706ac4bc0e</t>
  </si>
  <si>
    <t>CA76c9d44a2942b15dba8e9de2c6ae01af</t>
  </si>
  <si>
    <t>CA08b7715301bdd19e1c18cbb3e8edd3e0</t>
  </si>
  <si>
    <t>https://4ammedia.zendesk.com/agent/tickets/159313</t>
  </si>
  <si>
    <t>CAb89c102f1b9a8dcf2352f94a38540506</t>
  </si>
  <si>
    <t>CA5b3bcf4c347e9083fd6b2890c1833411</t>
  </si>
  <si>
    <t xml:space="preserve">CSR RETAINED THE UPSELL INSTEAD THE MAIN </t>
  </si>
  <si>
    <t>https://4ammedia.zendesk.com/agent/tickets/159518</t>
  </si>
  <si>
    <t>CA8f1c472a54ae9d2ba19841143ba33efb</t>
  </si>
  <si>
    <t>https://4ammedia.zendesk.com/agent/tickets/161162</t>
  </si>
  <si>
    <t>CAfcc4ef8e3f6f0a509d45e2f379e50687</t>
  </si>
  <si>
    <t>https://4ammedia.zendesk.com/agent/tickets/161206</t>
  </si>
  <si>
    <t>CA6548e79b543768d44db230ea8d8e25e1</t>
  </si>
  <si>
    <t>https://4ammedia.zendesk.com/agent/tickets/161235</t>
  </si>
  <si>
    <t>https://4ammedia.zendesk.com/agent/tickets/162521</t>
  </si>
  <si>
    <t>CA6fa579d29216c2194b03ff36cc8abb4d</t>
  </si>
  <si>
    <t>https://4ammedia.zendesk.com/agent/tickets/162555</t>
  </si>
  <si>
    <t>https://4ammedia.zendesk.com/agent/tickets/162767</t>
  </si>
  <si>
    <t>https://4ammedia.zendesk.com/agent/tickets/164275</t>
  </si>
  <si>
    <t>CA69e2d1dfdf417cd90ca0c0321b1a370a</t>
  </si>
  <si>
    <t>https://4ammedia.zendesk.com/agent/tickets/164436</t>
  </si>
  <si>
    <t>CA11fe16bd5b02be232e8f0c9d6669d1bb</t>
  </si>
  <si>
    <t>https://4ammedia.zendesk.com/agent/tickets/164471</t>
  </si>
  <si>
    <t>CAb4cb97a1408df2319833e61af50df35a</t>
  </si>
  <si>
    <t>CAd908135374fb8eb543247445a264e851</t>
  </si>
  <si>
    <t>https://4ammedia.zendesk.com/agent/tickets/165674</t>
  </si>
  <si>
    <t>CAd53db5546b007092ed1d77351f6be009</t>
  </si>
  <si>
    <t>https://4ammedia.zendesk.com/agent/tickets/165869</t>
  </si>
  <si>
    <r>
      <rPr>
        <rFont val="Arial, sans-serif"/>
        <color rgb="FF1155CC"/>
        <u/>
      </rPr>
      <t>https://4ammedia.zendesk.com/agent/tickets/145039</t>
    </r>
  </si>
  <si>
    <t>https://4ammedia.zendesk.com/agent/tickets/166000</t>
  </si>
  <si>
    <r>
      <rPr>
        <rFont val="Arial, sans-serif"/>
        <color rgb="FF1155CC"/>
        <u/>
      </rPr>
      <t>https://4ammedia.zendesk.com/agent/tickets/145228</t>
    </r>
  </si>
  <si>
    <r>
      <rPr>
        <rFont val="Arial, sans-serif"/>
        <color rgb="FF1155CC"/>
        <u/>
      </rPr>
      <t>https://4ammedia.zendesk.com/agent/tickets/145310</t>
    </r>
  </si>
  <si>
    <r>
      <rPr>
        <rFont val="Arial"/>
        <color rgb="FF1155CC"/>
        <u/>
      </rPr>
      <t>https://4ammedia.zendesk.com/agent/tickets/146395</t>
    </r>
  </si>
  <si>
    <r>
      <rPr>
        <rFont val="Arial"/>
        <color rgb="FF1155CC"/>
        <u/>
      </rPr>
      <t>https://4ammedia.zendesk.com/agent/tickets/146420</t>
    </r>
  </si>
  <si>
    <r>
      <rPr>
        <rFont val="Arial"/>
        <color rgb="FF1155CC"/>
        <u/>
      </rPr>
      <t>https://4ammedia.zendesk.com/agent/tickets/146522</t>
    </r>
  </si>
  <si>
    <r>
      <rPr>
        <rFont val="Arial, sans-serif"/>
        <color rgb="FF1155CC"/>
        <u/>
      </rPr>
      <t>http://4ammedia.zendesk.com/agent/tickets/147504</t>
    </r>
  </si>
  <si>
    <r>
      <rPr>
        <rFont val="Arial, sans-serif"/>
        <color rgb="FF1155CC"/>
        <u/>
      </rPr>
      <t>https://4ammedia.zendesk.com/agent/tickets/147667</t>
    </r>
  </si>
  <si>
    <r>
      <rPr>
        <rFont val="Arial, sans-serif"/>
        <color rgb="FF1155CC"/>
        <u/>
      </rPr>
      <t>https://4ammedia.zendesk.com/agent/tickets/147798</t>
    </r>
  </si>
  <si>
    <t xml:space="preserve">Week (June 8 -  June 14,2026) </t>
  </si>
  <si>
    <t>https://4ammedia.zendesk.com/agent/tickets/169898</t>
  </si>
  <si>
    <r>
      <rPr>
        <rFont val="Arial, sans-serif"/>
        <color rgb="FF1155CC"/>
        <u/>
      </rPr>
      <t>https://4ammedia.zendesk.com/agent/tickets/150861</t>
    </r>
  </si>
  <si>
    <r>
      <rPr>
        <rFont val="Arial, sans-serif"/>
        <color rgb="FF1155CC"/>
        <u/>
      </rPr>
      <t>https://4ammedia.zendesk.com/agent/tickets/150997</t>
    </r>
  </si>
  <si>
    <r>
      <rPr>
        <rFont val="Arial, sans-serif"/>
        <color rgb="FF1155CC"/>
        <u/>
      </rPr>
      <t>https://4ammedia.zendesk.com/agent/tickets/151093</t>
    </r>
  </si>
  <si>
    <r>
      <rPr>
        <rFont val="Arial, sans-serif"/>
        <color rgb="FF1155CC"/>
        <u/>
      </rPr>
      <t>https://4ammedia.zendesk.com/agent/tickets/152495</t>
    </r>
  </si>
  <si>
    <r>
      <rPr>
        <rFont val="Arial, sans-serif"/>
        <color rgb="FF1155CC"/>
        <u/>
      </rPr>
      <t>https://4ammedia.zendesk.com/agent/tickets/152588</t>
    </r>
  </si>
  <si>
    <t>https://4ammedia.zendesk.com/agent/tickets/170147</t>
  </si>
  <si>
    <r>
      <rPr>
        <rFont val="Arial, sans-serif"/>
        <color rgb="FF1155CC"/>
        <u/>
      </rPr>
      <t>https://4ammedia.zendesk.com/agent/tickets/152674</t>
    </r>
  </si>
  <si>
    <r>
      <rPr>
        <rFont val="Arial, sans-serif"/>
        <color rgb="FF1155CC"/>
        <u/>
      </rPr>
      <t>https://4ammedia.zendesk.com/agent/tickets/154118</t>
    </r>
  </si>
  <si>
    <t>https://4ammedia.zendesk.com/agent/tickets/170340</t>
  </si>
  <si>
    <r>
      <rPr>
        <rFont val="Arial, sans-serif"/>
        <color rgb="FF1155CC"/>
        <u/>
      </rPr>
      <t>https://4ammedia.zendesk.com/agent/tickets/154217</t>
    </r>
  </si>
  <si>
    <t>https://4ammedia.zendesk.com/agent/tickets/171487</t>
  </si>
  <si>
    <r>
      <rPr>
        <rFont val="Arial, sans-serif"/>
        <color rgb="FF1155CC"/>
        <u/>
      </rPr>
      <t>https://4ammedia.zendesk.com/agent/tickets/154319</t>
    </r>
  </si>
  <si>
    <t>https://4ammedia.zendesk.com/agent/tickets/171743</t>
  </si>
  <si>
    <r>
      <rPr>
        <rFont val="Arial, sans-serif"/>
        <color rgb="FF1155CC"/>
        <u/>
      </rPr>
      <t>https://4ammedia.zendesk.com/agent/tickets/155577</t>
    </r>
  </si>
  <si>
    <t>https://4ammedia.zendesk.com/agent/tickets/171904</t>
  </si>
  <si>
    <t>https://4ammedia.zendesk.com/agent/tickets/173182</t>
  </si>
  <si>
    <r>
      <rPr>
        <rFont val="Arial, sans-serif"/>
        <color rgb="FF1155CC"/>
        <u/>
      </rPr>
      <t>https://4ammedia.zendesk.com/agent/tickets/155748</t>
    </r>
  </si>
  <si>
    <t>https://4ammedia.zendesk.com/agent/tickets/173227</t>
  </si>
  <si>
    <t>https://4ammedia.zendesk.com/agent/tickets/173346</t>
  </si>
  <si>
    <r>
      <rPr>
        <rFont val="Arial, sans-serif"/>
        <color rgb="FF1155CC"/>
        <u/>
      </rPr>
      <t>https://4ammedia.zendesk.com/agent/tickets/155903</t>
    </r>
  </si>
  <si>
    <t>https://4ammedia.zendesk.com/agent/tickets/174689</t>
  </si>
  <si>
    <r>
      <rPr>
        <rFont val="Arial, sans-serif"/>
        <color rgb="FF1155CC"/>
        <u/>
      </rPr>
      <t>https://4ammedia.zendesk.com/agent/tickets/156782</t>
    </r>
  </si>
  <si>
    <r>
      <rPr>
        <rFont val="Arial, sans-serif"/>
        <color rgb="FF1155CC"/>
        <u/>
      </rPr>
      <t>http://4ammedia.zendesk.com/agent/tickets/155823</t>
    </r>
  </si>
  <si>
    <r>
      <rPr>
        <rFont val="Arial, sans-serif"/>
        <color rgb="FF1155CC"/>
        <u/>
      </rPr>
      <t>https://4ammedia.zendesk.com/agent/tickets/157135</t>
    </r>
  </si>
  <si>
    <r>
      <rPr>
        <rFont val="Arial, sans-serif"/>
        <color rgb="FF1155CC"/>
        <u/>
      </rPr>
      <t>https://4ammedia.zendesk.com/agent/tickets/161013</t>
    </r>
  </si>
  <si>
    <t>https://4ammedia.zendesk.com/agent/tickets/174846</t>
  </si>
  <si>
    <r>
      <rPr>
        <rFont val="Arial, sans-serif"/>
        <color rgb="FF1155CC"/>
        <u/>
      </rPr>
      <t>https://4ammedia.zendesk.com/agent/tickets/161082</t>
    </r>
  </si>
  <si>
    <r>
      <rPr>
        <rFont val="Arial, sans-serif"/>
        <color rgb="FF1155CC"/>
        <u/>
      </rPr>
      <t>http://4ammedia.zendesk.com/agent/tickets/161195</t>
    </r>
  </si>
  <si>
    <t>https://4ammedia.zendesk.com/agent/tickets/174880</t>
  </si>
  <si>
    <t>https://4ammedia.zendesk.com/agent/tickets/175861</t>
  </si>
  <si>
    <r>
      <rPr>
        <rFont val="Arial, sans-serif"/>
        <color rgb="FF1155CC"/>
        <u/>
      </rPr>
      <t>https://4ammedia.zendesk.com/agent/tickets/162610</t>
    </r>
  </si>
  <si>
    <r>
      <rPr>
        <rFont val="Arial, sans-serif"/>
        <color rgb="FF1155CC"/>
        <u/>
      </rPr>
      <t>https://4ammedia.zendesk.com/agent/tickets/162684</t>
    </r>
  </si>
  <si>
    <t>https://4ammedia.zendesk.com/agent/tickets/175932</t>
  </si>
  <si>
    <r>
      <rPr>
        <rFont val="Arial, sans-serif"/>
        <color rgb="FF1155CC"/>
        <u/>
      </rPr>
      <t>https://4ammedia.zendesk.com/agent/tickets/162833</t>
    </r>
  </si>
  <si>
    <t>https://4ammedia.zendesk.com/agent/tickets/175973</t>
  </si>
  <si>
    <r>
      <rPr>
        <rFont val="Arial, sans-serif"/>
        <color rgb="FF1155CC"/>
        <u/>
      </rPr>
      <t>https://4ammedia.zendesk.com/agent/tickets/164241</t>
    </r>
  </si>
  <si>
    <r>
      <rPr>
        <rFont val="Arial, sans-serif"/>
        <color rgb="FF1155CC"/>
        <u/>
      </rPr>
      <t>https://4ammedia.zendesk.com/agent/tickets/164334</t>
    </r>
  </si>
  <si>
    <t xml:space="preserve">Week (June 15 -  June 21,2026) </t>
  </si>
  <si>
    <r>
      <rPr>
        <rFont val="Arial, sans-serif"/>
        <color rgb="FF1155CC"/>
        <u/>
      </rPr>
      <t>https://4ammedia.zendesk.com/agent/tickets/164474</t>
    </r>
  </si>
  <si>
    <t>EXEMPTED</t>
  </si>
  <si>
    <r>
      <rPr>
        <rFont val="Arial, sans-serif"/>
        <color rgb="FF1155CC"/>
        <u/>
      </rPr>
      <t>https://4ammedia.zendesk.com/agent/tickets/165632</t>
    </r>
  </si>
  <si>
    <r>
      <rPr>
        <rFont val="Arial, sans-serif"/>
        <color rgb="FF1155CC"/>
        <u/>
      </rPr>
      <t>https://4ammedia.zendesk.com/agent/tickets/165802</t>
    </r>
  </si>
  <si>
    <r>
      <rPr>
        <rFont val="Arial, sans-serif"/>
        <color rgb="FF1155CC"/>
        <u/>
      </rPr>
      <t>https://4ammedia.zendesk.com/agent/tickets/165873</t>
    </r>
  </si>
  <si>
    <r>
      <rPr>
        <rFont val="Arial, sans-serif"/>
        <color rgb="FF1155CC"/>
        <u/>
      </rPr>
      <t>https://4ammedia.zendesk.com/agent/tickets/167101</t>
    </r>
  </si>
  <si>
    <r>
      <rPr>
        <rFont val="Arial, sans-serif"/>
        <color rgb="FF1155CC"/>
        <u/>
      </rPr>
      <t>https://4ammedia.zendesk.com/agent/tickets/167202</t>
    </r>
  </si>
  <si>
    <r>
      <rPr>
        <rFont val="Arial, sans-serif"/>
        <color rgb="FF1155CC"/>
        <u/>
      </rPr>
      <t>https://4ammedia.zendesk.com/agent/tickets/167218</t>
    </r>
  </si>
  <si>
    <r>
      <rPr>
        <rFont val="Arial, sans-serif"/>
        <color rgb="FF1155CC"/>
        <u/>
      </rPr>
      <t>https://4ammedia.zendesk.com/agent/tickets/171480</t>
    </r>
  </si>
  <si>
    <r>
      <rPr>
        <rFont val="Arial, sans-serif"/>
        <color rgb="FF1155CC"/>
        <u/>
      </rPr>
      <t>https://4ammedia.zendesk.com/agent/tickets/171752</t>
    </r>
  </si>
  <si>
    <r>
      <rPr>
        <rFont val="Arial, sans-serif"/>
        <color rgb="FF1155CC"/>
        <u/>
      </rPr>
      <t>https://4ammedia.zendesk.com/agent/tickets/171815</t>
    </r>
  </si>
  <si>
    <r>
      <rPr>
        <rFont val="Arial, sans-serif"/>
        <color rgb="FF1155CC"/>
        <u/>
      </rPr>
      <t>https://4ammedia.zendesk.com/agent/tickets/173125</t>
    </r>
  </si>
  <si>
    <t xml:space="preserve">Week (June 22 -  June 28,2026) </t>
  </si>
  <si>
    <r>
      <rPr>
        <rFont val="Arial, sans-serif"/>
        <color rgb="FF1155CC"/>
        <u/>
      </rPr>
      <t>https://4ammedia.zendesk.com/agent/tickets/173210</t>
    </r>
  </si>
  <si>
    <t>https://4ammedia.zendesk.com/agent/tickets/189622</t>
  </si>
  <si>
    <r>
      <rPr>
        <rFont val="Arial, sans-serif"/>
        <color rgb="FF1155CC"/>
        <u/>
      </rPr>
      <t>https://4ammedia.zendesk.com/agent/tickets/173332</t>
    </r>
  </si>
  <si>
    <r>
      <rPr>
        <rFont val="Arial, sans-serif"/>
        <color rgb="FF1155CC"/>
        <u/>
      </rPr>
      <t>http://4ammedia.zendesk.com/agent/tickets/174853</t>
    </r>
  </si>
  <si>
    <r>
      <rPr>
        <rFont val="Arial, sans-serif"/>
        <color rgb="FF1155CC"/>
        <u/>
      </rPr>
      <t>https://4ammedia.zendesk.com/agent/tickets/174904</t>
    </r>
  </si>
  <si>
    <t>https://4ammedia.zendesk.com/agent/tickets/189804</t>
  </si>
  <si>
    <r>
      <rPr>
        <rFont val="Arial, sans-serif"/>
        <color rgb="FF1155CC"/>
        <u/>
      </rPr>
      <t>https://4ammedia.zendesk.com/agent/tickets/174926</t>
    </r>
  </si>
  <si>
    <r>
      <rPr>
        <rFont val="Arial, sans-serif"/>
        <color rgb="FF1155CC"/>
        <u/>
      </rPr>
      <t>https://4ammedia.zendesk.com/agent/tickets/177313</t>
    </r>
  </si>
  <si>
    <t>https://4ammedia.zendesk.com/agent/tickets/189914</t>
  </si>
  <si>
    <r>
      <rPr>
        <rFont val="Arial, sans-serif"/>
        <color rgb="FF1155CC"/>
        <u/>
      </rPr>
      <t>https://4ammedia.zendesk.com/agent/tickets/177379</t>
    </r>
  </si>
  <si>
    <t>https://assets.aircall.io/calls/3894006920/recording/info</t>
  </si>
  <si>
    <t>https://assets.aircall.io/calls/3894179319/recording/info</t>
  </si>
  <si>
    <r>
      <rPr>
        <rFont val="Arial, sans-serif"/>
        <color rgb="FF1155CC"/>
        <u/>
      </rPr>
      <t>https://4ammedia.zendesk.com/agent/tickets/177465</t>
    </r>
  </si>
  <si>
    <t>https://assets.aircall.io/calls/3893668333/recording/info</t>
  </si>
  <si>
    <r>
      <rPr>
        <rFont val="Arial, sans-serif"/>
        <color rgb="FF1155CC"/>
        <u/>
      </rPr>
      <t>https://4ammedia.zendesk.com/agent/tickets/178329</t>
    </r>
  </si>
  <si>
    <r>
      <rPr>
        <rFont val="Arial, sans-serif"/>
        <color rgb="FF1155CC"/>
        <u/>
      </rPr>
      <t>https://4ammedia.zendesk.com/agent/tickets/178013</t>
    </r>
  </si>
  <si>
    <r>
      <rPr>
        <rFont val="Arial, sans-serif"/>
        <color rgb="FF1155CC"/>
        <u/>
      </rPr>
      <t>https://4ammedia.zendesk.com/agent/tickets/178374</t>
    </r>
  </si>
  <si>
    <t>https://4ammedia.zendesk.com/agent/tickets/193096</t>
  </si>
  <si>
    <t>https://4ammedia.zendesk.com/agent/tickets/193383</t>
  </si>
  <si>
    <t>https://4ammedia.zendesk.com/agent/tickets/193536</t>
  </si>
  <si>
    <t>https://4ammedia.zendesk.com/agent/tickets/194847</t>
  </si>
  <si>
    <t>https://4ammedia.zendesk.com/agent/tickets/194996</t>
  </si>
  <si>
    <t>https://4ammedia.zendesk.com/agent/tickets/195066</t>
  </si>
  <si>
    <t>https://4ammedia.zendesk.com/agent/tickets/196337</t>
  </si>
  <si>
    <t>https://4ammedia.zendesk.com/agent/tickets/196577</t>
  </si>
  <si>
    <t>https://4ammedia.zendesk.com/agent/tickets/196612</t>
  </si>
  <si>
    <t xml:space="preserve">Week (June 29 -  July 5,2026) </t>
  </si>
  <si>
    <t>https://4ammedia.zendesk.com/agent/tickets/200108</t>
  </si>
  <si>
    <r>
      <rPr>
        <rFont val="Arial, sans-serif"/>
        <color rgb="FF1155CC"/>
        <u/>
      </rPr>
      <t>https://4ammedia.zendesk.com/agent/tickets/189794</t>
    </r>
  </si>
  <si>
    <r>
      <rPr>
        <rFont val="Arial, sans-serif"/>
        <color rgb="FF1155CC"/>
        <u/>
      </rPr>
      <t>https://4ammedia.zendesk.com/agent/tickets/190065</t>
    </r>
  </si>
  <si>
    <t>https://4ammedia.zendesk.com/agent/tickets/200445</t>
  </si>
  <si>
    <r>
      <rPr>
        <rFont val="Arial, sans-serif"/>
        <color rgb="FF1155CC"/>
        <u/>
      </rPr>
      <t>https://4ammedia.zendesk.com/agent/tickets/190248</t>
    </r>
  </si>
  <si>
    <r>
      <rPr>
        <rFont val="Arial, sans-serif"/>
        <color rgb="FF1155CC"/>
        <u/>
      </rPr>
      <t>https://4ammedia.zendesk.com/agent/tickets/194964</t>
    </r>
  </si>
  <si>
    <t>https://4ammedia.zendesk.com/agent/tickets/200878</t>
  </si>
  <si>
    <r>
      <rPr>
        <rFont val="Arial, sans-serif"/>
        <color rgb="FF1155CC"/>
        <u/>
      </rPr>
      <t>https://4ammedia.zendesk.com/agent/tickets/195174</t>
    </r>
  </si>
  <si>
    <t>https://4ammedia.zendesk.com/agent/tickets/202029</t>
  </si>
  <si>
    <r>
      <rPr>
        <rFont val="Arial, sans-serif"/>
        <color rgb="FF1155CC"/>
        <u/>
      </rPr>
      <t>https://4ammedia.zendesk.com/agent/tickets/195179</t>
    </r>
  </si>
  <si>
    <r>
      <rPr>
        <rFont val="Arial, sans-serif"/>
        <color rgb="FF1155CC"/>
        <u/>
      </rPr>
      <t>https://4ammedia.zendesk.com/agent/tickets/196323</t>
    </r>
  </si>
  <si>
    <t>https://4ammedia.zendesk.com/agent/tickets/202135</t>
  </si>
  <si>
    <r>
      <rPr>
        <rFont val="Arial, sans-serif"/>
        <color rgb="FF1155CC"/>
        <u/>
      </rPr>
      <t>https://4ammedia.zendesk.com/agent/tickets/196471</t>
    </r>
  </si>
  <si>
    <t>https://4ammedia.zendesk.com/agent/tickets/202257</t>
  </si>
  <si>
    <r>
      <rPr>
        <rFont val="Arial, sans-serif"/>
        <color rgb="FF1155CC"/>
        <u/>
      </rPr>
      <t>https://4ammedia.zendesk.com/agent/tickets/196673</t>
    </r>
  </si>
  <si>
    <t>https://4ammedia.zendesk.com/agent/tickets/204049</t>
  </si>
  <si>
    <r>
      <rPr>
        <rFont val="Arial, sans-serif"/>
        <color rgb="FF1155CC"/>
        <u/>
      </rPr>
      <t>https://4ammedia.zendesk.com/agent/tickets/197802</t>
    </r>
  </si>
  <si>
    <t>https://4ammedia.zendesk.com/agent/tickets/204266</t>
  </si>
  <si>
    <r>
      <rPr>
        <rFont val="Arial, sans-serif"/>
        <color rgb="FF1155CC"/>
        <u/>
      </rPr>
      <t>https://4ammedia.zendesk.com/agent/tickets/197887</t>
    </r>
  </si>
  <si>
    <t>https://4ammedia.zendesk.com/agent/tickets/204439</t>
  </si>
  <si>
    <r>
      <rPr>
        <rFont val="Arial, sans-serif"/>
        <color rgb="FF1155CC"/>
        <u/>
      </rPr>
      <t>https://4ammedia.zendesk.com/agent/tickets/197911</t>
    </r>
  </si>
  <si>
    <t>https://4ammedia.zendesk.com/agent/tickets/206348</t>
  </si>
  <si>
    <r>
      <rPr>
        <rFont val="Arial, sans-serif"/>
        <color rgb="FF1155CC"/>
        <u/>
      </rPr>
      <t>https://4ammedia.zendesk.com/agent/tickets/198965</t>
    </r>
  </si>
  <si>
    <r>
      <rPr>
        <rFont val="Arial, sans-serif"/>
        <color rgb="FF1155CC"/>
        <u/>
      </rPr>
      <t>https://4ammedia.zendesk.com/agent/tickets/199004</t>
    </r>
  </si>
  <si>
    <t>https://4ammedia.zendesk.com/agent/tickets/206501</t>
  </si>
  <si>
    <r>
      <rPr>
        <rFont val="Arial, sans-serif"/>
        <color rgb="FF1155CC"/>
        <u/>
      </rPr>
      <t>https://4ammedia.zendesk.com/agent/tickets/199037</t>
    </r>
  </si>
  <si>
    <t>https://4ammedia.zendesk.com/agent/tickets/206669</t>
  </si>
  <si>
    <r>
      <rPr>
        <rFont val="Arial, sans-serif"/>
        <color rgb="FF1155CC"/>
        <u/>
      </rPr>
      <t>https://4ammedia.zendesk.com/agent/tickets/200422</t>
    </r>
  </si>
  <si>
    <t>https://4ammedia.zendesk.com/agent/tickets/211561</t>
  </si>
  <si>
    <r>
      <rPr>
        <rFont val="Arial, sans-serif"/>
        <color rgb="FF1155CC"/>
        <u/>
      </rPr>
      <t>https://4ammedia.zendesk.com/agent/tickets/200644</t>
    </r>
  </si>
  <si>
    <r>
      <rPr>
        <rFont val="Arial, sans-serif"/>
        <color rgb="FF1155CC"/>
        <u/>
      </rPr>
      <t>https://4ammedia.zendesk.com/agent/tickets/200854</t>
    </r>
  </si>
  <si>
    <r>
      <rPr>
        <rFont val="Arial, sans-serif"/>
        <color rgb="FF1155CC"/>
        <u/>
      </rPr>
      <t>https://4ammedia.zendesk.com/agent/tickets/206385</t>
    </r>
  </si>
  <si>
    <t>https://4ammedia.zendesk.com/agent/tickets/211701</t>
  </si>
  <si>
    <r>
      <rPr>
        <rFont val="Arial, sans-serif"/>
        <color rgb="FF1155CC"/>
        <u/>
      </rPr>
      <t>https://4ammedia.zendesk.com/agent/tickets/206399</t>
    </r>
  </si>
  <si>
    <t>https://4ammedia.zendesk.com/agent/tickets/211968</t>
  </si>
  <si>
    <r>
      <rPr>
        <rFont val="Arial, sans-serif"/>
        <color rgb="FF1155CC"/>
        <u/>
      </rPr>
      <t>https://4ammedia.zendesk.com/agent/tickets/206579</t>
    </r>
  </si>
  <si>
    <t>https://4ammedia.zendesk.com/agent/tickets/213751</t>
  </si>
  <si>
    <r>
      <rPr>
        <rFont val="Arial, sans-serif"/>
        <color rgb="FF1155CC"/>
        <u/>
      </rPr>
      <t>https://4ammedia.zendesk.com/agent/tickets/208171</t>
    </r>
  </si>
  <si>
    <r>
      <rPr>
        <rFont val="Arial"/>
        <color rgb="FF1155CC"/>
        <u/>
      </rPr>
      <t>https://4ammedia.zendesk.com/agent/tickets/213877</t>
    </r>
  </si>
  <si>
    <r>
      <rPr>
        <rFont val="Arial, sans-serif"/>
        <color rgb="FF1155CC"/>
        <u/>
      </rPr>
      <t>https://4ammedia.zendesk.com/agent/tickets/208315</t>
    </r>
  </si>
  <si>
    <r>
      <rPr>
        <rFont val="Arial, sans-serif"/>
        <color rgb="FF1155CC"/>
        <u/>
      </rPr>
      <t>https://4ammedia.zendesk.com/agent/tickets/208362</t>
    </r>
  </si>
  <si>
    <t>https://4ammedia.zendesk.com/agent/tickets/214172</t>
  </si>
  <si>
    <r>
      <rPr>
        <rFont val="Arial, sans-serif"/>
        <color rgb="FF1155CC"/>
        <u/>
      </rPr>
      <t>https://4ammedia.zendesk.com/agent/tickets/209273</t>
    </r>
  </si>
  <si>
    <t>https://4ammedia.zendesk.com/agent/tickets/215432</t>
  </si>
  <si>
    <r>
      <rPr>
        <rFont val="Arial, sans-serif"/>
        <color rgb="FF1155CC"/>
        <u/>
      </rPr>
      <t>https://4ammedia.zendesk.com/agent/tickets/209394</t>
    </r>
  </si>
  <si>
    <t>https://4ammedia.zendesk.com/agent/tickets/215636</t>
  </si>
  <si>
    <r>
      <rPr>
        <rFont val="Arial, sans-serif"/>
        <color rgb="FF1155CC"/>
        <u/>
      </rPr>
      <t>https://4ammedia.zendesk.com/agent/tickets/209418</t>
    </r>
  </si>
  <si>
    <t>https://4ammedia.zendesk.com/agent/tickets/215806</t>
  </si>
  <si>
    <r>
      <rPr>
        <rFont val="Arial, sans-serif"/>
        <color rgb="FF1155CC"/>
        <u/>
      </rPr>
      <t>https://4ammedia.zendesk.com/agent/tickets/210531</t>
    </r>
  </si>
  <si>
    <t>https://4ammedia.zendesk.com/agent/tickets/217170</t>
  </si>
  <si>
    <r>
      <rPr>
        <rFont val="Arial, sans-serif"/>
        <color rgb="FF1155CC"/>
        <u/>
      </rPr>
      <t>https://4ammedia.zendesk.com/agent/tickets/210661</t>
    </r>
  </si>
  <si>
    <t>https://4ammedia.zendesk.com/agent/tickets/217281</t>
  </si>
  <si>
    <r>
      <rPr>
        <rFont val="Arial, sans-serif"/>
        <color rgb="FF1155CC"/>
        <u/>
      </rPr>
      <t>https://4ammedia.zendesk.com/agent/tickets/210664</t>
    </r>
  </si>
  <si>
    <t>https://4ammedia.zendesk.com/agent/tickets/217357</t>
  </si>
  <si>
    <r>
      <rPr>
        <rFont val="Arial, sans-serif"/>
        <color rgb="FF1155CC"/>
        <u/>
      </rPr>
      <t>https://4ammedia.zendesk.com/agent/tickets/211926</t>
    </r>
  </si>
  <si>
    <r>
      <rPr>
        <rFont val="Arial, sans-serif"/>
        <color rgb="FF1155CC"/>
        <u/>
      </rPr>
      <t>https://4ammedia.zendesk.com/agent/tickets/212101</t>
    </r>
  </si>
  <si>
    <t>https://4ammedia.zendesk.com/agent/tickets/227019</t>
  </si>
  <si>
    <r>
      <rPr>
        <rFont val="Arial, sans-serif"/>
        <color rgb="FF1155CC"/>
        <u/>
      </rPr>
      <t>https://4ammedia.zendesk.com/agent/tickets/212334</t>
    </r>
  </si>
  <si>
    <r>
      <rPr>
        <rFont val="Arial, sans-serif"/>
        <color rgb="FF1155CC"/>
        <u/>
      </rPr>
      <t>https://4ammedia.zendesk.com/agent/tickets/217526</t>
    </r>
  </si>
  <si>
    <t>https://4ammedia.zendesk.com/agent/tickets/227038</t>
  </si>
  <si>
    <r>
      <rPr>
        <rFont val="Arial, sans-serif"/>
        <color rgb="FF1155CC"/>
        <u/>
      </rPr>
      <t>https://4ammedia.zendesk.com/agent/tickets/217670</t>
    </r>
  </si>
  <si>
    <r>
      <rPr>
        <rFont val="Arial, sans-serif"/>
        <color rgb="FF1155CC"/>
        <u/>
      </rPr>
      <t>https://4ammedia.zendesk.com/agent/tickets/217754</t>
    </r>
  </si>
  <si>
    <t>https://4ammedia.zendesk.com/agent/tickets/227067</t>
  </si>
  <si>
    <r>
      <rPr>
        <rFont val="Arial, sans-serif"/>
        <color rgb="FF1155CC"/>
        <u/>
      </rPr>
      <t>https://4ammedia.zendesk.com/agent/tickets/219252</t>
    </r>
  </si>
  <si>
    <t>https://4ammedia.zendesk.com/agent/tickets/228158</t>
  </si>
  <si>
    <t>https://4ammedia.zendesk.com/agent/tickets/228281</t>
  </si>
  <si>
    <r>
      <rPr>
        <rFont val="Arial, sans-serif"/>
        <color rgb="FF1155CC"/>
        <u/>
      </rPr>
      <t>https://4ammedia.zendesk.com/agent/tickets/219484</t>
    </r>
  </si>
  <si>
    <t>https://4ammedia.zendesk.com/agent/tickets/228564</t>
  </si>
  <si>
    <r>
      <rPr>
        <rFont val="Arial, sans-serif"/>
        <color rgb="FF1155CC"/>
        <u/>
      </rPr>
      <t>https://4ammedia.zendesk.com/agent/tickets/219536</t>
    </r>
  </si>
  <si>
    <r>
      <rPr>
        <rFont val="Arial, sans-serif"/>
        <color rgb="FF1155CC"/>
        <u/>
      </rPr>
      <t>https://4ammedia.zendesk.com/agent/tickets/221118</t>
    </r>
  </si>
  <si>
    <t>https://4ammedia.zendesk.com/agent/tickets/230036</t>
  </si>
  <si>
    <r>
      <rPr>
        <rFont val="Arial, sans-serif"/>
        <color rgb="FF1155CC"/>
        <u/>
      </rPr>
      <t>https://4ammedia.zendesk.com/agent/tickets/221388</t>
    </r>
  </si>
  <si>
    <t>https://4ammedia.zendesk.com/agent/tickets/230255</t>
  </si>
  <si>
    <r>
      <rPr>
        <rFont val="Arial, sans-serif"/>
        <color rgb="FF1155CC"/>
        <u/>
      </rPr>
      <t>https://4ammedia.zendesk.com/agent/tickets/221412</t>
    </r>
  </si>
  <si>
    <t>https://4ammedia.zendesk.com/agent/tickets/230293</t>
  </si>
  <si>
    <r>
      <rPr>
        <rFont val="Arial, sans-serif"/>
        <color rgb="FF1155CC"/>
        <u/>
      </rPr>
      <t>https://4ammedia.zendesk.com/agent/tickets/224180</t>
    </r>
  </si>
  <si>
    <r>
      <rPr>
        <rFont val="Arial, sans-serif"/>
        <color rgb="FF1155CC"/>
        <u/>
      </rPr>
      <t>https://4ammedia.zendesk.com/agent/tickets/224428</t>
    </r>
  </si>
  <si>
    <r>
      <rPr>
        <rFont val="Arial"/>
        <color rgb="FF1155CC"/>
        <u/>
      </rPr>
      <t>https://4ammedia.zendesk.com/agent/tickets/236878</t>
    </r>
  </si>
  <si>
    <r>
      <rPr>
        <rFont val="Arial, sans-serif"/>
        <color rgb="FF1155CC"/>
        <u/>
      </rPr>
      <t>https://4ammedia.zendesk.com/agent/tickets/224720</t>
    </r>
  </si>
  <si>
    <r>
      <rPr>
        <rFont val="Arial, sans-serif"/>
        <color rgb="FF1155CC"/>
        <u/>
      </rPr>
      <t>https://4ammedia.zendesk.com/agent/tickets/230207</t>
    </r>
  </si>
  <si>
    <r>
      <rPr>
        <rFont val="Arial, sans-serif"/>
        <color rgb="FF1155CC"/>
        <u/>
      </rPr>
      <t>https://4ammedia.zendesk.com/agent/tickets/230436</t>
    </r>
  </si>
  <si>
    <r>
      <rPr>
        <rFont val="Arial, sans-serif"/>
        <color rgb="FF1155CC"/>
        <u/>
      </rPr>
      <t>https://4ammedia.zendesk.com/agent/tickets/230606</t>
    </r>
  </si>
  <si>
    <r>
      <rPr>
        <rFont val="Arial, sans-serif"/>
        <color rgb="FF1155CC"/>
        <u/>
      </rPr>
      <t>https://4ammedia.zendesk.com/agent/tickets/232412</t>
    </r>
  </si>
  <si>
    <r>
      <rPr>
        <rFont val="Arial, sans-serif"/>
        <color rgb="FF1155CC"/>
        <u/>
      </rPr>
      <t>https://4ammedia.zendesk.com/agent/tickets/232568</t>
    </r>
  </si>
  <si>
    <r>
      <rPr>
        <rFont val="Arial, sans-serif"/>
        <color rgb="FF1155CC"/>
        <u/>
      </rPr>
      <t>https://4ammedia.zendesk.com/agent/tickets/232629</t>
    </r>
  </si>
  <si>
    <r>
      <rPr>
        <rFont val="Arial, sans-serif"/>
        <color rgb="FF1155CC"/>
        <u/>
      </rPr>
      <t>https://4ammedia.zendesk.com/agent/tickets/233958</t>
    </r>
  </si>
  <si>
    <r>
      <rPr>
        <rFont val="Arial, sans-serif"/>
        <color rgb="FF1155CC"/>
        <u/>
      </rPr>
      <t>https://4ammedia.zendesk.com/agent/tickets/234047</t>
    </r>
  </si>
  <si>
    <r>
      <rPr>
        <rFont val="Arial, sans-serif"/>
        <color rgb="FF1155CC"/>
        <u/>
      </rPr>
      <t>https://4ammedia.zendesk.com/agent/tickets/234008</t>
    </r>
  </si>
  <si>
    <r>
      <rPr>
        <rFont val="Arial"/>
        <color rgb="FF1155CC"/>
        <u/>
      </rPr>
      <t>https://4ammedia.zendesk.com/agent/tickets/236921</t>
    </r>
  </si>
  <si>
    <r>
      <rPr>
        <rFont val="Arial, sans-serif"/>
        <color rgb="FF1155CC"/>
        <u/>
      </rPr>
      <t>https://4ammedia.zendesk.com/agent/tickets/237005</t>
    </r>
  </si>
  <si>
    <r>
      <rPr>
        <rFont val="Arial"/>
        <color rgb="FF1155CC"/>
        <u/>
      </rPr>
      <t>https://4ammedia.zendesk.com/agent/tickets/236975</t>
    </r>
  </si>
  <si>
    <r>
      <rPr>
        <rFont val="Arial, sans-serif"/>
        <color rgb="FF1155CC"/>
        <u/>
      </rPr>
      <t>https://4ammedia.zendesk.com/agent/tickets/237064</t>
    </r>
  </si>
  <si>
    <r>
      <rPr>
        <rFont val="Arial, sans-serif"/>
        <color rgb="FF1155CC"/>
        <u/>
      </rPr>
      <t>https://4ammedia.zendesk.com/agent/tickets/237281</t>
    </r>
  </si>
  <si>
    <r>
      <rPr>
        <rFont val="Arial, sans-serif"/>
        <color rgb="FF1155CC"/>
        <u/>
      </rPr>
      <t>https://4ammedia.zendesk.com/agent/tickets/243375</t>
    </r>
  </si>
  <si>
    <r>
      <rPr>
        <rFont val="Arial, sans-serif"/>
        <color rgb="FF1155CC"/>
        <u/>
      </rPr>
      <t>https://4ammedia.zendesk.com/agent/tickets/243530</t>
    </r>
  </si>
  <si>
    <r>
      <rPr>
        <rFont val="Arial, sans-serif"/>
        <color rgb="FF1155CC"/>
        <u/>
      </rPr>
      <t>https://4ammedia.zendesk.com/agent/tickets/243597</t>
    </r>
  </si>
  <si>
    <r>
      <rPr>
        <rFont val="Arial, sans-serif"/>
        <color rgb="FF1155CC"/>
        <u/>
      </rPr>
      <t>https://4ammedia.zendesk.com/agent/tickets/245482</t>
    </r>
  </si>
  <si>
    <r>
      <rPr>
        <rFont val="Arial"/>
        <color rgb="FF1155CC"/>
        <u/>
      </rPr>
      <t>https://4ammedia.zendesk.com/agent/tickets/238861</t>
    </r>
  </si>
  <si>
    <r>
      <rPr>
        <rFont val="Arial, sans-serif"/>
        <color rgb="FF1155CC"/>
        <u/>
      </rPr>
      <t>https://4ammedia.zendesk.com/agent/tickets/245630</t>
    </r>
  </si>
  <si>
    <r>
      <rPr>
        <rFont val="Arial, sans-serif"/>
        <color rgb="FF1155CC"/>
        <u/>
      </rPr>
      <t>https://4ammedia.zendesk.com/agent/tickets/245728</t>
    </r>
  </si>
  <si>
    <r>
      <rPr>
        <rFont val="Arial, sans-serif"/>
        <color rgb="FF1155CC"/>
        <u/>
      </rPr>
      <t>https://4ammedia.zendesk.com/agent/tickets/246811</t>
    </r>
  </si>
  <si>
    <r>
      <rPr>
        <rFont val="Arial, sans-serif"/>
        <color rgb="FF1155CC"/>
        <u/>
      </rPr>
      <t>https://4ammedia.zendesk.com/agent/tickets/246900</t>
    </r>
  </si>
  <si>
    <r>
      <rPr>
        <rFont val="Arial"/>
        <color rgb="FF1155CC"/>
        <u/>
      </rPr>
      <t>https://4ammedia.zendesk.com/agent/tickets/238954</t>
    </r>
  </si>
  <si>
    <r>
      <rPr>
        <rFont val="Arial, sans-serif"/>
        <color rgb="FF1155CC"/>
        <u/>
      </rPr>
      <t>https://4ammedia.zendesk.com/agent/tickets/246996</t>
    </r>
  </si>
  <si>
    <r>
      <rPr>
        <rFont val="Arial, sans-serif"/>
        <color rgb="FF1155CC"/>
        <u/>
      </rPr>
      <t>https://4ammedia.zendesk.com/agent/tickets/248385</t>
    </r>
  </si>
  <si>
    <r>
      <rPr>
        <rFont val="Arial, sans-serif"/>
        <color rgb="FF1155CC"/>
        <u/>
      </rPr>
      <t>https://4ammedia.zendesk.com/agent/tickets/248422</t>
    </r>
  </si>
  <si>
    <r>
      <rPr>
        <rFont val="Arial"/>
        <color rgb="FF1155CC"/>
        <u/>
      </rPr>
      <t>https://4ammedia.zendesk.com/agent/tickets/239074</t>
    </r>
  </si>
  <si>
    <r>
      <rPr>
        <rFont val="Arial, sans-serif"/>
        <color rgb="FF1155CC"/>
        <u/>
      </rPr>
      <t>https://4ammedia.zendesk.com/agent/tickets/248435</t>
    </r>
  </si>
  <si>
    <r>
      <rPr>
        <rFont val="Arial"/>
        <color rgb="FF1155CC"/>
        <u/>
      </rPr>
      <t>https://4ammedia.zendesk.com/agent/tickets/240593</t>
    </r>
  </si>
  <si>
    <r>
      <rPr>
        <rFont val="Arial, sans-serif"/>
        <color rgb="FF1155CC"/>
        <u/>
      </rPr>
      <t>https://4ammedia.zendesk.com/agent/tickets/249935</t>
    </r>
  </si>
  <si>
    <r>
      <rPr>
        <rFont val="Arial, sans-serif"/>
        <color rgb="FF1155CC"/>
        <u/>
      </rPr>
      <t>https://4ammedia.zendesk.com/agent/tickets/250118</t>
    </r>
  </si>
  <si>
    <r>
      <rPr>
        <rFont val="Arial"/>
        <color rgb="FF1155CC"/>
        <u/>
      </rPr>
      <t>https://4ammedia.zendesk.com/agent/tickets/240702</t>
    </r>
  </si>
  <si>
    <r>
      <rPr>
        <rFont val="Arial, sans-serif"/>
        <color rgb="FF1155CC"/>
        <u/>
      </rPr>
      <t>https://4ammedia.zendesk.com/agent/tickets/250321</t>
    </r>
  </si>
  <si>
    <r>
      <rPr>
        <rFont val="Arial"/>
        <color rgb="FF1155CC"/>
        <u/>
      </rPr>
      <t>https://4ammedia.zendesk.com/agent/tickets/240795</t>
    </r>
  </si>
  <si>
    <r>
      <rPr>
        <rFont val="Arial"/>
        <color rgb="FF1155CC"/>
        <u/>
      </rPr>
      <t>https://4ammedia.zendesk.com/agent/tickets/242818</t>
    </r>
  </si>
  <si>
    <r>
      <rPr>
        <rFont val="Arial, sans-serif"/>
        <color rgb="FF1155CC"/>
        <u/>
      </rPr>
      <t>https://4ammedia.zendesk.com/agent/tickets/256317</t>
    </r>
  </si>
  <si>
    <r>
      <rPr>
        <rFont val="Arial, sans-serif"/>
        <color rgb="FF1155CC"/>
        <u/>
      </rPr>
      <t>https://4ammedia.zendesk.com/agent/tickets/256417</t>
    </r>
  </si>
  <si>
    <r>
      <rPr>
        <rFont val="Arial"/>
        <color rgb="FF1155CC"/>
        <u/>
      </rPr>
      <t>https://4ammedia.zendesk.com/agent/tickets/242904</t>
    </r>
  </si>
  <si>
    <r>
      <rPr>
        <rFont val="Arial, sans-serif"/>
        <color rgb="FF1155CC"/>
        <u/>
      </rPr>
      <t>https://4ammedia.zendesk.com/agent/tickets/256576</t>
    </r>
  </si>
  <si>
    <r>
      <rPr>
        <rFont val="Arial, sans-serif"/>
        <color rgb="FF1155CC"/>
        <u/>
      </rPr>
      <t>https://4ammedia.zendesk.com/agent/tickets/257853</t>
    </r>
  </si>
  <si>
    <r>
      <rPr>
        <rFont val="Arial"/>
        <color rgb="FF1155CC"/>
        <u/>
      </rPr>
      <t>https://4ammedia.zendesk.com/agent/tickets/242978</t>
    </r>
  </si>
  <si>
    <r>
      <rPr>
        <rFont val="Arial"/>
        <color rgb="FF1155CC"/>
        <u/>
      </rPr>
      <t>https://4ammedia.zendesk.com/agent/tickets/244949</t>
    </r>
  </si>
  <si>
    <r>
      <rPr>
        <rFont val="Arial, sans-serif"/>
        <color rgb="FF1155CC"/>
        <u/>
      </rPr>
      <t>https://4ammedia.zendesk.com/agent/tickets/257899</t>
    </r>
  </si>
  <si>
    <r>
      <rPr>
        <rFont val="Arial"/>
        <color rgb="FF1155CC"/>
        <u/>
      </rPr>
      <t>https://4ammedia.zendesk.com/agent/tickets/245113</t>
    </r>
  </si>
  <si>
    <r>
      <rPr>
        <rFont val="Arial"/>
        <color rgb="FF1155CC"/>
        <u/>
      </rPr>
      <t>https://4ammedia.zendesk.com/agent/tickets/245174</t>
    </r>
  </si>
  <si>
    <r>
      <rPr>
        <rFont val="Arial, sans-serif"/>
        <color rgb="FF1155CC"/>
        <u/>
      </rPr>
      <t>https://4ammedia.zendesk.com/agent/tickets/257965</t>
    </r>
  </si>
  <si>
    <r>
      <rPr>
        <rFont val="Arial, sans-serif"/>
        <color rgb="FF1155CC"/>
        <u/>
      </rPr>
      <t>https://4ammedia.zendesk.com/agent/tickets/259953</t>
    </r>
  </si>
  <si>
    <r>
      <rPr>
        <rFont val="Arial, sans-serif"/>
        <color rgb="FF1155CC"/>
        <u/>
      </rPr>
      <t>https://4ammedia.zendesk.com/agent/tickets/260296</t>
    </r>
  </si>
  <si>
    <r>
      <rPr>
        <rFont val="Arial"/>
        <color rgb="FF1155CC"/>
        <u/>
      </rPr>
      <t>https://4ammedia.zendesk.com/agent/tickets/249692</t>
    </r>
  </si>
  <si>
    <r>
      <rPr>
        <rFont val="Arial, sans-serif"/>
        <color rgb="FF1155CC"/>
        <u/>
      </rPr>
      <t>https://4ammedia.zendesk.com/agent/tickets/260398</t>
    </r>
  </si>
  <si>
    <r>
      <rPr>
        <rFont val="Arial, sans-serif"/>
        <color rgb="FF1155CC"/>
        <u/>
      </rPr>
      <t>https://4ammedia.zendesk.com/agent/tickets/261436</t>
    </r>
  </si>
  <si>
    <r>
      <rPr>
        <rFont val="Arial"/>
        <color rgb="FF1155CC"/>
        <u/>
      </rPr>
      <t>https://4ammedia.zendesk.com/agent/tickets/249944</t>
    </r>
  </si>
  <si>
    <r>
      <rPr>
        <rFont val="Arial, sans-serif"/>
        <color rgb="FF1155CC"/>
        <u/>
      </rPr>
      <t>https://4ammedia.zendesk.com/agent/tickets/261644</t>
    </r>
  </si>
  <si>
    <r>
      <rPr>
        <rFont val="Arial"/>
        <color rgb="FF1155CC"/>
        <u/>
      </rPr>
      <t>https://4ammedia.zendesk.com/agent/tickets/250102</t>
    </r>
  </si>
  <si>
    <r>
      <rPr>
        <rFont val="Arial, sans-serif"/>
        <color rgb="FF1155CC"/>
        <u/>
      </rPr>
      <t>https://4ammedia.zendesk.com/agent/tickets/261780</t>
    </r>
  </si>
  <si>
    <r>
      <rPr>
        <rFont val="Arial"/>
        <color rgb="FF1155CC"/>
        <u/>
      </rPr>
      <t>https://4ammedia.zendesk.com/agent/tickets/252173</t>
    </r>
  </si>
  <si>
    <r>
      <rPr>
        <rFont val="Arial"/>
        <color rgb="FF1155CC"/>
        <u/>
      </rPr>
      <t>https://4ammedia.zendesk.com/agent/tickets/252323</t>
    </r>
  </si>
  <si>
    <r>
      <rPr>
        <rFont val="Arial, sans-serif"/>
        <color rgb="FF1155CC"/>
        <u/>
      </rPr>
      <t>https://4ammedia.zendesk.com/agent/tickets/263346</t>
    </r>
  </si>
  <si>
    <r>
      <rPr>
        <rFont val="Arial"/>
        <color rgb="FF1155CC"/>
        <u/>
      </rPr>
      <t>https://4ammedia.zendesk.com/agent/tickets/252429</t>
    </r>
  </si>
  <si>
    <r>
      <rPr>
        <rFont val="Arial"/>
        <color rgb="FF1155CC"/>
        <u/>
      </rPr>
      <t>https://4ammedia.zendesk.com/agent/tickets/253913</t>
    </r>
  </si>
  <si>
    <r>
      <rPr>
        <rFont val="Arial, sans-serif"/>
        <color rgb="FF1155CC"/>
        <u/>
      </rPr>
      <t>https://4ammedia.zendesk.com/agent/tickets/263668</t>
    </r>
  </si>
  <si>
    <r>
      <rPr>
        <rFont val="Arial"/>
        <color rgb="FF1155CC"/>
        <u/>
      </rPr>
      <t>https://4ammedia.zendesk.com/agent/tickets/254062</t>
    </r>
  </si>
  <si>
    <r>
      <rPr>
        <rFont val="Arial, sans-serif"/>
        <color rgb="FF1155CC"/>
        <u/>
      </rPr>
      <t>https://4ammedia.zendesk.com/agent/tickets/263941</t>
    </r>
  </si>
  <si>
    <r>
      <rPr>
        <rFont val="Arial"/>
        <color rgb="FF1155CC"/>
        <u/>
      </rPr>
      <t>https://4ammedia.zendesk.com/agent/tickets/254224</t>
    </r>
  </si>
  <si>
    <r>
      <rPr>
        <rFont val="Arial, sans-serif"/>
        <color rgb="FF1155CC"/>
        <u/>
      </rPr>
      <t>https://4ammedia.zendesk.com/agent/tickets/265482</t>
    </r>
  </si>
  <si>
    <r>
      <rPr>
        <rFont val="Arial"/>
        <color rgb="FF1155CC"/>
        <u/>
      </rPr>
      <t>https://4ammedia.zendesk.com/agent/tickets/254871</t>
    </r>
  </si>
  <si>
    <r>
      <rPr>
        <rFont val="Arial, sans-serif"/>
        <color rgb="FF1155CC"/>
        <u/>
      </rPr>
      <t>https://4ammedia.zendesk.com/agent/tickets/265674</t>
    </r>
  </si>
  <si>
    <r>
      <rPr>
        <rFont val="Arial"/>
        <color rgb="FF1155CC"/>
        <u/>
      </rPr>
      <t>https://4ammedia.zendesk.com/agent/tickets/256010</t>
    </r>
  </si>
  <si>
    <r>
      <rPr>
        <rFont val="Arial, sans-serif"/>
        <color rgb="FF1155CC"/>
        <u/>
      </rPr>
      <t>https://4ammedia.zendesk.com/agent/tickets/265739</t>
    </r>
  </si>
  <si>
    <r>
      <rPr>
        <rFont val="Arial"/>
        <color rgb="FF1155CC"/>
        <u/>
      </rPr>
      <t>https://4ammedia.zendesk.com/agent/tickets/256167</t>
    </r>
  </si>
  <si>
    <r>
      <rPr>
        <rFont val="Arial, sans-serif"/>
        <color rgb="FF1155CC"/>
        <u/>
      </rPr>
      <t>https://4ammedia.zendesk.com/agent/tickets/269704</t>
    </r>
  </si>
  <si>
    <r>
      <rPr>
        <rFont val="Arial, sans-serif"/>
        <color rgb="FF1155CC"/>
        <u/>
      </rPr>
      <t>https://4ammedia.zendesk.com/agent/tickets/269791</t>
    </r>
  </si>
  <si>
    <r>
      <rPr>
        <rFont val="Arial, sans-serif"/>
        <color rgb="FF1155CC"/>
        <u/>
      </rPr>
      <t>https://4ammedia.zendesk.com/agent/tickets/269964</t>
    </r>
  </si>
  <si>
    <r>
      <rPr>
        <rFont val="Arial"/>
        <color rgb="FF1155CC"/>
        <u/>
      </rPr>
      <t>https://4ammedia.zendesk.com/agent/tickets/257830</t>
    </r>
  </si>
  <si>
    <r>
      <rPr>
        <rFont val="Arial, sans-serif"/>
        <color rgb="FF1155CC"/>
        <u/>
      </rPr>
      <t>https://4ammedia.zendesk.com/agent/tickets/271150</t>
    </r>
  </si>
  <si>
    <r>
      <rPr>
        <rFont val="Arial"/>
        <color rgb="FF1155CC"/>
        <u/>
      </rPr>
      <t>https://4ammedia.zendesk.com/agent/tickets/258140</t>
    </r>
  </si>
  <si>
    <r>
      <rPr>
        <rFont val="Arial, sans-serif"/>
        <color rgb="FF1155CC"/>
        <u/>
      </rPr>
      <t>https://4ammedia.zendesk.com/agent/tickets/271203</t>
    </r>
  </si>
  <si>
    <r>
      <rPr>
        <rFont val="Arial, sans-serif"/>
        <color rgb="FF1155CC"/>
        <u/>
      </rPr>
      <t>https://4ammedia.zendesk.com/agent/tickets/271259</t>
    </r>
  </si>
  <si>
    <r>
      <rPr>
        <rFont val="Arial"/>
        <color rgb="FF1155CC"/>
        <u/>
      </rPr>
      <t>https://4ammedia.zendesk.com/agent/tickets/258184</t>
    </r>
  </si>
  <si>
    <r>
      <rPr>
        <rFont val="Arial, sans-serif"/>
        <color rgb="FF1155CC"/>
        <u/>
      </rPr>
      <t>https://4ammedia.zendesk.com/agent/tickets/274417</t>
    </r>
  </si>
  <si>
    <r>
      <rPr>
        <rFont val="Arial, sans-serif"/>
        <color rgb="FF1155CC"/>
        <u/>
      </rPr>
      <t>https://4ammedia.zendesk.com/agent/tickets/274617</t>
    </r>
  </si>
  <si>
    <r>
      <rPr>
        <rFont val="Arial, sans-serif"/>
        <color rgb="FF1155CC"/>
        <u/>
      </rPr>
      <t>https://4ammedia.zendesk.com/agent/tickets/274684</t>
    </r>
  </si>
  <si>
    <r>
      <rPr>
        <rFont val="Arial"/>
        <color rgb="FF1155CC"/>
        <u/>
      </rPr>
      <t>https://4ammedia.zendesk.com/agent/tickets/262574</t>
    </r>
  </si>
  <si>
    <r>
      <rPr>
        <rFont val="Arial, sans-serif"/>
        <color rgb="FF1155CC"/>
        <u/>
      </rPr>
      <t>https://4ammedia.zendesk.com/agent/tickets/276284</t>
    </r>
  </si>
  <si>
    <r>
      <rPr>
        <rFont val="Arial"/>
        <color rgb="FF1155CC"/>
        <u/>
      </rPr>
      <t>https://4ammedia.zendesk.com/agent/tickets/262672</t>
    </r>
  </si>
  <si>
    <r>
      <rPr>
        <rFont val="Arial, sans-serif"/>
        <color rgb="FF1155CC"/>
        <u/>
      </rPr>
      <t>https://4ammedia.zendesk.com/agent/tickets/276415</t>
    </r>
  </si>
  <si>
    <r>
      <rPr>
        <rFont val="Arial, sans-serif"/>
        <color rgb="FF1155CC"/>
        <u/>
      </rPr>
      <t>https://4ammedia.zendesk.com/agent/tickets/276644</t>
    </r>
  </si>
  <si>
    <r>
      <rPr>
        <rFont val="Arial, sans-serif"/>
        <color rgb="FF1155CC"/>
        <u/>
      </rPr>
      <t>https://4ammedia.zendesk.com/agent/tickets/278260</t>
    </r>
  </si>
  <si>
    <r>
      <rPr>
        <rFont val="Arial, sans-serif"/>
        <color rgb="FF1155CC"/>
        <u/>
      </rPr>
      <t>https://4ammedia.zendesk.com/agent/tickets/278380</t>
    </r>
  </si>
  <si>
    <r>
      <rPr>
        <rFont val="Arial"/>
        <color rgb="FF1155CC"/>
        <u/>
      </rPr>
      <t>https://4ammedia.zendesk.com/agent/tickets/262784</t>
    </r>
  </si>
  <si>
    <r>
      <rPr>
        <rFont val="Arial, sans-serif"/>
        <color rgb="FF1155CC"/>
        <u/>
      </rPr>
      <t>https://4ammedia.zendesk.com/agent/tickets/278403</t>
    </r>
  </si>
  <si>
    <r>
      <rPr>
        <rFont val="Arial, sans-serif"/>
        <color rgb="FF1155CC"/>
        <u/>
      </rPr>
      <t>https://4ammedia.zendesk.com/agent/tickets/282532</t>
    </r>
  </si>
  <si>
    <r>
      <rPr>
        <rFont val="Arial, sans-serif"/>
        <color rgb="FF1155CC"/>
        <u/>
      </rPr>
      <t>https://4ammedia.zendesk.com/agent/tickets/282636</t>
    </r>
  </si>
  <si>
    <r>
      <rPr>
        <rFont val="Arial, sans-serif"/>
        <color rgb="FF1155CC"/>
        <u/>
      </rPr>
      <t>https://4ammedia.zendesk.com/agent/tickets/282875</t>
    </r>
  </si>
  <si>
    <r>
      <rPr>
        <rFont val="Arial, sans-serif"/>
        <color rgb="FF1155CC"/>
        <u/>
      </rPr>
      <t>https://4ammedia.zendesk.com/agent/tickets/284247</t>
    </r>
  </si>
  <si>
    <r>
      <rPr>
        <rFont val="Arial, sans-serif"/>
        <color rgb="FF1155CC"/>
        <u/>
      </rPr>
      <t>https://4ammedia.zendesk.com/agent/tickets/284461</t>
    </r>
  </si>
  <si>
    <r>
      <rPr>
        <rFont val="Arial, sans-serif"/>
        <color rgb="FF1155CC"/>
        <u/>
      </rPr>
      <t>https://4ammedia.zendesk.com/agent/tickets/284629</t>
    </r>
  </si>
  <si>
    <r>
      <rPr>
        <rFont val="Arial"/>
        <color rgb="FF1155CC"/>
        <u/>
      </rPr>
      <t>https://4ammedia.zendesk.com/agent/tickets/267118</t>
    </r>
  </si>
  <si>
    <r>
      <rPr>
        <rFont val="Arial, sans-serif"/>
        <color rgb="FF1155CC"/>
        <u/>
      </rPr>
      <t>https://4ammedia.zendesk.com/agent/tickets/285871</t>
    </r>
  </si>
  <si>
    <r>
      <rPr>
        <rFont val="Arial, sans-serif"/>
        <color rgb="FF1155CC"/>
        <u/>
      </rPr>
      <t>https://4ammedia.zendesk.com/agent/tickets/286058</t>
    </r>
  </si>
  <si>
    <r>
      <rPr>
        <rFont val="Arial"/>
        <color rgb="FF1155CC"/>
        <u/>
      </rPr>
      <t>https://4ammedia.zendesk.com/agent/tickets/267248</t>
    </r>
  </si>
  <si>
    <r>
      <rPr>
        <rFont val="Arial, sans-serif"/>
        <color rgb="FF1155CC"/>
        <u/>
      </rPr>
      <t>https://4ammedia.zendesk.com/agent/tickets/286278</t>
    </r>
  </si>
  <si>
    <r>
      <rPr>
        <rFont val="Arial"/>
        <color rgb="FF1155CC"/>
        <u/>
      </rPr>
      <t>https://4ammedia.zendesk.com/agent/tickets/267387</t>
    </r>
  </si>
  <si>
    <r>
      <rPr>
        <rFont val="Arial"/>
        <color rgb="FF1155CC"/>
        <u/>
      </rPr>
      <t>https://4ammedia.zendesk.com/agent/tickets/269525</t>
    </r>
  </si>
  <si>
    <r>
      <rPr>
        <rFont val="Arial, sans-serif"/>
        <color rgb="FF1155CC"/>
        <u/>
      </rPr>
      <t>https://4ammedia.zendesk.com/agent/tickets/289270</t>
    </r>
  </si>
  <si>
    <r>
      <rPr>
        <rFont val="Arial"/>
        <color rgb="FF1155CC"/>
        <u/>
      </rPr>
      <t>https://4ammedia.zendesk.com/agent/tickets/269727</t>
    </r>
  </si>
  <si>
    <r>
      <rPr>
        <rFont val="Arial"/>
        <color rgb="FF1155CC"/>
        <u/>
      </rPr>
      <t>https://4ammedia.zendesk.com/agent/tickets/269773</t>
    </r>
  </si>
  <si>
    <r>
      <rPr>
        <rFont val="Arial"/>
        <color rgb="FF1155CC"/>
        <u/>
      </rPr>
      <t>https://4ammedia.zendesk.com/agent/tickets/270757</t>
    </r>
  </si>
  <si>
    <r>
      <rPr>
        <rFont val="Arial, sans-serif"/>
        <color rgb="FF1155CC"/>
        <u/>
      </rPr>
      <t>https://4ammedia.zendesk.com/agent/tickets/289642</t>
    </r>
  </si>
  <si>
    <r>
      <rPr>
        <rFont val="Arial"/>
        <color rgb="FF1155CC"/>
        <u/>
      </rPr>
      <t>https://4ammedia.zendesk.com/agent/tickets/270854</t>
    </r>
  </si>
  <si>
    <r>
      <rPr>
        <rFont val="Arial, sans-serif"/>
        <color rgb="FF1155CC"/>
        <u/>
      </rPr>
      <t>https://4ammedia.zendesk.com/agent/tickets/289913</t>
    </r>
  </si>
  <si>
    <r>
      <rPr>
        <rFont val="Arial, sans-serif"/>
        <color rgb="FF1155CC"/>
        <u/>
      </rPr>
      <t>https://4ammedia.zendesk.com/agent/tickets/295688</t>
    </r>
  </si>
  <si>
    <r>
      <rPr>
        <rFont val="Arial"/>
        <color rgb="FF1155CC"/>
        <u/>
      </rPr>
      <t>https://4ammedia.zendesk.com/agent/tickets/270902</t>
    </r>
  </si>
  <si>
    <r>
      <rPr>
        <rFont val="Arial, sans-serif"/>
        <color rgb="FF1155CC"/>
        <u/>
      </rPr>
      <t>https://4ammedia.zendesk.com/agent/tickets/295749</t>
    </r>
  </si>
  <si>
    <r>
      <rPr>
        <rFont val="Arial"/>
        <color rgb="FF1155CC"/>
        <u/>
      </rPr>
      <t>https://4ammedia.zendesk.com/agent/tickets/272879</t>
    </r>
  </si>
  <si>
    <r>
      <rPr>
        <rFont val="Arial, sans-serif"/>
        <color rgb="FF1155CC"/>
        <u/>
      </rPr>
      <t>https://4ammedia.zendesk.com/agent/tickets/295917</t>
    </r>
  </si>
  <si>
    <r>
      <rPr>
        <rFont val="Arial"/>
        <color rgb="FF1155CC"/>
        <u/>
      </rPr>
      <t>https://4ammedia.zendesk.com/agent/tickets/272995</t>
    </r>
  </si>
  <si>
    <r>
      <rPr>
        <rFont val="Arial"/>
        <color rgb="FF1155CC"/>
        <u/>
      </rPr>
      <t>https://4ammedia.zendesk.com/agent/tickets/273006</t>
    </r>
  </si>
  <si>
    <r>
      <rPr>
        <rFont val="Arial, sans-serif"/>
        <color rgb="FF1155CC"/>
        <u/>
      </rPr>
      <t>https://4ammedia.zendesk.com/agent/tickets/297062</t>
    </r>
  </si>
  <si>
    <r>
      <rPr>
        <rFont val="Arial, sans-serif"/>
        <color rgb="FF1155CC"/>
        <u/>
      </rPr>
      <t>https://4ammedia.zendesk.com/agent/tickets/297229</t>
    </r>
  </si>
  <si>
    <r>
      <rPr>
        <rFont val="Arial, sans-serif"/>
        <color rgb="FF1155CC"/>
        <u/>
      </rPr>
      <t>https://4ammedia.zendesk.com/agent/tickets/297265</t>
    </r>
  </si>
  <si>
    <r>
      <rPr>
        <rFont val="Arial"/>
        <color rgb="FF1155CC"/>
        <u/>
      </rPr>
      <t>https://4ammedia.zendesk.com/agent/tickets/275877</t>
    </r>
  </si>
  <si>
    <r>
      <rPr>
        <rFont val="Arial, sans-serif"/>
        <color rgb="FF1155CC"/>
        <u/>
      </rPr>
      <t>https://4ammedia.zendesk.com/agent/tickets/299192</t>
    </r>
  </si>
  <si>
    <r>
      <rPr>
        <rFont val="Arial, sans-serif"/>
        <color rgb="FF1155CC"/>
        <u/>
      </rPr>
      <t>https://4ammedia.zendesk.com/agent/tickets/299524</t>
    </r>
  </si>
  <si>
    <r>
      <rPr>
        <rFont val="Arial"/>
        <color rgb="FF1155CC"/>
        <u/>
      </rPr>
      <t>https://4ammedia.zendesk.com/agent/tickets/276065</t>
    </r>
  </si>
  <si>
    <r>
      <rPr>
        <rFont val="Arial, sans-serif"/>
        <color rgb="FF1155CC"/>
        <u/>
      </rPr>
      <t>https://4ammedia.zendesk.com/agent/tickets/299598</t>
    </r>
  </si>
  <si>
    <r>
      <rPr>
        <rFont val="Arial, sans-serif"/>
        <color rgb="FF1155CC"/>
        <u/>
      </rPr>
      <t>https://4ammedia.zendesk.com/agent/tickets/300567</t>
    </r>
  </si>
  <si>
    <r>
      <rPr>
        <rFont val="Arial"/>
        <color rgb="FF1155CC"/>
        <u/>
      </rPr>
      <t>https://4ammedia.zendesk.com/agent/tickets/276279</t>
    </r>
  </si>
  <si>
    <r>
      <rPr>
        <rFont val="Arial, sans-serif"/>
        <color rgb="FF1155CC"/>
        <u/>
      </rPr>
      <t>https://4ammedia.zendesk.com/agent/tickets/300682</t>
    </r>
  </si>
  <si>
    <r>
      <rPr>
        <rFont val="Arial"/>
        <color rgb="FF1155CC"/>
        <u/>
      </rPr>
      <t>https://4ammedia.zendesk.com/agent/tickets/278157</t>
    </r>
  </si>
  <si>
    <r>
      <rPr>
        <rFont val="Arial, sans-serif"/>
        <color rgb="FF1155CC"/>
        <u/>
      </rPr>
      <t>https://4ammedia.zendesk.com/agent/tickets/300708</t>
    </r>
  </si>
  <si>
    <r>
      <rPr>
        <rFont val="Arial"/>
        <color rgb="FF1155CC"/>
        <u/>
      </rPr>
      <t>https://4ammedia.zendesk.com/agent/tickets/278435</t>
    </r>
  </si>
  <si>
    <r>
      <rPr>
        <rFont val="Arial"/>
        <color rgb="FF1155CC"/>
        <u/>
      </rPr>
      <t>https://4ammedia.zendesk.com/agent/tickets/278552</t>
    </r>
  </si>
  <si>
    <r>
      <rPr>
        <rFont val="Arial, sans-serif"/>
        <color rgb="FF1155CC"/>
        <u/>
      </rPr>
      <t>https://4ammedia.zendesk.com/agent/tickets/302235</t>
    </r>
  </si>
  <si>
    <r>
      <rPr>
        <rFont val="Arial"/>
        <color rgb="FF1155CC"/>
        <u/>
      </rPr>
      <t>https://4ammedia.zendesk.com/agent/tickets/279959</t>
    </r>
  </si>
  <si>
    <r>
      <rPr>
        <rFont val="Arial"/>
        <color rgb="FF1155CC"/>
        <u/>
      </rPr>
      <t>https://4ammedia.zendesk.com/agent/tickets/280128</t>
    </r>
  </si>
  <si>
    <r>
      <rPr>
        <rFont val="Arial, sans-serif"/>
        <color rgb="FF1155CC"/>
        <u/>
      </rPr>
      <t>https://4ammedia.zendesk.com/agent/tickets/302366</t>
    </r>
  </si>
  <si>
    <r>
      <rPr>
        <rFont val="Arial"/>
        <color rgb="FF1155CC"/>
        <u/>
      </rPr>
      <t>https://4ammedia.zendesk.com/agent/tickets/280241</t>
    </r>
  </si>
  <si>
    <r>
      <rPr>
        <rFont val="Arial, sans-serif"/>
        <color rgb="FF1155CC"/>
        <u/>
      </rPr>
      <t>https://4ammedia.zendesk.com/agent/tickets/302607</t>
    </r>
  </si>
  <si>
    <r>
      <rPr>
        <rFont val="Arial, sans-serif"/>
        <color rgb="FF1155CC"/>
        <u/>
      </rPr>
      <t>https://4ammedia.zendesk.com/agent/tickets/308917</t>
    </r>
  </si>
  <si>
    <r>
      <rPr>
        <rFont val="Arial, sans-serif"/>
        <color rgb="FF1155CC"/>
        <u/>
      </rPr>
      <t>https://4ammedia.zendesk.com/agent/tickets/309017</t>
    </r>
  </si>
  <si>
    <r>
      <rPr>
        <rFont val="Arial, sans-serif"/>
        <color rgb="FF1155CC"/>
        <u/>
      </rPr>
      <t>https://4ammedia.zendesk.com/agent/tickets/309164</t>
    </r>
  </si>
  <si>
    <r>
      <rPr>
        <rFont val="Arial, sans-serif"/>
        <color rgb="FF1155CC"/>
        <u/>
      </rPr>
      <t>https://4ammedia.zendesk.com/agent/tickets/310393</t>
    </r>
  </si>
  <si>
    <r>
      <rPr>
        <rFont val="Arial"/>
        <color rgb="FF1155CC"/>
        <u/>
      </rPr>
      <t>https://4ammedia.zendesk.com/agent/tickets/288849</t>
    </r>
  </si>
  <si>
    <r>
      <rPr>
        <rFont val="Arial, sans-serif"/>
        <color rgb="FF1155CC"/>
        <u/>
      </rPr>
      <t>https://4ammedia.zendesk.com/agent/tickets/310629</t>
    </r>
  </si>
  <si>
    <r>
      <rPr>
        <rFont val="Arial, sans-serif"/>
        <color rgb="FF1155CC"/>
        <u/>
      </rPr>
      <t>https://4ammedia.zendesk.com/agent/tickets/310726</t>
    </r>
  </si>
  <si>
    <r>
      <rPr>
        <rFont val="Arial, sans-serif"/>
        <color rgb="FF1155CC"/>
        <u/>
      </rPr>
      <t>https://4ammedia.zendesk.com/agent/tickets/312266</t>
    </r>
  </si>
  <si>
    <r>
      <rPr>
        <rFont val="Arial"/>
        <color rgb="FF1155CC"/>
        <u/>
      </rPr>
      <t>https://4ammedia.zendesk.com/agent/tickets/289084</t>
    </r>
  </si>
  <si>
    <r>
      <rPr>
        <rFont val="Arial, sans-serif"/>
        <color rgb="FF1155CC"/>
        <u/>
      </rPr>
      <t>https://4ammedia.zendesk.com/agent/tickets/312395</t>
    </r>
  </si>
  <si>
    <r>
      <rPr>
        <rFont val="Arial"/>
        <color rgb="FF1155CC"/>
        <u/>
      </rPr>
      <t>https://4ammedia.zendesk.com/agent/tickets/289245</t>
    </r>
  </si>
  <si>
    <r>
      <rPr>
        <rFont val="Arial, sans-serif"/>
        <color rgb="FF1155CC"/>
        <u/>
      </rPr>
      <t>https://4ammedia.zendesk.com/agent/tickets/312564</t>
    </r>
  </si>
  <si>
    <r>
      <rPr>
        <rFont val="Arial, sans-serif"/>
        <color rgb="FF1155CC"/>
        <u/>
      </rPr>
      <t>https://4ammedia.zendesk.com/agent/tickets/313850</t>
    </r>
  </si>
  <si>
    <r>
      <rPr>
        <rFont val="Arial"/>
        <color rgb="FF1155CC"/>
        <u/>
      </rPr>
      <t>https://4ammedia.zendesk.com/agent/tickets/290991</t>
    </r>
  </si>
  <si>
    <r>
      <rPr>
        <rFont val="Arial, sans-serif"/>
        <color rgb="FF1155CC"/>
        <u/>
      </rPr>
      <t>https://4ammedia.zendesk.com/agent/tickets/314095</t>
    </r>
  </si>
  <si>
    <r>
      <rPr>
        <rFont val="Arial"/>
        <color rgb="FF1155CC"/>
        <u/>
      </rPr>
      <t>https://4ammedia.zendesk.com/agent/tickets/291206</t>
    </r>
  </si>
  <si>
    <r>
      <rPr>
        <rFont val="Arial, sans-serif"/>
        <color rgb="FF1155CC"/>
        <u/>
      </rPr>
      <t>https://4ammedia.zendesk.com/agent/tickets/314161</t>
    </r>
  </si>
  <si>
    <r>
      <rPr>
        <rFont val="Arial"/>
        <color rgb="FF1155CC"/>
        <u/>
      </rPr>
      <t>https://4ammedia.zendesk.com/agent/tickets/291353</t>
    </r>
  </si>
  <si>
    <r>
      <rPr>
        <rFont val="Arial, sans-serif"/>
        <color rgb="FF1155CC"/>
        <u/>
      </rPr>
      <t>https://4ammedia.zendesk.com/agent/tickets/316085</t>
    </r>
  </si>
  <si>
    <r>
      <rPr>
        <rFont val="Arial"/>
        <color rgb="FF1155CC"/>
        <u/>
      </rPr>
      <t>https://4ammedia.zendesk.com/agent/tickets/293653</t>
    </r>
  </si>
  <si>
    <r>
      <rPr>
        <rFont val="Arial"/>
        <color rgb="FF1155CC"/>
        <u/>
      </rPr>
      <t>https://4ammedia.zendesk.com/agent/tickets/293750</t>
    </r>
  </si>
  <si>
    <r>
      <rPr>
        <rFont val="Arial"/>
        <color rgb="FF1155CC"/>
        <u/>
      </rPr>
      <t>https://4ammedia.zendesk.com/agent/tickets/293900</t>
    </r>
  </si>
  <si>
    <r>
      <rPr>
        <rFont val="Arial, sans-serif"/>
        <color rgb="FF1155CC"/>
        <u/>
      </rPr>
      <t>https://4ammedia.zendesk.com/agent/tickets/316231</t>
    </r>
  </si>
  <si>
    <r>
      <rPr>
        <rFont val="Arial"/>
        <color rgb="FF1155CC"/>
        <u/>
      </rPr>
      <t>https://4ammedia.zendesk.com/agent/tickets/297083</t>
    </r>
  </si>
  <si>
    <r>
      <rPr>
        <rFont val="Arial, sans-serif"/>
        <color rgb="FF1155CC"/>
        <u/>
      </rPr>
      <t>https://4ammedia.zendesk.com/agent/tickets/316395</t>
    </r>
  </si>
  <si>
    <r>
      <rPr>
        <rFont val="Arial"/>
        <color rgb="FF1155CC"/>
        <u/>
      </rPr>
      <t>https://4ammedia.zendesk.com/agent/tickets/297306</t>
    </r>
  </si>
  <si>
    <r>
      <rPr>
        <rFont val="Arial, sans-serif"/>
        <color rgb="FF1155CC"/>
        <u/>
      </rPr>
      <t>https://4ammedia.zendesk.com/agent/tickets/324870</t>
    </r>
  </si>
  <si>
    <r>
      <rPr>
        <rFont val="Arial"/>
        <color rgb="FF1155CC"/>
        <u/>
      </rPr>
      <t>https://4ammedia.zendesk.com/agent/tickets/297409</t>
    </r>
  </si>
  <si>
    <r>
      <rPr>
        <rFont val="Arial, sans-serif"/>
        <color rgb="FF1155CC"/>
        <u/>
      </rPr>
      <t>https://4ammedia.zendesk.com/agent/tickets/325171</t>
    </r>
  </si>
  <si>
    <r>
      <rPr>
        <rFont val="Arial, sans-serif"/>
        <color rgb="FF1155CC"/>
        <u/>
      </rPr>
      <t>https://4ammedia.zendesk.com/agent/tickets/325290</t>
    </r>
  </si>
  <si>
    <r>
      <rPr>
        <rFont val="Arial, sans-serif"/>
        <color rgb="FF1155CC"/>
        <u/>
      </rPr>
      <t>https://4ammedia.zendesk.com/agent/tickets/326781</t>
    </r>
  </si>
  <si>
    <r>
      <rPr>
        <rFont val="Arial, sans-serif"/>
        <color rgb="FF1155CC"/>
        <u/>
      </rPr>
      <t>https://4ammedia.zendesk.com/agent/tickets/326881</t>
    </r>
  </si>
  <si>
    <r>
      <rPr>
        <rFont val="Arial"/>
        <color rgb="FF1155CC"/>
        <u/>
      </rPr>
      <t>https://4ammedia.zendesk.com/agent/tickets/301976</t>
    </r>
  </si>
  <si>
    <r>
      <rPr>
        <rFont val="Arial, sans-serif"/>
        <color rgb="FF1155CC"/>
        <u/>
      </rPr>
      <t>https://4ammedia.zendesk.com/agent/tickets/326925</t>
    </r>
  </si>
  <si>
    <r>
      <rPr>
        <rFont val="Arial, sans-serif"/>
        <color rgb="FF1155CC"/>
        <u/>
      </rPr>
      <t>https://4ammedia.zendesk.com/agent/tickets/328083</t>
    </r>
  </si>
  <si>
    <r>
      <rPr>
        <rFont val="Arial, sans-serif"/>
        <color rgb="FF1155CC"/>
        <u/>
      </rPr>
      <t>https://4ammedia.zendesk.com/agent/tickets/328097</t>
    </r>
  </si>
  <si>
    <r>
      <rPr>
        <rFont val="Arial"/>
        <color rgb="FF1155CC"/>
        <u/>
      </rPr>
      <t>https://4ammedia.zendesk.com/agent/tickets/302057</t>
    </r>
  </si>
  <si>
    <r>
      <rPr>
        <rFont val="Arial, sans-serif"/>
        <color rgb="FF1155CC"/>
        <u/>
      </rPr>
      <t>https://4ammedia.zendesk.com/agent/tickets/328119</t>
    </r>
  </si>
  <si>
    <r>
      <rPr>
        <rFont val="Arial"/>
        <color rgb="FF1155CC"/>
        <u/>
      </rPr>
      <t>https://4ammedia.zendesk.com/agent/tickets/302082</t>
    </r>
  </si>
  <si>
    <r>
      <rPr>
        <rFont val="Arial"/>
        <color rgb="FF1155CC"/>
        <u/>
      </rPr>
      <t>https://4ammedia.zendesk.com/agent/tickets/303975</t>
    </r>
  </si>
  <si>
    <r>
      <rPr>
        <rFont val="Arial"/>
        <color rgb="FF1155CC"/>
        <u/>
      </rPr>
      <t>https://4ammedia.zendesk.com/agent/tickets/304232</t>
    </r>
  </si>
  <si>
    <r>
      <rPr>
        <rFont val="Arial, sans-serif"/>
        <color rgb="FF1155CC"/>
        <u/>
      </rPr>
      <t>https://4ammedia.zendesk.com/agent/tickets/329516</t>
    </r>
  </si>
  <si>
    <r>
      <rPr>
        <rFont val="Arial"/>
        <color rgb="FF1155CC"/>
        <u/>
      </rPr>
      <t>https://4ammedia.zendesk.com/agent/tickets/304306</t>
    </r>
  </si>
  <si>
    <r>
      <rPr>
        <rFont val="Arial"/>
        <color rgb="FF1155CC"/>
        <u/>
      </rPr>
      <t>https://4ammedia.zendesk.com/agent/tickets/305911</t>
    </r>
  </si>
  <si>
    <r>
      <rPr>
        <rFont val="Arial"/>
        <color rgb="FF1155CC"/>
        <u/>
      </rPr>
      <t>https://4ammedia.zendesk.com/agent/tickets/305982</t>
    </r>
  </si>
  <si>
    <r>
      <rPr>
        <rFont val="Arial"/>
        <color rgb="FF1155CC"/>
        <u/>
      </rPr>
      <t>https://4ammedia.zendesk.com/agent/tickets/306105</t>
    </r>
  </si>
  <si>
    <r>
      <rPr>
        <rFont val="Arial, sans-serif"/>
        <color rgb="FF1155CC"/>
        <u/>
      </rPr>
      <t>https://4ammedia.zendesk.com/agent/tickets/329611</t>
    </r>
  </si>
  <si>
    <r>
      <rPr>
        <rFont val="Arial, sans-serif"/>
        <color rgb="FF1155CC"/>
        <u/>
      </rPr>
      <t>https://4ammedia.zendesk.com/agent/tickets/329678</t>
    </r>
  </si>
  <si>
    <r>
      <rPr>
        <rFont val="Arial, sans-serif"/>
        <color rgb="FF1155CC"/>
        <u/>
      </rPr>
      <t>https://4ammedia.zendesk.com/agent/tickets/331530</t>
    </r>
  </si>
  <si>
    <t>https://4ammedia.zendesk.com/agent/tickets/314970</t>
  </si>
  <si>
    <r>
      <rPr>
        <rFont val="Arial, sans-serif"/>
        <color rgb="FF1155CC"/>
        <u/>
      </rPr>
      <t>https://4ammedia.zendesk.com/agent/tickets/331590</t>
    </r>
  </si>
  <si>
    <r>
      <rPr>
        <rFont val="Arial, sans-serif"/>
        <color rgb="FF1155CC"/>
        <u/>
      </rPr>
      <t>https://4ammedia.zendesk.com/agent/tickets/331703</t>
    </r>
  </si>
  <si>
    <r>
      <rPr>
        <rFont val="Arial, sans-serif"/>
        <color rgb="FF1155CC"/>
        <u/>
      </rPr>
      <t>https://4ammedia.zendesk.com/agent/tickets/340506</t>
    </r>
  </si>
  <si>
    <t>https://4ammedia.zendesk.com/agent/tickets/315089</t>
  </si>
  <si>
    <r>
      <rPr>
        <rFont val="Arial, sans-serif"/>
        <color rgb="FF1155CC"/>
        <u/>
      </rPr>
      <t>https://4ammedia.zendesk.com/agent/tickets/340657</t>
    </r>
  </si>
  <si>
    <t>https://4ammedia.zendesk.com/agent/tickets/315138</t>
  </si>
  <si>
    <r>
      <rPr>
        <rFont val="Arial, sans-serif"/>
        <color rgb="FF1155CC"/>
        <u/>
      </rPr>
      <t>https://4ammedia.zendesk.com/agent/tickets/340814</t>
    </r>
  </si>
  <si>
    <r>
      <rPr>
        <rFont val="Arial"/>
        <color rgb="FF1155CC"/>
        <u/>
      </rPr>
      <t>https://4ammedia.zendesk.com/agent/tickets/321893</t>
    </r>
  </si>
  <si>
    <r>
      <rPr>
        <rFont val="Arial, sans-serif"/>
        <color rgb="FF1155CC"/>
        <u/>
      </rPr>
      <t>https://4ammedia.zendesk.com/agent/tickets/343972</t>
    </r>
  </si>
  <si>
    <r>
      <rPr>
        <rFont val="Arial"/>
        <color rgb="FF1155CC"/>
        <u/>
      </rPr>
      <t>https://4ammedia.zendesk.com/agent/tickets/322065</t>
    </r>
  </si>
  <si>
    <r>
      <rPr>
        <rFont val="Arial, sans-serif"/>
        <color rgb="FF1155CC"/>
        <u/>
      </rPr>
      <t>https://4ammedia.zendesk.com/agent/tickets/344432</t>
    </r>
  </si>
  <si>
    <r>
      <rPr>
        <rFont val="Arial"/>
        <color rgb="FF1155CC"/>
        <u/>
      </rPr>
      <t>https://4ammedia.zendesk.com/agent/tickets/322252</t>
    </r>
  </si>
  <si>
    <r>
      <rPr>
        <rFont val="Arial, sans-serif"/>
        <color rgb="FF1155CC"/>
        <u/>
      </rPr>
      <t>https://4ammedia.zendesk.com/agent/tickets/344475</t>
    </r>
  </si>
  <si>
    <r>
      <rPr>
        <rFont val="Arial"/>
        <color rgb="FF1155CC"/>
        <u/>
      </rPr>
      <t>https://4ammedia.zendesk.com/agent/tickets/324679</t>
    </r>
  </si>
  <si>
    <r>
      <rPr>
        <rFont val="Arial, sans-serif"/>
        <color rgb="FF1155CC"/>
        <u/>
      </rPr>
      <t>https://4ammedia.zendesk.com/agent/tickets/346516</t>
    </r>
  </si>
  <si>
    <r>
      <rPr>
        <rFont val="Arial"/>
        <color rgb="FF1155CC"/>
        <u/>
      </rPr>
      <t>https://4ammedia.zendesk.com/agent/tickets/324876</t>
    </r>
  </si>
  <si>
    <r>
      <rPr>
        <rFont val="Arial, sans-serif"/>
        <color rgb="FF1155CC"/>
        <u/>
      </rPr>
      <t>https://4ammedia.zendesk.com/agent/tickets/346734</t>
    </r>
  </si>
  <si>
    <r>
      <rPr>
        <rFont val="Arial, sans-serif"/>
        <color rgb="FF1155CC"/>
        <u/>
      </rPr>
      <t>https://4ammedia.zendesk.com/agent/tickets/346795</t>
    </r>
  </si>
  <si>
    <r>
      <rPr>
        <rFont val="Arial"/>
        <color rgb="FF1155CC"/>
        <u/>
      </rPr>
      <t>https://4ammedia.zendesk.com/agent/tickets/325124</t>
    </r>
  </si>
  <si>
    <r>
      <rPr>
        <rFont val="Arial"/>
        <color rgb="FF1155CC"/>
        <u/>
      </rPr>
      <t>https://4ammedia.zendesk.com/agent/tickets/317856</t>
    </r>
  </si>
  <si>
    <r>
      <rPr>
        <rFont val="Arial, sans-serif"/>
        <color rgb="FF1155CC"/>
        <u/>
      </rPr>
      <t>https://4ammedia.zendesk.com/agent/tickets/350624</t>
    </r>
  </si>
  <si>
    <r>
      <rPr>
        <rFont val="Arial, sans-serif"/>
        <color rgb="FF1155CC"/>
        <u/>
      </rPr>
      <t>https://4ammedia.zendesk.com/agent/tickets/350966</t>
    </r>
  </si>
  <si>
    <r>
      <rPr>
        <rFont val="Arial"/>
        <color rgb="FF1155CC"/>
        <u/>
      </rPr>
      <t>https://4ammedia.zendesk.com/agent/tickets/318083</t>
    </r>
  </si>
  <si>
    <r>
      <rPr>
        <rFont val="Arial, sans-serif"/>
        <color rgb="FF1155CC"/>
        <u/>
      </rPr>
      <t>https://4ammedia.zendesk.com/agent/tickets/351370</t>
    </r>
  </si>
  <si>
    <r>
      <rPr>
        <rFont val="Arial"/>
        <color rgb="FF1155CC"/>
        <u/>
      </rPr>
      <t>https://4ammedia.zendesk.com/agent/tickets/318268</t>
    </r>
  </si>
  <si>
    <r>
      <rPr>
        <rFont val="Arial, sans-serif"/>
        <color rgb="FF1155CC"/>
        <u/>
      </rPr>
      <t>https://4ammedia.zendesk.com/agent/tickets/358018</t>
    </r>
  </si>
  <si>
    <t>https://4ammedia.zendesk.com/agent/tickets/319527</t>
  </si>
  <si>
    <r>
      <rPr>
        <rFont val="Arial, sans-serif"/>
        <color rgb="FF1155CC"/>
        <u/>
      </rPr>
      <t>https://4ammedia.zendesk.com/agent/tickets/358299</t>
    </r>
  </si>
  <si>
    <t>https://4ammedia.zendesk.com/agent/tickets/319714</t>
  </si>
  <si>
    <r>
      <rPr>
        <rFont val="Arial, sans-serif"/>
        <color rgb="FF1155CC"/>
        <u/>
      </rPr>
      <t>https://4ammedia.zendesk.com/agent/tickets/358529</t>
    </r>
  </si>
  <si>
    <t>https://4ammedia.zendesk.com/agent/tickets/319775</t>
  </si>
  <si>
    <r>
      <rPr>
        <rFont val="Arial, sans-serif"/>
        <color rgb="FF1155CC"/>
        <u/>
      </rPr>
      <t>https://4ammedia.zendesk.com/agent/tickets/361359</t>
    </r>
  </si>
  <si>
    <r>
      <rPr>
        <rFont val="Arial, sans-serif"/>
        <color rgb="FF1155CC"/>
        <u/>
      </rPr>
      <t>https://4ammedia.zendesk.com/agent/tickets/361581</t>
    </r>
  </si>
  <si>
    <r>
      <rPr>
        <rFont val="Arial, sans-serif"/>
        <color rgb="FF1155CC"/>
        <u/>
      </rPr>
      <t>https://4ammedia.zendesk.com/agent/tickets/361867</t>
    </r>
  </si>
  <si>
    <r>
      <rPr>
        <rFont val="Arial, sans-serif"/>
        <color rgb="FF1155CC"/>
        <u/>
      </rPr>
      <t>https://4ammedia.zendesk.com/agent/tickets/363752</t>
    </r>
  </si>
  <si>
    <r>
      <rPr>
        <rFont val="Arial, sans-serif"/>
        <color rgb="FF1155CC"/>
        <u/>
      </rPr>
      <t>https://4ammedia.zendesk.com/agent/tickets/363901</t>
    </r>
  </si>
  <si>
    <r>
      <rPr>
        <rFont val="Arial, sans-serif"/>
        <color rgb="FF1155CC"/>
        <u/>
      </rPr>
      <t>https://4ammedia.zendesk.com/agent/tickets/363961</t>
    </r>
  </si>
  <si>
    <r>
      <rPr>
        <rFont val="Arial, sans-serif"/>
        <color rgb="FF1155CC"/>
        <u/>
      </rPr>
      <t>https://4ammedia.zendesk.com/agent/tickets/366378</t>
    </r>
  </si>
  <si>
    <r>
      <rPr>
        <rFont val="Arial"/>
        <color rgb="FF1155CC"/>
        <u/>
      </rPr>
      <t>https://4ammedia.zendesk.com/agent/tickets/337108</t>
    </r>
  </si>
  <si>
    <r>
      <rPr>
        <rFont val="Arial, sans-serif"/>
        <color rgb="FF1155CC"/>
        <u/>
      </rPr>
      <t>https://4ammedia.zendesk.com/agent/tickets/366646</t>
    </r>
  </si>
  <si>
    <r>
      <rPr>
        <rFont val="Arial, sans-serif"/>
        <color rgb="FF1155CC"/>
        <u/>
      </rPr>
      <t>https://4ammedia.zendesk.com/agent/tickets/366664</t>
    </r>
  </si>
  <si>
    <r>
      <rPr>
        <rFont val="Arial"/>
        <color rgb="FF1155CC"/>
        <u/>
      </rPr>
      <t>https://4ammedia.zendesk.com/agent/tickets/337172</t>
    </r>
  </si>
  <si>
    <r>
      <rPr>
        <rFont val="Arial"/>
        <color rgb="FF1155CC"/>
        <u/>
      </rPr>
      <t>https://4ammedia.zendesk.com/agent/tickets/337243</t>
    </r>
  </si>
  <si>
    <r>
      <rPr>
        <rFont val="Arial"/>
        <color rgb="FF1155CC"/>
        <u/>
      </rPr>
      <t>https://4ammedia.zendesk.com/agent/tickets/340272</t>
    </r>
  </si>
  <si>
    <r>
      <rPr>
        <rFont val="Arial, sans-serif"/>
        <color rgb="FF1155CC"/>
        <u/>
      </rPr>
      <t>https://4ammedia.zendesk.com/agent/tickets/369637</t>
    </r>
  </si>
  <si>
    <r>
      <rPr>
        <rFont val="Arial"/>
        <color rgb="FF1155CC"/>
        <u/>
      </rPr>
      <t>https://4ammedia.zendesk.com/agent/tickets/340554</t>
    </r>
  </si>
  <si>
    <r>
      <rPr>
        <rFont val="Arial"/>
        <color rgb="FF1155CC"/>
        <u/>
      </rPr>
      <t>https://4ammedia.zendesk.com/agent/tickets/340760</t>
    </r>
  </si>
  <si>
    <r>
      <rPr>
        <rFont val="Arial, sans-serif"/>
        <color rgb="FF1155CC"/>
        <u/>
      </rPr>
      <t>https://4ammedia.zendesk.com/agent/tickets/369865</t>
    </r>
  </si>
  <si>
    <r>
      <rPr>
        <rFont val="Arial"/>
        <color rgb="FF1155CC"/>
        <u/>
      </rPr>
      <t>https://4ammedia.zendesk.com/agent/tickets/343850</t>
    </r>
  </si>
  <si>
    <r>
      <rPr>
        <rFont val="Arial, sans-serif"/>
        <color rgb="FF1155CC"/>
        <u/>
      </rPr>
      <t>https://4ammedia.zendesk.com/agent/tickets/370101</t>
    </r>
  </si>
  <si>
    <r>
      <rPr>
        <rFont val="Arial"/>
        <color rgb="FF1155CC"/>
        <u/>
      </rPr>
      <t>https://4ammedia.zendesk.com/agent/tickets/344139</t>
    </r>
  </si>
  <si>
    <r>
      <rPr>
        <rFont val="Arial, sans-serif"/>
        <color rgb="FF1155CC"/>
        <u/>
      </rPr>
      <t>https://4ammedia.zendesk.com/agent/tickets/379408</t>
    </r>
  </si>
  <si>
    <r>
      <rPr>
        <rFont val="Arial"/>
        <color rgb="FF1155CC"/>
        <u/>
      </rPr>
      <t>https://4ammedia.zendesk.com/agent/tickets/344461</t>
    </r>
  </si>
  <si>
    <r>
      <rPr>
        <rFont val="Arial, sans-serif"/>
        <color rgb="FF1155CC"/>
        <u/>
      </rPr>
      <t>https://4ammedia.zendesk.com/agent/tickets/379623</t>
    </r>
  </si>
  <si>
    <r>
      <rPr>
        <rFont val="Arial, sans-serif"/>
        <color rgb="FF1155CC"/>
        <u/>
      </rPr>
      <t>https://4ammedia.zendesk.com/agent/tickets/379704</t>
    </r>
  </si>
  <si>
    <r>
      <rPr>
        <rFont val="Arial, sans-serif"/>
        <color rgb="FF1155CC"/>
        <u/>
      </rPr>
      <t>https://4ammedia.zendesk.com/agent/tickets/382167</t>
    </r>
  </si>
  <si>
    <r>
      <rPr>
        <rFont val="Arial, sans-serif"/>
        <color rgb="FF1155CC"/>
        <u/>
      </rPr>
      <t>https://4ammedia.zendesk.com/agent/tickets/382216</t>
    </r>
  </si>
  <si>
    <r>
      <rPr>
        <rFont val="Arial"/>
        <color rgb="FF1155CC"/>
        <u/>
      </rPr>
      <t>https://4ammedia.zendesk.com/agent/tickets/350241</t>
    </r>
  </si>
  <si>
    <r>
      <rPr>
        <rFont val="Arial, sans-serif"/>
        <color rgb="FF1155CC"/>
        <u/>
      </rPr>
      <t>https://4ammedia.zendesk.com/agent/tickets/382350</t>
    </r>
  </si>
  <si>
    <r>
      <rPr>
        <rFont val="Arial, sans-serif"/>
        <color rgb="FF1155CC"/>
        <u/>
      </rPr>
      <t>https://4ammedia.zendesk.com/agent/tickets/384699</t>
    </r>
  </si>
  <si>
    <r>
      <rPr>
        <rFont val="Arial"/>
        <color rgb="FF1155CC"/>
        <u/>
      </rPr>
      <t>https://4ammedia.zendesk.com/agent/tickets/350674</t>
    </r>
  </si>
  <si>
    <r>
      <rPr>
        <rFont val="Arial, sans-serif"/>
        <color rgb="FF1155CC"/>
        <u/>
      </rPr>
      <t>https://4ammedia.zendesk.com/agent/tickets/384877</t>
    </r>
  </si>
  <si>
    <r>
      <rPr>
        <rFont val="Arial"/>
        <color rgb="FF1155CC"/>
        <u/>
      </rPr>
      <t>https://4ammedia.zendesk.com/agent/tickets/350943</t>
    </r>
  </si>
  <si>
    <r>
      <rPr>
        <rFont val="Arial, sans-serif"/>
        <color rgb="FF1155CC"/>
        <u/>
      </rPr>
      <t>https://4ammedia.zendesk.com/agent/tickets/384928</t>
    </r>
  </si>
  <si>
    <r>
      <rPr>
        <rFont val="Arial, sans-serif"/>
        <color rgb="FF1155CC"/>
        <u/>
      </rPr>
      <t>https://4ammedia.zendesk.com/agent/tickets/382553</t>
    </r>
  </si>
  <si>
    <r>
      <rPr>
        <rFont val="Arial, sans-serif"/>
        <color rgb="FF1155CC"/>
        <u/>
      </rPr>
      <t>https://4ammedia.zendesk.com/agent/tickets/384884</t>
    </r>
  </si>
  <si>
    <r>
      <rPr>
        <rFont val="Arial"/>
        <color rgb="FF1155CC"/>
        <u/>
      </rPr>
      <t>https://4ammedia.zendesk.com/agent/tickets/352518</t>
    </r>
  </si>
  <si>
    <r>
      <rPr>
        <rFont val="Arial, sans-serif"/>
        <color rgb="FF1155CC"/>
        <u/>
      </rPr>
      <t>https://4ammedia.zendesk.com/agent/tickets/387195</t>
    </r>
  </si>
  <si>
    <r>
      <rPr>
        <rFont val="Arial, sans-serif"/>
        <color rgb="FF1155CC"/>
        <u/>
      </rPr>
      <t>https://4ammedia.zendesk.com/agent/tickets/389641</t>
    </r>
  </si>
  <si>
    <r>
      <rPr>
        <rFont val="Arial, sans-serif"/>
        <color rgb="FF1155CC"/>
        <u/>
      </rPr>
      <t>https://4ammedia.zendesk.com/agent/tickets/389793</t>
    </r>
  </si>
  <si>
    <r>
      <rPr>
        <rFont val="Arial"/>
        <color rgb="FF1155CC"/>
        <u/>
      </rPr>
      <t>https://4ammedia.zendesk.com/agent/tickets/352600</t>
    </r>
  </si>
  <si>
    <r>
      <rPr>
        <rFont val="Arial, sans-serif"/>
        <color rgb="FF1155CC"/>
        <u/>
      </rPr>
      <t>https://4ammedia.zendesk.com/agent/tickets/389949</t>
    </r>
  </si>
  <si>
    <r>
      <rPr>
        <rFont val="Arial"/>
        <color rgb="FF1155CC"/>
        <u/>
      </rPr>
      <t>https://4ammedia.zendesk.com/agent/tickets/352654</t>
    </r>
  </si>
  <si>
    <r>
      <rPr>
        <rFont val="Arial, sans-serif"/>
        <color rgb="FF1155CC"/>
        <u/>
      </rPr>
      <t>https://4ammedia.zendesk.com/agent/tickets/393120</t>
    </r>
  </si>
  <si>
    <r>
      <rPr>
        <rFont val="Arial"/>
        <color rgb="FF1155CC"/>
        <u/>
      </rPr>
      <t>https://4ammedia.zendesk.com/agent/tickets/355387</t>
    </r>
  </si>
  <si>
    <r>
      <rPr>
        <rFont val="Arial, sans-serif"/>
        <color rgb="FF1155CC"/>
        <u/>
      </rPr>
      <t>https://4ammedia.zendesk.com/agent/tickets/393256</t>
    </r>
  </si>
  <si>
    <r>
      <rPr>
        <rFont val="Arial"/>
        <color rgb="FF1155CC"/>
        <u/>
      </rPr>
      <t>https://4ammedia.zendesk.com/agent/tickets/355645</t>
    </r>
  </si>
  <si>
    <r>
      <rPr>
        <rFont val="Arial, sans-serif"/>
        <color rgb="FF1155CC"/>
        <u/>
      </rPr>
      <t>https://4ammedia.zendesk.com/agent/tickets/393299</t>
    </r>
  </si>
  <si>
    <r>
      <rPr>
        <rFont val="Arial"/>
        <color rgb="FF1155CC"/>
        <u/>
      </rPr>
      <t>https://4ammedia.zendesk.com/agent/tickets/355718</t>
    </r>
  </si>
  <si>
    <r>
      <rPr>
        <rFont val="Arial, sans-serif"/>
        <color rgb="FF1155CC"/>
        <u/>
      </rPr>
      <t>https://4ammedia.zendesk.com/agent/tickets/403070</t>
    </r>
  </si>
  <si>
    <r>
      <rPr>
        <rFont val="Arial"/>
        <color rgb="FF1155CC"/>
        <u/>
      </rPr>
      <t>https://4ammedia.zendesk.com/agent/tickets/357702</t>
    </r>
  </si>
  <si>
    <r>
      <rPr>
        <rFont val="Arial, sans-serif"/>
        <color rgb="FF1155CC"/>
        <u/>
      </rPr>
      <t>https://4ammedia.zendesk.com/agent/tickets/403228</t>
    </r>
  </si>
  <si>
    <r>
      <rPr>
        <rFont val="Arial, sans-serif"/>
        <color rgb="FF1155CC"/>
        <u/>
      </rPr>
      <t>https://4ammedia.zendesk.com/agent/tickets/403594</t>
    </r>
  </si>
  <si>
    <r>
      <rPr>
        <rFont val="Arial, sans-serif"/>
        <color rgb="FF1155CC"/>
        <u/>
      </rPr>
      <t>https://4ammedia.zendesk.com/agent/tickets/406158</t>
    </r>
  </si>
  <si>
    <r>
      <rPr>
        <rFont val="Arial, sans-serif"/>
        <color rgb="FF1155CC"/>
        <u/>
      </rPr>
      <t>https://4ammedia.zendesk.com/agent/tickets/406247</t>
    </r>
  </si>
  <si>
    <r>
      <rPr>
        <rFont val="Arial, sans-serif"/>
        <color rgb="FF1155CC"/>
        <u/>
      </rPr>
      <t>https://4ammedia.zendesk.com/agent/tickets/406904</t>
    </r>
  </si>
  <si>
    <r>
      <rPr>
        <rFont val="Arial, sans-serif"/>
        <color rgb="FF1155CC"/>
        <u/>
      </rPr>
      <t>https://4ammedia.zendesk.com/agent/tickets/409026</t>
    </r>
  </si>
  <si>
    <r>
      <rPr>
        <rFont val="Arial, sans-serif"/>
        <color rgb="FF1155CC"/>
        <u/>
      </rPr>
      <t>https://4ammedia.zendesk.com/agent/tickets/409220</t>
    </r>
  </si>
  <si>
    <r>
      <rPr>
        <rFont val="Arial, sans-serif"/>
        <color rgb="FF1155CC"/>
        <u/>
      </rPr>
      <t>https://4ammedia.zendesk.com/agent/tickets/409484</t>
    </r>
  </si>
  <si>
    <r>
      <rPr>
        <rFont val="Arial"/>
        <color rgb="FF1155CC"/>
        <u/>
      </rPr>
      <t>https://4ammedia.zendesk.com/agent/tickets/357955</t>
    </r>
  </si>
  <si>
    <r>
      <rPr>
        <rFont val="Arial, sans-serif"/>
        <color rgb="FF1155CC"/>
        <u/>
      </rPr>
      <t>https://4ammedia.zendesk.com/agent/tickets/412414</t>
    </r>
  </si>
  <si>
    <r>
      <rPr>
        <rFont val="Arial"/>
        <color rgb="FF1155CC"/>
        <u/>
      </rPr>
      <t>https://4ammedia.zendesk.com/agent/tickets/358010</t>
    </r>
  </si>
  <si>
    <r>
      <rPr>
        <rFont val="Arial"/>
        <color rgb="FF1155CC"/>
        <u/>
      </rPr>
      <t>https://4ammedia.zendesk.com/agent/tickets/361231</t>
    </r>
  </si>
  <si>
    <r>
      <rPr>
        <rFont val="Arial, sans-serif"/>
        <color rgb="FF1155CC"/>
        <u/>
      </rPr>
      <t>https://4ammedia.zendesk.com/agent/tickets/412653</t>
    </r>
  </si>
  <si>
    <r>
      <rPr>
        <rFont val="Arial, sans-serif"/>
        <color rgb="FF1155CC"/>
        <u/>
      </rPr>
      <t>https://4ammedia.zendesk.com/agent/tickets/412855</t>
    </r>
  </si>
  <si>
    <r>
      <rPr>
        <rFont val="Arial"/>
        <color rgb="FF1155CC"/>
        <u/>
      </rPr>
      <t>https://4ammedia.zendesk.com/agent/tickets/361546</t>
    </r>
  </si>
  <si>
    <r>
      <rPr>
        <rFont val="Arial, sans-serif"/>
        <color rgb="FF1155CC"/>
        <u/>
      </rPr>
      <t>https://4ammedia.zendesk.com/agent/tickets/422703</t>
    </r>
  </si>
  <si>
    <r>
      <rPr>
        <rFont val="Arial"/>
        <color rgb="FF1155CC"/>
        <u/>
      </rPr>
      <t>https://4ammedia.zendesk.com/agent/tickets/361927</t>
    </r>
  </si>
  <si>
    <r>
      <rPr>
        <rFont val="Arial, sans-serif"/>
        <color rgb="FF1155CC"/>
        <u/>
      </rPr>
      <t>https://4ammedia.zendesk.com/agent/tickets/423017</t>
    </r>
  </si>
  <si>
    <r>
      <rPr>
        <rFont val="Arial, sans-serif"/>
        <color rgb="FF1155CC"/>
        <u/>
      </rPr>
      <t>https://4ammedia.zendesk.com/agent/tickets/423347</t>
    </r>
  </si>
  <si>
    <r>
      <rPr>
        <rFont val="Arial, sans-serif"/>
        <color rgb="FF1155CC"/>
        <u/>
      </rPr>
      <t>https://4ammedia.zendesk.com/agent/tickets/426214</t>
    </r>
  </si>
  <si>
    <r>
      <rPr>
        <rFont val="Arial"/>
        <color rgb="FF1155CC"/>
        <u/>
      </rPr>
      <t>https://4ammedia.zendesk.com/agent/tickets/369214</t>
    </r>
  </si>
  <si>
    <r>
      <rPr>
        <rFont val="Arial, sans-serif"/>
        <color rgb="FF1155CC"/>
        <u/>
      </rPr>
      <t>https://4ammedia.zendesk.com/agent/tickets/426636</t>
    </r>
  </si>
  <si>
    <r>
      <rPr>
        <rFont val="Arial, sans-serif"/>
        <color rgb="FF1155CC"/>
        <u/>
      </rPr>
      <t>https://4ammedia.zendesk.com/agent/tickets/426824</t>
    </r>
  </si>
  <si>
    <r>
      <rPr>
        <rFont val="Arial"/>
        <color rgb="FF1155CC"/>
        <u/>
      </rPr>
      <t>https://4ammedia.zendesk.com/agent/tickets/369307</t>
    </r>
  </si>
  <si>
    <r>
      <rPr>
        <rFont val="Arial, sans-serif"/>
        <color rgb="FF1155CC"/>
        <u/>
      </rPr>
      <t>https://4ammedia.zendesk.com/agent/tickets/429563</t>
    </r>
  </si>
  <si>
    <r>
      <rPr>
        <rFont val="Arial, sans-serif"/>
        <color rgb="FF1155CC"/>
        <u/>
      </rPr>
      <t>https://4ammedia.zendesk.com/agent/tickets/430051</t>
    </r>
  </si>
  <si>
    <r>
      <rPr>
        <rFont val="Arial"/>
        <color rgb="FF1155CC"/>
        <u/>
      </rPr>
      <t>https://4ammedia.zendesk.com/agent/tickets/369491</t>
    </r>
  </si>
  <si>
    <r>
      <rPr>
        <rFont val="Arial"/>
        <color rgb="FF1155CC"/>
        <u/>
      </rPr>
      <t>https://4ammedia.zendesk.com/agent/tickets/372685</t>
    </r>
  </si>
  <si>
    <r>
      <rPr>
        <rFont val="Arial, sans-serif"/>
        <color rgb="FF1155CC"/>
        <u/>
      </rPr>
      <t>https://4ammedia.zendesk.com/agent/tickets/430118</t>
    </r>
  </si>
  <si>
    <r>
      <rPr>
        <rFont val="Arial"/>
        <color rgb="FF1155CC"/>
        <u/>
      </rPr>
      <t>https://4ammedia.zendesk.com/agent/tickets/372988</t>
    </r>
  </si>
  <si>
    <r>
      <rPr>
        <rFont val="Arial"/>
        <color rgb="FF1155CC"/>
        <u/>
      </rPr>
      <t>https://4ammedia.zendesk.com/agent/tickets/373086</t>
    </r>
  </si>
  <si>
    <r>
      <rPr>
        <rFont val="Arial"/>
        <color rgb="FF1155CC"/>
        <u/>
      </rPr>
      <t>https://4ammedia.zendesk.com/agent/tickets/376704</t>
    </r>
  </si>
  <si>
    <r>
      <rPr>
        <rFont val="Arial"/>
        <color rgb="FF1155CC"/>
        <u/>
      </rPr>
      <t>https://4ammedia.zendesk.com/agent/tickets/376817</t>
    </r>
  </si>
  <si>
    <r>
      <rPr>
        <rFont val="Arial"/>
        <color rgb="FF1155CC"/>
        <u/>
      </rPr>
      <t>https://4ammedia.zendesk.com/agent/tickets/376853</t>
    </r>
  </si>
  <si>
    <r>
      <rPr>
        <rFont val="Arial"/>
        <color rgb="FF1155CC"/>
        <u/>
      </rPr>
      <t>https://4ammedia.zendesk.com/agent/tickets/379115</t>
    </r>
  </si>
  <si>
    <r>
      <rPr>
        <rFont val="Arial"/>
        <color rgb="FF1155CC"/>
        <u/>
      </rPr>
      <t>https://4ammedia.zendesk.com/agent/tickets/379435</t>
    </r>
  </si>
  <si>
    <r>
      <rPr>
        <rFont val="Arial"/>
        <color rgb="FF1155CC"/>
        <u/>
      </rPr>
      <t>https://4ammedia.zendesk.com/agent/tickets/379588</t>
    </r>
  </si>
  <si>
    <r>
      <rPr>
        <rFont val="Arial"/>
        <color rgb="FF1155CC"/>
        <u/>
      </rPr>
      <t>https://4ammedia.zendesk.com/agent/tickets/382012</t>
    </r>
  </si>
  <si>
    <r>
      <rPr>
        <rFont val="Arial"/>
        <color rgb="FF1155CC"/>
        <u/>
      </rPr>
      <t>https://4ammedia.zendesk.com/agent/tickets/382094</t>
    </r>
  </si>
  <si>
    <r>
      <rPr>
        <rFont val="Arial"/>
        <color rgb="FF1155CC"/>
        <u/>
      </rPr>
      <t>https://4ammedia.zendesk.com/agent/tickets/382257</t>
    </r>
  </si>
  <si>
    <r>
      <rPr>
        <rFont val="Arial"/>
        <color rgb="FF1155CC"/>
        <u/>
      </rPr>
      <t>https://4ammedia.zendesk.com/agent/tickets/389166</t>
    </r>
  </si>
  <si>
    <r>
      <rPr>
        <rFont val="Arial"/>
        <color rgb="FF1155CC"/>
        <u/>
      </rPr>
      <t>https://4ammedia.zendesk.com/agent/tickets/389254</t>
    </r>
  </si>
  <si>
    <r>
      <rPr>
        <rFont val="Arial"/>
        <color rgb="FF1155CC"/>
        <u/>
      </rPr>
      <t>https://4ammedia.zendesk.com/agent/tickets/389288</t>
    </r>
  </si>
  <si>
    <t>Absent</t>
  </si>
  <si>
    <r>
      <rPr>
        <rFont val="Arial"/>
        <color rgb="FF1155CC"/>
        <u/>
      </rPr>
      <t>https://4ammedia.zendesk.com/agent/tickets/395587</t>
    </r>
  </si>
  <si>
    <r>
      <rPr>
        <rFont val="Arial"/>
        <color rgb="FF1155CC"/>
        <u/>
      </rPr>
      <t>https://4ammedia.zendesk.com/agent/tickets/396003</t>
    </r>
  </si>
  <si>
    <r>
      <rPr>
        <rFont val="Arial"/>
        <color rgb="FF1155CC"/>
        <u/>
      </rPr>
      <t>https://4ammedia.zendesk.com/agent/tickets/396059</t>
    </r>
  </si>
  <si>
    <r>
      <rPr>
        <rFont val="Arial"/>
        <color rgb="FF1155CC"/>
        <u/>
      </rPr>
      <t>https://4ammedia.zendesk.com/agent/tickets/398816</t>
    </r>
  </si>
  <si>
    <r>
      <rPr>
        <rFont val="Arial"/>
        <color rgb="FF1155CC"/>
        <u/>
      </rPr>
      <t>https://4ammedia.zendesk.com/agent/tickets/398978</t>
    </r>
  </si>
  <si>
    <r>
      <rPr>
        <rFont val="Arial"/>
        <color rgb="FF1155CC"/>
        <u/>
      </rPr>
      <t>https://4ammedia.zendesk.com/agent/tickets/399242</t>
    </r>
  </si>
  <si>
    <r>
      <rPr>
        <rFont val="Arial"/>
        <color rgb="FF1155CC"/>
        <u/>
      </rPr>
      <t>https://4ammedia.zendesk.com/agent/tickets/402906</t>
    </r>
  </si>
  <si>
    <r>
      <rPr>
        <rFont val="Arial"/>
        <color rgb="FF1155CC"/>
        <u/>
      </rPr>
      <t>https://4ammedia.zendesk.com/agent/tickets/403093</t>
    </r>
  </si>
  <si>
    <r>
      <rPr>
        <rFont val="Arial"/>
        <color rgb="FF1155CC"/>
        <u/>
      </rPr>
      <t>https://4ammedia.zendesk.com/agent/tickets/403222</t>
    </r>
  </si>
  <si>
    <r>
      <rPr>
        <rFont val="Arial"/>
        <color rgb="FF1155CC"/>
        <u/>
      </rPr>
      <t>https://4ammedia.zendesk.com/agent/tickets/411762</t>
    </r>
  </si>
  <si>
    <r>
      <rPr>
        <rFont val="Arial"/>
        <color rgb="FF1155CC"/>
        <u/>
      </rPr>
      <t>https://4ammedia.zendesk.com/agent/tickets/411930</t>
    </r>
  </si>
  <si>
    <r>
      <rPr>
        <rFont val="Arial"/>
        <color rgb="FF1155CC"/>
        <u/>
      </rPr>
      <t>https://4ammedia.zendesk.com/agent/tickets/412212</t>
    </r>
  </si>
  <si>
    <r>
      <rPr>
        <rFont val="Arial"/>
        <color rgb="FF1155CC"/>
        <u/>
      </rPr>
      <t>https://4ammedia.zendesk.com/agent/tickets/415700</t>
    </r>
  </si>
  <si>
    <r>
      <rPr>
        <rFont val="Arial"/>
        <color rgb="FF1155CC"/>
        <u/>
      </rPr>
      <t>https://4ammedia.zendesk.com/agent/tickets/416099</t>
    </r>
  </si>
  <si>
    <r>
      <rPr>
        <rFont val="Arial"/>
        <color rgb="FF1155CC"/>
        <u/>
      </rPr>
      <t>https://4ammedia.zendesk.com/agent/tickets/416395</t>
    </r>
  </si>
  <si>
    <r>
      <rPr>
        <rFont val="Arial"/>
        <color rgb="FF1155CC"/>
        <u/>
      </rPr>
      <t>https://4ammedia.zendesk.com/agent/tickets/419136</t>
    </r>
  </si>
  <si>
    <r>
      <rPr>
        <rFont val="Arial"/>
        <color rgb="FF1155CC"/>
        <u/>
      </rPr>
      <t>https://4ammedia.zendesk.com/agent/tickets/419379</t>
    </r>
  </si>
  <si>
    <r>
      <rPr>
        <rFont val="Arial"/>
        <color rgb="FF1155CC"/>
        <u/>
      </rPr>
      <t>https://4ammedia.zendesk.com/agent/tickets/419549</t>
    </r>
  </si>
  <si>
    <r>
      <rPr>
        <rFont val="Arial"/>
        <color rgb="FF1155CC"/>
        <u/>
      </rPr>
      <t>https://4ammedia.zendesk.com/agent/tickets/422157</t>
    </r>
  </si>
  <si>
    <r>
      <rPr>
        <rFont val="Arial"/>
        <color rgb="FF1155CC"/>
        <u/>
      </rPr>
      <t>https://4ammedia.zendesk.com/agent/tickets/422617</t>
    </r>
  </si>
  <si>
    <r>
      <rPr>
        <rFont val="Arial"/>
        <color rgb="FF1155CC"/>
        <u/>
      </rPr>
      <t>https://4ammedia.zendesk.com/agent/tickets/422679</t>
    </r>
  </si>
  <si>
    <r>
      <rPr>
        <rFont val="Arial"/>
        <color rgb="FF1155CC"/>
        <u/>
      </rPr>
      <t>https://4ammedia.zendesk.com/agent/tickets/426101</t>
    </r>
  </si>
  <si>
    <r>
      <rPr>
        <rFont val="Arial"/>
        <color rgb="FF1155CC"/>
        <u/>
      </rPr>
      <t>https://4ammedia.zendesk.com/agent/tickets/426490</t>
    </r>
  </si>
  <si>
    <r>
      <rPr>
        <rFont val="Arial"/>
        <color rgb="FF1155CC"/>
        <u/>
      </rPr>
      <t>https://4ammedia.zendesk.com/agent/tickets/426748</t>
    </r>
  </si>
</sst>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d"/>
    <numFmt numFmtId="165" formatCode="mmmm d, yyyy"/>
    <numFmt numFmtId="166" formatCode="00.00"/>
    <numFmt numFmtId="167" formatCode="mmm d,yyyy"/>
    <numFmt numFmtId="168" formatCode="d-mmm-yy"/>
    <numFmt numFmtId="169" formatCode="hh:mm:ss"/>
    <numFmt numFmtId="170" formatCode="mmmm yyyy"/>
    <numFmt numFmtId="171" formatCode="mmm d, yyyy"/>
  </numFmts>
  <fonts count="76">
    <font>
      <sz val="10.0"/>
      <color rgb="FF000000"/>
      <name val="Arial"/>
      <scheme val="minor"/>
    </font>
    <font>
      <b/>
      <color theme="1"/>
      <name val="Arial"/>
    </font>
    <font/>
    <font>
      <sz val="11.0"/>
      <color theme="1"/>
      <name val="Arial"/>
    </font>
    <font>
      <sz val="11.0"/>
      <color rgb="FF263445"/>
      <name val="Figtree"/>
    </font>
    <font>
      <color theme="1"/>
      <name val="Arial"/>
    </font>
    <font>
      <b/>
      <sz val="11.0"/>
      <color theme="1"/>
      <name val="Calibri"/>
    </font>
    <font>
      <b/>
      <sz val="11.0"/>
      <color rgb="FFFFFFFF"/>
      <name val="Calibri"/>
    </font>
    <font>
      <sz val="11.0"/>
      <color theme="1"/>
      <name val="Calibri"/>
    </font>
    <font>
      <color theme="1"/>
      <name val="Arial"/>
      <scheme val="minor"/>
    </font>
    <font>
      <sz val="10.0"/>
      <color theme="1"/>
      <name val="Calibri"/>
    </font>
    <font>
      <b/>
      <sz val="11.0"/>
      <color theme="1"/>
      <name val="Arial"/>
    </font>
    <font>
      <b/>
      <color rgb="FFFFFFFF"/>
      <name val="Arial"/>
      <scheme val="minor"/>
    </font>
    <font>
      <b/>
      <color theme="1"/>
      <name val="Arial"/>
      <scheme val="minor"/>
    </font>
    <font>
      <b/>
      <color rgb="FF000000"/>
      <name val="Arial"/>
      <scheme val="minor"/>
    </font>
    <font>
      <i/>
      <color rgb="FF000000"/>
      <name val="Arial"/>
    </font>
    <font>
      <b/>
      <sz val="8.0"/>
      <color theme="1"/>
      <name val="Bree Serif"/>
    </font>
    <font>
      <b/>
      <color theme="1"/>
      <name val="Bree Serif"/>
    </font>
    <font>
      <b/>
      <color rgb="FFFFFFFF"/>
      <name val="Arial"/>
    </font>
    <font>
      <u/>
      <color rgb="FF1155CC"/>
      <name val="Arial"/>
    </font>
    <font>
      <b/>
      <color theme="1"/>
      <name val="Roboto"/>
    </font>
    <font>
      <b/>
      <i/>
      <color theme="1"/>
      <name val="Arial"/>
    </font>
    <font>
      <sz val="7.0"/>
      <color theme="1"/>
      <name val="Calibri"/>
    </font>
    <font>
      <b/>
      <i/>
      <color theme="1"/>
      <name val="Arial"/>
      <scheme val="minor"/>
    </font>
    <font>
      <b/>
      <color rgb="FF000000"/>
      <name val="Arial"/>
    </font>
    <font>
      <color rgb="FF000000"/>
      <name val="Arial"/>
    </font>
    <font>
      <color rgb="FFFFFFFF"/>
      <name val="Arial"/>
    </font>
    <font>
      <b/>
      <sz val="11.0"/>
      <color rgb="FFFFFFFF"/>
      <name val="Arial"/>
    </font>
    <font>
      <sz val="11.0"/>
      <color rgb="FF000000"/>
      <name val="Arial"/>
    </font>
    <font>
      <color rgb="FF274E13"/>
      <name val="Arial"/>
    </font>
    <font>
      <color theme="1"/>
      <name val="Calibri"/>
    </font>
    <font>
      <b/>
      <color rgb="FF274E13"/>
      <name val="Arial"/>
    </font>
    <font>
      <b/>
      <sz val="11.0"/>
      <color rgb="FFCC0000"/>
      <name val="Calibri"/>
    </font>
    <font>
      <u/>
      <color rgb="FF1155CC"/>
      <name val="Arial"/>
    </font>
    <font>
      <u/>
      <color rgb="FF1155CC"/>
      <name val="Arial"/>
    </font>
    <font>
      <u/>
      <color rgb="FF1155CC"/>
      <name val="Arial"/>
    </font>
    <font>
      <b/>
      <sz val="11.0"/>
      <color rgb="FF000000"/>
      <name val="Calibri"/>
    </font>
    <font>
      <u/>
      <color rgb="FF0000FF"/>
      <name val="Arial"/>
    </font>
    <font>
      <u/>
      <color rgb="FF0000FF"/>
      <name val="Arial"/>
    </font>
    <font>
      <u/>
      <color rgb="FF0000FF"/>
      <name val="Arial"/>
    </font>
    <font>
      <u/>
      <color rgb="FF0000FF"/>
      <name val="Arial"/>
    </font>
    <font>
      <u/>
      <color rgb="FF1155CC"/>
      <name val="Arial"/>
    </font>
    <font>
      <b/>
      <i/>
      <color theme="1"/>
      <name val="Roboto"/>
    </font>
    <font>
      <u/>
      <color rgb="FF467886"/>
      <name val="Arial"/>
    </font>
    <font>
      <u/>
      <color rgb="FF0000FF"/>
    </font>
    <font>
      <u/>
      <color rgb="FF1155CC"/>
      <name val="Arial"/>
    </font>
    <font>
      <u/>
      <color rgb="FF0000FF"/>
      <name val="Arial"/>
    </font>
    <font>
      <u/>
      <color rgb="FF1155CC"/>
      <name val="Arial"/>
    </font>
    <font>
      <u/>
      <color rgb="FF0000FF"/>
      <name val="Arial"/>
    </font>
    <font>
      <u/>
      <color rgb="FF0000FF"/>
      <name val="Arial"/>
    </font>
    <font>
      <i/>
      <color theme="1"/>
      <name val="Roboto"/>
    </font>
    <font>
      <color theme="1"/>
      <name val="Roboto"/>
    </font>
    <font>
      <i/>
      <color theme="1"/>
      <name val="Arial"/>
      <scheme val="minor"/>
    </font>
    <font>
      <i/>
      <color theme="1"/>
      <name val="Arial"/>
    </font>
    <font>
      <u/>
      <color rgb="FF0000FF"/>
      <name val="Arial"/>
    </font>
    <font>
      <u/>
      <color rgb="FF0000FF"/>
      <name val="Arial"/>
    </font>
    <font>
      <u/>
      <color rgb="FF467886"/>
      <name val="Arial"/>
    </font>
    <font>
      <u/>
      <color rgb="FF1155CC"/>
      <name val="Arial"/>
    </font>
    <font>
      <u/>
      <color rgb="FF467886"/>
      <name val="Arial"/>
    </font>
    <font>
      <u/>
      <color rgb="FF1155CC"/>
      <name val="Arial"/>
    </font>
    <font>
      <u/>
      <color rgb="FF1155CC"/>
      <name val="Arial"/>
    </font>
    <font>
      <u/>
      <color rgb="FF1155CC"/>
      <name val="Arial"/>
    </font>
    <font>
      <u/>
      <color rgb="FF1155CC"/>
      <name val="Arial"/>
    </font>
    <font>
      <u/>
      <color rgb="FF0000FF"/>
      <name val="Arial"/>
    </font>
    <font>
      <u/>
      <color rgb="FF0000FF"/>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467886"/>
      <name val="Arial"/>
    </font>
    <font>
      <u/>
      <color rgb="FF467886"/>
      <name val="Arial"/>
    </font>
    <font>
      <b/>
      <color rgb="FF1F1F1F"/>
      <name val="Arial"/>
    </font>
    <font>
      <color rgb="FF467886"/>
      <name val="Arial"/>
    </font>
  </fonts>
  <fills count="31">
    <fill>
      <patternFill patternType="none"/>
    </fill>
    <fill>
      <patternFill patternType="lightGray"/>
    </fill>
    <fill>
      <patternFill patternType="solid">
        <fgColor rgb="FFFFCCCC"/>
        <bgColor rgb="FFFFCCCC"/>
      </patternFill>
    </fill>
    <fill>
      <patternFill patternType="solid">
        <fgColor rgb="FFFFFDF0"/>
        <bgColor rgb="FFFFFDF0"/>
      </patternFill>
    </fill>
    <fill>
      <patternFill patternType="solid">
        <fgColor rgb="FFFFFFFF"/>
        <bgColor rgb="FFFFFFFF"/>
      </patternFill>
    </fill>
    <fill>
      <patternFill patternType="solid">
        <fgColor rgb="FFCFE2F3"/>
        <bgColor rgb="FFCFE2F3"/>
      </patternFill>
    </fill>
    <fill>
      <patternFill patternType="solid">
        <fgColor rgb="FFD9E1F2"/>
        <bgColor rgb="FFD9E1F2"/>
      </patternFill>
    </fill>
    <fill>
      <patternFill patternType="solid">
        <fgColor rgb="FF4472C4"/>
        <bgColor rgb="FF4472C4"/>
      </patternFill>
    </fill>
    <fill>
      <patternFill patternType="solid">
        <fgColor rgb="FF00FFFF"/>
        <bgColor rgb="FF00FFFF"/>
      </patternFill>
    </fill>
    <fill>
      <patternFill patternType="solid">
        <fgColor rgb="FFD9D9D9"/>
        <bgColor rgb="FFD9D9D9"/>
      </patternFill>
    </fill>
    <fill>
      <patternFill patternType="solid">
        <fgColor rgb="FFFFF2CC"/>
        <bgColor rgb="FFFFF2CC"/>
      </patternFill>
    </fill>
    <fill>
      <patternFill patternType="solid">
        <fgColor rgb="FF842246"/>
        <bgColor rgb="FF842246"/>
      </patternFill>
    </fill>
    <fill>
      <patternFill patternType="solid">
        <fgColor rgb="FFFFDDF0"/>
        <bgColor rgb="FFFFDDF0"/>
      </patternFill>
    </fill>
    <fill>
      <patternFill patternType="solid">
        <fgColor rgb="FFFF679F"/>
        <bgColor rgb="FFFF679F"/>
      </patternFill>
    </fill>
    <fill>
      <patternFill patternType="solid">
        <fgColor rgb="FFFFB9C8"/>
        <bgColor rgb="FFFFB9C8"/>
      </patternFill>
    </fill>
    <fill>
      <patternFill patternType="solid">
        <fgColor rgb="FF434343"/>
        <bgColor rgb="FF434343"/>
      </patternFill>
    </fill>
    <fill>
      <patternFill patternType="solid">
        <fgColor rgb="FFF8F9FA"/>
        <bgColor rgb="FFF8F9FA"/>
      </patternFill>
    </fill>
    <fill>
      <patternFill patternType="solid">
        <fgColor rgb="FFFFE599"/>
        <bgColor rgb="FFFFE599"/>
      </patternFill>
    </fill>
    <fill>
      <patternFill patternType="solid">
        <fgColor rgb="FFC9DAF8"/>
        <bgColor rgb="FFC9DAF8"/>
      </patternFill>
    </fill>
    <fill>
      <patternFill patternType="solid">
        <fgColor rgb="FFFFE6DD"/>
        <bgColor rgb="FFFFE6DD"/>
      </patternFill>
    </fill>
    <fill>
      <patternFill patternType="solid">
        <fgColor rgb="FF9FC5E8"/>
        <bgColor rgb="FF9FC5E8"/>
      </patternFill>
    </fill>
    <fill>
      <patternFill patternType="solid">
        <fgColor rgb="FF990000"/>
        <bgColor rgb="FF990000"/>
      </patternFill>
    </fill>
    <fill>
      <patternFill patternType="solid">
        <fgColor theme="6"/>
        <bgColor theme="6"/>
      </patternFill>
    </fill>
    <fill>
      <patternFill patternType="solid">
        <fgColor rgb="FFF4CCCC"/>
        <bgColor rgb="FFF4CCCC"/>
      </patternFill>
    </fill>
    <fill>
      <patternFill patternType="solid">
        <fgColor rgb="FFFFE8E8"/>
        <bgColor rgb="FFFFE8E8"/>
      </patternFill>
    </fill>
    <fill>
      <patternFill patternType="solid">
        <fgColor rgb="FFD9EAD3"/>
        <bgColor rgb="FFD9EAD3"/>
      </patternFill>
    </fill>
    <fill>
      <patternFill patternType="solid">
        <fgColor rgb="FFF9CB9C"/>
        <bgColor rgb="FFF9CB9C"/>
      </patternFill>
    </fill>
    <fill>
      <patternFill patternType="solid">
        <fgColor rgb="FFB6D7A8"/>
        <bgColor rgb="FFB6D7A8"/>
      </patternFill>
    </fill>
    <fill>
      <patternFill patternType="solid">
        <fgColor rgb="FF660000"/>
        <bgColor rgb="FF660000"/>
      </patternFill>
    </fill>
    <fill>
      <patternFill patternType="solid">
        <fgColor rgb="FFFFDDED"/>
        <bgColor rgb="FFFFDDED"/>
      </patternFill>
    </fill>
    <fill>
      <patternFill patternType="solid">
        <fgColor rgb="FFF3F3F3"/>
        <bgColor rgb="FFF3F3F3"/>
      </patternFill>
    </fill>
  </fills>
  <borders count="3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medium">
        <color rgb="FF000000"/>
      </right>
      <top style="medium">
        <color rgb="FF000000"/>
      </top>
    </border>
    <border>
      <right style="medium">
        <color rgb="FF000000"/>
      </right>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thin">
        <color rgb="FF666666"/>
      </left>
      <right style="thin">
        <color rgb="FF666666"/>
      </right>
      <top style="thin">
        <color rgb="FF666666"/>
      </top>
    </border>
    <border>
      <left style="thin">
        <color rgb="FF666666"/>
      </left>
      <right style="thin">
        <color rgb="FF666666"/>
      </right>
      <top style="thin">
        <color rgb="FF666666"/>
      </top>
      <bottom style="thin">
        <color rgb="FF666666"/>
      </bottom>
    </border>
    <border>
      <left style="thin">
        <color rgb="FF666666"/>
      </left>
      <right style="thin">
        <color rgb="FF666666"/>
      </right>
      <bottom style="thin">
        <color rgb="FF666666"/>
      </bottom>
    </border>
    <border>
      <left style="thin">
        <color rgb="FFFFFFFF"/>
      </left>
      <top style="thin">
        <color rgb="FFFFFFFF"/>
      </top>
    </border>
    <border>
      <top style="thin">
        <color rgb="FFFFFFFF"/>
      </top>
    </border>
    <border>
      <right style="thin">
        <color rgb="FFFFFFFF"/>
      </right>
      <top style="thin">
        <color rgb="FFFFFFFF"/>
      </top>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left style="thin">
        <color rgb="FF000000"/>
      </left>
      <right style="thin">
        <color rgb="FF000000"/>
      </right>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rder>
  </borders>
  <cellStyleXfs count="1">
    <xf borderId="0" fillId="0" fontId="0" numFmtId="0" applyAlignment="1" applyFont="1"/>
  </cellStyleXfs>
  <cellXfs count="592">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bottom"/>
    </xf>
    <xf borderId="2" fillId="0" fontId="2" numFmtId="0" xfId="0" applyBorder="1" applyFont="1"/>
    <xf borderId="3" fillId="0" fontId="2" numFmtId="0" xfId="0" applyBorder="1" applyFont="1"/>
    <xf borderId="4" fillId="2" fontId="1" numFmtId="0" xfId="0" applyAlignment="1" applyBorder="1" applyFill="1" applyFont="1">
      <alignment horizontal="center" vertical="bottom"/>
    </xf>
    <xf borderId="4" fillId="0" fontId="3" numFmtId="0" xfId="0" applyAlignment="1" applyBorder="1" applyFont="1">
      <alignment vertical="bottom"/>
    </xf>
    <xf borderId="4" fillId="3" fontId="4" numFmtId="0" xfId="0" applyAlignment="1" applyBorder="1" applyFill="1" applyFont="1">
      <alignment vertical="bottom"/>
    </xf>
    <xf borderId="4" fillId="0" fontId="5" numFmtId="0" xfId="0" applyAlignment="1" applyBorder="1" applyFont="1">
      <alignment vertical="bottom"/>
    </xf>
    <xf borderId="4" fillId="4" fontId="3" numFmtId="0" xfId="0" applyAlignment="1" applyBorder="1" applyFill="1" applyFont="1">
      <alignment vertical="bottom"/>
    </xf>
    <xf borderId="4" fillId="4" fontId="4" numFmtId="0" xfId="0" applyAlignment="1" applyBorder="1" applyFill="1" applyFont="1">
      <alignment vertical="bottom"/>
    </xf>
    <xf borderId="4" fillId="0" fontId="3" numFmtId="0" xfId="0" applyAlignment="1" applyBorder="1" applyFont="1">
      <alignment vertical="bottom"/>
    </xf>
    <xf borderId="4" fillId="0" fontId="5" numFmtId="0" xfId="0" applyAlignment="1" applyBorder="1" applyFont="1">
      <alignment readingOrder="0" vertical="bottom"/>
    </xf>
    <xf borderId="5" fillId="5" fontId="6" numFmtId="0" xfId="0" applyAlignment="1" applyBorder="1" applyFill="1" applyFont="1">
      <alignment horizontal="center" shrinkToFit="0" wrapText="1"/>
    </xf>
    <xf borderId="6" fillId="5" fontId="6" numFmtId="0" xfId="0" applyAlignment="1" applyBorder="1" applyFill="1" applyFont="1">
      <alignment horizontal="center" readingOrder="0" shrinkToFit="0" wrapText="1"/>
    </xf>
    <xf borderId="7" fillId="0" fontId="2" numFmtId="0" xfId="0" applyBorder="1" applyFont="1"/>
    <xf borderId="8" fillId="0" fontId="2" numFmtId="0" xfId="0" applyBorder="1" applyFont="1"/>
    <xf borderId="9" fillId="5" fontId="6" numFmtId="0" xfId="0" applyAlignment="1" applyBorder="1" applyFill="1" applyFont="1">
      <alignment horizontal="center" readingOrder="0" shrinkToFit="0" wrapText="1"/>
    </xf>
    <xf borderId="10" fillId="6" fontId="6" numFmtId="0" xfId="0" applyAlignment="1" applyBorder="1" applyFill="1" applyFont="1">
      <alignment horizontal="center" readingOrder="0" shrinkToFit="0" wrapText="1"/>
    </xf>
    <xf borderId="11" fillId="7" fontId="7" numFmtId="0" xfId="0" applyAlignment="1" applyBorder="1" applyFill="1" applyFont="1">
      <alignment horizontal="center" shrinkToFit="0" vertical="bottom" wrapText="1"/>
    </xf>
    <xf borderId="4" fillId="7" fontId="7" numFmtId="0" xfId="0" applyAlignment="1" applyBorder="1" applyFill="1" applyFont="1">
      <alignment horizontal="center" shrinkToFit="0" vertical="bottom" wrapText="1"/>
    </xf>
    <xf borderId="4" fillId="2" fontId="1" numFmtId="0" xfId="0" applyAlignment="1" applyBorder="1" applyFill="1" applyFont="1">
      <alignment horizontal="center" vertical="bottom"/>
    </xf>
    <xf borderId="4" fillId="7" fontId="7" numFmtId="0" xfId="0" applyAlignment="1" applyBorder="1" applyFill="1" applyFont="1">
      <alignment horizontal="center" shrinkToFit="0" vertical="bottom" wrapText="1"/>
    </xf>
    <xf borderId="12" fillId="7" fontId="7" numFmtId="0" xfId="0" applyAlignment="1" applyBorder="1" applyFill="1" applyFont="1">
      <alignment horizontal="center" shrinkToFit="0" vertical="bottom" wrapText="1"/>
    </xf>
    <xf borderId="9" fillId="7" fontId="7" numFmtId="0" xfId="0" applyAlignment="1" applyBorder="1" applyFill="1" applyFont="1">
      <alignment horizontal="center" shrinkToFit="0" vertical="bottom" wrapText="1"/>
    </xf>
    <xf borderId="4" fillId="2" fontId="1" numFmtId="0" xfId="0" applyAlignment="1" applyBorder="1" applyFill="1" applyFont="1">
      <alignment horizontal="center" readingOrder="0" vertical="bottom"/>
    </xf>
    <xf borderId="12" fillId="8" fontId="8" numFmtId="0" xfId="0" applyAlignment="1" applyBorder="1" applyFill="1" applyFont="1">
      <alignment horizontal="center" vertical="bottom"/>
    </xf>
    <xf borderId="13" fillId="8" fontId="6" numFmtId="0" xfId="0" applyAlignment="1" applyBorder="1" applyFill="1" applyFont="1">
      <alignment horizontal="center" shrinkToFit="0" vertical="bottom" wrapText="1"/>
    </xf>
    <xf borderId="14" fillId="0" fontId="2" numFmtId="0" xfId="0" applyBorder="1" applyFont="1"/>
    <xf borderId="15" fillId="0" fontId="2" numFmtId="0" xfId="0" applyBorder="1" applyFont="1"/>
    <xf borderId="4" fillId="0" fontId="1" numFmtId="0" xfId="0" applyAlignment="1" applyBorder="1" applyFont="1">
      <alignment readingOrder="0" vertical="bottom"/>
    </xf>
    <xf borderId="9" fillId="0" fontId="9" numFmtId="0" xfId="0" applyBorder="1" applyFont="1"/>
    <xf borderId="4" fillId="0" fontId="3" numFmtId="0" xfId="0" applyAlignment="1" applyBorder="1" applyFont="1">
      <alignment readingOrder="0" vertical="bottom"/>
    </xf>
    <xf borderId="12" fillId="6" fontId="6" numFmtId="49" xfId="0" applyAlignment="1" applyBorder="1" applyFill="1" applyFont="1" applyNumberFormat="1">
      <alignment horizontal="center" shrinkToFit="0" vertical="bottom" wrapText="1"/>
    </xf>
    <xf borderId="4" fillId="0" fontId="3" numFmtId="0" xfId="0" applyAlignment="1" applyBorder="1" applyFont="1">
      <alignment horizontal="right" readingOrder="0" vertical="bottom"/>
    </xf>
    <xf borderId="16" fillId="6" fontId="8" numFmtId="164" xfId="0" applyAlignment="1" applyBorder="1" applyFill="1" applyFont="1" applyNumberFormat="1">
      <alignment vertical="bottom"/>
    </xf>
    <xf borderId="4" fillId="0" fontId="3" numFmtId="165" xfId="0" applyAlignment="1" applyBorder="1" applyFont="1" applyNumberFormat="1">
      <alignment horizontal="right" readingOrder="0" vertical="bottom"/>
    </xf>
    <xf borderId="17" fillId="0" fontId="2" numFmtId="0" xfId="0" applyBorder="1" applyFont="1"/>
    <xf borderId="4" fillId="0" fontId="3" numFmtId="49" xfId="0" applyAlignment="1" applyBorder="1" applyFont="1" applyNumberFormat="1">
      <alignment horizontal="right" readingOrder="0" vertical="bottom"/>
    </xf>
    <xf borderId="12" fillId="9" fontId="6" numFmtId="49" xfId="0" applyAlignment="1" applyBorder="1" applyFill="1" applyFont="1" applyNumberFormat="1">
      <alignment horizontal="right"/>
    </xf>
    <xf borderId="4" fillId="0" fontId="1" numFmtId="0" xfId="0" applyAlignment="1" applyBorder="1" applyFont="1">
      <alignment vertical="bottom"/>
    </xf>
    <xf borderId="11" fillId="0" fontId="10" numFmtId="4" xfId="0" applyAlignment="1" applyBorder="1" applyFont="1" applyNumberFormat="1">
      <alignment horizontal="center"/>
    </xf>
    <xf borderId="4" fillId="0" fontId="3" numFmtId="0" xfId="0" applyAlignment="1" applyBorder="1" applyFont="1">
      <alignment vertical="bottom"/>
    </xf>
    <xf borderId="4" fillId="0" fontId="10" numFmtId="4" xfId="0" applyAlignment="1" applyBorder="1" applyFont="1" applyNumberFormat="1">
      <alignment horizontal="center"/>
    </xf>
    <xf borderId="4" fillId="0" fontId="3" numFmtId="0" xfId="0" applyAlignment="1" applyBorder="1" applyFont="1">
      <alignment horizontal="right" vertical="bottom"/>
    </xf>
    <xf borderId="4" fillId="0" fontId="10" numFmtId="4" xfId="0" applyAlignment="1" applyBorder="1" applyFont="1" applyNumberFormat="1">
      <alignment horizontal="center" readingOrder="0"/>
    </xf>
    <xf borderId="12" fillId="0" fontId="10" numFmtId="4" xfId="0" applyAlignment="1" applyBorder="1" applyFont="1" applyNumberFormat="1">
      <alignment horizontal="center"/>
    </xf>
    <xf borderId="4" fillId="0" fontId="3" numFmtId="165" xfId="0" applyAlignment="1" applyBorder="1" applyFont="1" applyNumberFormat="1">
      <alignment horizontal="right" vertical="bottom"/>
    </xf>
    <xf borderId="9" fillId="0" fontId="10" numFmtId="4" xfId="0" applyAlignment="1" applyBorder="1" applyFont="1" applyNumberFormat="1">
      <alignment horizontal="center"/>
    </xf>
    <xf borderId="4" fillId="0" fontId="3" numFmtId="49" xfId="0" applyAlignment="1" applyBorder="1" applyFont="1" applyNumberFormat="1">
      <alignment horizontal="right" vertical="bottom"/>
    </xf>
    <xf borderId="12" fillId="9" fontId="6" numFmtId="0" xfId="0" applyAlignment="1" applyBorder="1" applyFill="1" applyFont="1">
      <alignment horizontal="right"/>
    </xf>
    <xf borderId="3" fillId="9" fontId="6" numFmtId="4" xfId="0" applyAlignment="1" applyBorder="1" applyFill="1" applyFont="1" applyNumberFormat="1">
      <alignment horizontal="right" vertical="bottom"/>
    </xf>
    <xf borderId="4" fillId="9" fontId="6" numFmtId="4" xfId="0" applyAlignment="1" applyBorder="1" applyFill="1" applyFont="1" applyNumberFormat="1">
      <alignment horizontal="right" vertical="bottom"/>
    </xf>
    <xf borderId="12" fillId="9" fontId="6" numFmtId="4" xfId="0" applyAlignment="1" applyBorder="1" applyFill="1" applyFont="1" applyNumberFormat="1">
      <alignment horizontal="right" vertical="bottom"/>
    </xf>
    <xf borderId="9" fillId="9" fontId="6" numFmtId="4" xfId="0" applyAlignment="1" applyBorder="1" applyFill="1" applyFont="1" applyNumberFormat="1">
      <alignment horizontal="right" vertical="bottom"/>
    </xf>
    <xf borderId="12" fillId="10" fontId="6" numFmtId="0" xfId="0" applyAlignment="1" applyBorder="1" applyFill="1" applyFont="1">
      <alignment horizontal="right" vertical="bottom"/>
    </xf>
    <xf borderId="4" fillId="0" fontId="11" numFmtId="0" xfId="0" applyAlignment="1" applyBorder="1" applyFont="1">
      <alignment vertical="bottom"/>
    </xf>
    <xf borderId="0" fillId="0" fontId="6" numFmtId="0" xfId="0" applyAlignment="1" applyFont="1">
      <alignment readingOrder="0" vertical="bottom"/>
    </xf>
    <xf borderId="0" fillId="11" fontId="12" numFmtId="0" xfId="0" applyAlignment="1" applyFill="1" applyFont="1">
      <alignment readingOrder="0"/>
    </xf>
    <xf borderId="11" fillId="10" fontId="6" numFmtId="10" xfId="0" applyAlignment="1" applyBorder="1" applyFill="1" applyFont="1" applyNumberFormat="1">
      <alignment horizontal="center" vertical="bottom"/>
    </xf>
    <xf borderId="4" fillId="0" fontId="11" numFmtId="0" xfId="0" applyAlignment="1" applyBorder="1" applyFont="1">
      <alignment readingOrder="0" vertical="bottom"/>
    </xf>
    <xf borderId="0" fillId="11" fontId="12" numFmtId="0" xfId="0" applyAlignment="1" applyFill="1" applyFont="1">
      <alignment horizontal="center" readingOrder="0"/>
    </xf>
    <xf borderId="4" fillId="10" fontId="6" numFmtId="10" xfId="0" applyAlignment="1" applyBorder="1" applyFill="1" applyFont="1" applyNumberFormat="1">
      <alignment horizontal="center" vertical="bottom"/>
    </xf>
    <xf borderId="12" fillId="10" fontId="6" numFmtId="10" xfId="0" applyAlignment="1" applyBorder="1" applyFill="1" applyFont="1" applyNumberFormat="1">
      <alignment horizontal="center" vertical="bottom"/>
    </xf>
    <xf borderId="9" fillId="10" fontId="6" numFmtId="10" xfId="0" applyAlignment="1" applyBorder="1" applyFill="1" applyFont="1" applyNumberFormat="1">
      <alignment horizontal="center" vertical="bottom"/>
    </xf>
    <xf borderId="12" fillId="9" fontId="6" numFmtId="49" xfId="0" applyAlignment="1" applyBorder="1" applyFill="1" applyFont="1" applyNumberFormat="1">
      <alignment horizontal="right" vertical="bottom"/>
    </xf>
    <xf borderId="11" fillId="0" fontId="8" numFmtId="49" xfId="0" applyAlignment="1" applyBorder="1" applyFont="1" applyNumberFormat="1">
      <alignment horizontal="center"/>
    </xf>
    <xf borderId="4" fillId="0" fontId="8" numFmtId="49" xfId="0" applyAlignment="1" applyBorder="1" applyFont="1" applyNumberFormat="1">
      <alignment horizontal="center"/>
    </xf>
    <xf borderId="12" fillId="0" fontId="8" numFmtId="49" xfId="0" applyAlignment="1" applyBorder="1" applyFont="1" applyNumberFormat="1">
      <alignment horizontal="center"/>
    </xf>
    <xf borderId="9" fillId="0" fontId="8" numFmtId="49" xfId="0" applyAlignment="1" applyBorder="1" applyFont="1" applyNumberFormat="1">
      <alignment horizontal="center"/>
    </xf>
    <xf borderId="12" fillId="9" fontId="6" numFmtId="0" xfId="0" applyAlignment="1" applyBorder="1" applyFill="1" applyFont="1">
      <alignment horizontal="right" vertical="bottom"/>
    </xf>
    <xf borderId="11" fillId="9" fontId="6" numFmtId="166" xfId="0" applyAlignment="1" applyBorder="1" applyFill="1" applyFont="1" applyNumberFormat="1">
      <alignment horizontal="right" readingOrder="0" vertical="bottom"/>
    </xf>
    <xf borderId="4" fillId="9" fontId="6" numFmtId="166" xfId="0" applyAlignment="1" applyBorder="1" applyFill="1" applyFont="1" applyNumberFormat="1">
      <alignment horizontal="right" readingOrder="0" vertical="bottom"/>
    </xf>
    <xf borderId="12" fillId="9" fontId="6" numFmtId="166" xfId="0" applyAlignment="1" applyBorder="1" applyFill="1" applyFont="1" applyNumberFormat="1">
      <alignment horizontal="right" readingOrder="0" vertical="bottom"/>
    </xf>
    <xf borderId="9" fillId="9" fontId="6" numFmtId="166" xfId="0" applyAlignment="1" applyBorder="1" applyFill="1" applyFont="1" applyNumberFormat="1">
      <alignment horizontal="right" readingOrder="0" vertical="bottom"/>
    </xf>
    <xf borderId="18" fillId="12" fontId="13" numFmtId="0" xfId="0" applyAlignment="1" applyBorder="1" applyFill="1" applyFont="1">
      <alignment horizontal="center" readingOrder="0" vertical="center"/>
    </xf>
    <xf borderId="3" fillId="0" fontId="8" numFmtId="49" xfId="0" applyAlignment="1" applyBorder="1" applyFont="1" applyNumberFormat="1">
      <alignment horizontal="center" readingOrder="0" vertical="bottom"/>
    </xf>
    <xf borderId="19" fillId="12" fontId="13" numFmtId="167" xfId="0" applyAlignment="1" applyBorder="1" applyFill="1" applyFont="1" applyNumberFormat="1">
      <alignment horizontal="center" readingOrder="0" vertical="center"/>
    </xf>
    <xf borderId="4" fillId="0" fontId="8" numFmtId="49" xfId="0" applyAlignment="1" applyBorder="1" applyFont="1" applyNumberFormat="1">
      <alignment horizontal="center" readingOrder="0" vertical="bottom"/>
    </xf>
    <xf borderId="4" fillId="0" fontId="8" numFmtId="49" xfId="0" applyAlignment="1" applyBorder="1" applyFont="1" applyNumberFormat="1">
      <alignment horizontal="center" vertical="bottom"/>
    </xf>
    <xf borderId="12" fillId="0" fontId="8" numFmtId="49" xfId="0" applyAlignment="1" applyBorder="1" applyFont="1" applyNumberFormat="1">
      <alignment horizontal="center" vertical="bottom"/>
    </xf>
    <xf borderId="9" fillId="0" fontId="8" numFmtId="49" xfId="0" applyAlignment="1" applyBorder="1" applyFont="1" applyNumberFormat="1">
      <alignment horizontal="center" vertical="bottom"/>
    </xf>
    <xf borderId="19" fillId="12" fontId="14" numFmtId="167" xfId="0" applyAlignment="1" applyBorder="1" applyFill="1" applyFont="1" applyNumberFormat="1">
      <alignment horizontal="center" readingOrder="0" vertical="center"/>
    </xf>
    <xf borderId="18" fillId="12" fontId="14" numFmtId="0" xfId="0" applyAlignment="1" applyBorder="1" applyFill="1" applyFont="1">
      <alignment horizontal="center" readingOrder="0" vertical="center"/>
    </xf>
    <xf borderId="3" fillId="0" fontId="8" numFmtId="49" xfId="0" applyAlignment="1" applyBorder="1" applyFont="1" applyNumberFormat="1">
      <alignment horizontal="center" vertical="bottom"/>
    </xf>
    <xf borderId="20" fillId="0" fontId="2" numFmtId="0" xfId="0" applyBorder="1" applyFont="1"/>
    <xf borderId="21" fillId="13" fontId="7" numFmtId="0" xfId="0" applyAlignment="1" applyBorder="1" applyFill="1" applyFont="1">
      <alignment readingOrder="0" vertical="bottom"/>
    </xf>
    <xf borderId="22" fillId="0" fontId="2" numFmtId="0" xfId="0" applyBorder="1" applyFont="1"/>
    <xf borderId="19" fillId="12" fontId="15" numFmtId="0" xfId="0" applyAlignment="1" applyBorder="1" applyFill="1" applyFont="1">
      <alignment horizontal="center" vertical="center"/>
    </xf>
    <xf borderId="23" fillId="4" fontId="2" numFmtId="0" xfId="0" applyBorder="1" applyFill="1" applyFont="1"/>
    <xf borderId="0" fillId="4" fontId="16" numFmtId="0" xfId="0" applyAlignment="1" applyFill="1" applyFont="1">
      <alignment horizontal="center" shrinkToFit="0" vertical="center" wrapText="1"/>
    </xf>
    <xf borderId="19" fillId="0" fontId="13" numFmtId="0" xfId="0" applyAlignment="1" applyBorder="1" applyFont="1">
      <alignment readingOrder="0"/>
    </xf>
    <xf borderId="0" fillId="4" fontId="16" numFmtId="0" xfId="0" applyAlignment="1" applyFill="1" applyFont="1">
      <alignment horizontal="center" vertical="center"/>
    </xf>
    <xf borderId="4" fillId="9" fontId="8" numFmtId="3" xfId="0" applyAlignment="1" applyBorder="1" applyFill="1" applyFont="1" applyNumberFormat="1">
      <alignment horizontal="center" vertical="bottom"/>
    </xf>
    <xf borderId="0" fillId="4" fontId="17" numFmtId="0" xfId="0" applyAlignment="1" applyFill="1" applyFont="1">
      <alignment horizontal="center" readingOrder="0" vertical="center"/>
    </xf>
    <xf borderId="19" fillId="14" fontId="1" numFmtId="0" xfId="0" applyAlignment="1" applyBorder="1" applyFill="1" applyFont="1">
      <alignment horizontal="center" vertical="bottom"/>
    </xf>
    <xf borderId="0" fillId="4" fontId="17" numFmtId="0" xfId="0" applyAlignment="1" applyFill="1" applyFont="1">
      <alignment horizontal="center" vertical="center"/>
    </xf>
    <xf borderId="24" fillId="2" fontId="17" numFmtId="0" xfId="0" applyAlignment="1" applyBorder="1" applyFill="1" applyFont="1">
      <alignment horizontal="center" readingOrder="0" vertical="center"/>
    </xf>
    <xf borderId="19" fillId="0" fontId="5" numFmtId="0" xfId="0" applyAlignment="1" applyBorder="1" applyFont="1">
      <alignment horizontal="center" vertical="bottom"/>
    </xf>
    <xf borderId="4" fillId="2" fontId="17" numFmtId="0" xfId="0" applyAlignment="1" applyBorder="1" applyFill="1" applyFont="1">
      <alignment horizontal="center" readingOrder="0" vertical="center"/>
    </xf>
    <xf borderId="19" fillId="0" fontId="5" numFmtId="0" xfId="0" applyAlignment="1" applyBorder="1" applyFont="1">
      <alignment horizontal="center" readingOrder="0" vertical="bottom"/>
    </xf>
    <xf borderId="19" fillId="15" fontId="18" numFmtId="0" xfId="0" applyAlignment="1" applyBorder="1" applyFill="1" applyFont="1">
      <alignment horizontal="center" vertical="bottom"/>
    </xf>
    <xf borderId="4" fillId="2" fontId="17" numFmtId="0" xfId="0" applyAlignment="1" applyBorder="1" applyFill="1" applyFont="1">
      <alignment horizontal="center" vertical="center"/>
    </xf>
    <xf borderId="4" fillId="2" fontId="16" numFmtId="0" xfId="0" applyAlignment="1" applyBorder="1" applyFill="1" applyFont="1">
      <alignment horizontal="center" readingOrder="0" shrinkToFit="0" vertical="center" wrapText="1"/>
    </xf>
    <xf borderId="3" fillId="14" fontId="1" numFmtId="9" xfId="0" applyAlignment="1" applyBorder="1" applyFill="1" applyFont="1" applyNumberFormat="1">
      <alignment horizontal="center" vertical="bottom"/>
    </xf>
    <xf borderId="12" fillId="9" fontId="8" numFmtId="3" xfId="0" applyAlignment="1" applyBorder="1" applyFill="1" applyFont="1" applyNumberFormat="1">
      <alignment horizontal="right" vertical="bottom"/>
    </xf>
    <xf borderId="4" fillId="2" fontId="16" numFmtId="0" xfId="0" applyAlignment="1" applyBorder="1" applyFill="1" applyFont="1">
      <alignment horizontal="center" readingOrder="0" vertical="center"/>
    </xf>
    <xf borderId="9" fillId="9" fontId="8" numFmtId="3" xfId="0" applyAlignment="1" applyBorder="1" applyFill="1" applyFont="1" applyNumberFormat="1">
      <alignment horizontal="right" vertical="bottom"/>
    </xf>
    <xf borderId="4" fillId="2" fontId="16" numFmtId="0" xfId="0" applyAlignment="1" applyBorder="1" applyFill="1" applyFont="1">
      <alignment horizontal="center" vertical="center"/>
    </xf>
    <xf borderId="11" fillId="9" fontId="6" numFmtId="10" xfId="0" applyAlignment="1" applyBorder="1" applyFill="1" applyFont="1" applyNumberFormat="1">
      <alignment horizontal="right" vertical="bottom"/>
    </xf>
    <xf borderId="4" fillId="14" fontId="1" numFmtId="0" xfId="0" applyAlignment="1" applyBorder="1" applyFill="1" applyFont="1">
      <alignment horizontal="center" vertical="bottom"/>
    </xf>
    <xf borderId="4" fillId="9" fontId="6" numFmtId="10" xfId="0" applyAlignment="1" applyBorder="1" applyFill="1" applyFont="1" applyNumberFormat="1">
      <alignment horizontal="right" vertical="bottom"/>
    </xf>
    <xf borderId="12" fillId="9" fontId="6" numFmtId="10" xfId="0" applyAlignment="1" applyBorder="1" applyFill="1" applyFont="1" applyNumberFormat="1">
      <alignment horizontal="right" vertical="bottom"/>
    </xf>
    <xf borderId="9" fillId="9" fontId="6" numFmtId="10" xfId="0" applyAlignment="1" applyBorder="1" applyFill="1" applyFont="1" applyNumberFormat="1">
      <alignment horizontal="right" vertical="bottom"/>
    </xf>
    <xf borderId="4" fillId="0" fontId="19" numFmtId="0" xfId="0" applyAlignment="1" applyBorder="1" applyFont="1">
      <alignment horizontal="center" vertical="bottom"/>
    </xf>
    <xf borderId="3" fillId="9" fontId="6" numFmtId="10" xfId="0" applyAlignment="1" applyBorder="1" applyFill="1" applyFont="1" applyNumberFormat="1">
      <alignment horizontal="right" vertical="bottom"/>
    </xf>
    <xf borderId="4" fillId="4" fontId="9" numFmtId="168" xfId="0" applyAlignment="1" applyBorder="1" applyFill="1" applyFont="1" applyNumberFormat="1">
      <alignment horizontal="center" readingOrder="0"/>
    </xf>
    <xf borderId="12" fillId="10" fontId="6" numFmtId="49" xfId="0" applyAlignment="1" applyBorder="1" applyFill="1" applyFont="1" applyNumberFormat="1">
      <alignment horizontal="right" vertical="bottom"/>
    </xf>
    <xf borderId="3" fillId="10" fontId="6" numFmtId="10" xfId="0" applyAlignment="1" applyBorder="1" applyFill="1" applyFont="1" applyNumberFormat="1">
      <alignment horizontal="center" vertical="bottom"/>
    </xf>
    <xf borderId="4" fillId="0" fontId="9" numFmtId="0" xfId="0" applyAlignment="1" applyBorder="1" applyFont="1">
      <alignment horizontal="center"/>
    </xf>
    <xf borderId="11" fillId="9" fontId="6" numFmtId="2" xfId="0" applyAlignment="1" applyBorder="1" applyFill="1" applyFont="1" applyNumberFormat="1">
      <alignment horizontal="right" vertical="bottom"/>
    </xf>
    <xf borderId="4" fillId="9" fontId="6" numFmtId="2" xfId="0" applyAlignment="1" applyBorder="1" applyFill="1" applyFont="1" applyNumberFormat="1">
      <alignment horizontal="right" vertical="bottom"/>
    </xf>
    <xf borderId="12" fillId="9" fontId="6" numFmtId="2" xfId="0" applyAlignment="1" applyBorder="1" applyFill="1" applyFont="1" applyNumberFormat="1">
      <alignment horizontal="right" vertical="bottom"/>
    </xf>
    <xf borderId="9" fillId="9" fontId="6" numFmtId="2" xfId="0" applyAlignment="1" applyBorder="1" applyFill="1" applyFont="1" applyNumberFormat="1">
      <alignment horizontal="right" vertical="bottom"/>
    </xf>
    <xf borderId="11" fillId="0" fontId="8" numFmtId="49" xfId="0" applyAlignment="1" applyBorder="1" applyFont="1" applyNumberFormat="1">
      <alignment horizontal="right" vertical="bottom"/>
    </xf>
    <xf borderId="4" fillId="0" fontId="8" numFmtId="49" xfId="0" applyAlignment="1" applyBorder="1" applyFont="1" applyNumberFormat="1">
      <alignment horizontal="right" vertical="bottom"/>
    </xf>
    <xf borderId="12" fillId="0" fontId="8" numFmtId="49" xfId="0" applyAlignment="1" applyBorder="1" applyFont="1" applyNumberFormat="1">
      <alignment horizontal="right" vertical="bottom"/>
    </xf>
    <xf borderId="9" fillId="0" fontId="8" numFmtId="49" xfId="0" applyAlignment="1" applyBorder="1" applyFont="1" applyNumberFormat="1">
      <alignment horizontal="right" vertical="bottom"/>
    </xf>
    <xf borderId="12" fillId="6" fontId="6" numFmtId="0" xfId="0" applyAlignment="1" applyBorder="1" applyFill="1" applyFont="1">
      <alignment horizontal="center" shrinkToFit="0" vertical="bottom" wrapText="1"/>
    </xf>
    <xf borderId="4" fillId="4" fontId="20" numFmtId="10" xfId="0" applyAlignment="1" applyBorder="1" applyFill="1" applyFont="1" applyNumberFormat="1">
      <alignment horizontal="center" shrinkToFit="0" vertical="bottom" wrapText="0"/>
    </xf>
    <xf borderId="11" fillId="9" fontId="8" numFmtId="2" xfId="0" applyAlignment="1" applyBorder="1" applyFill="1" applyFont="1" applyNumberFormat="1">
      <alignment horizontal="right" vertical="bottom"/>
    </xf>
    <xf borderId="4" fillId="9" fontId="8" numFmtId="2" xfId="0" applyAlignment="1" applyBorder="1" applyFill="1" applyFont="1" applyNumberFormat="1">
      <alignment horizontal="right" vertical="bottom"/>
    </xf>
    <xf borderId="4" fillId="4" fontId="5" numFmtId="0" xfId="0" applyAlignment="1" applyBorder="1" applyFill="1" applyFont="1">
      <alignment readingOrder="0" vertical="bottom"/>
    </xf>
    <xf borderId="12" fillId="9" fontId="8" numFmtId="2" xfId="0" applyAlignment="1" applyBorder="1" applyFill="1" applyFont="1" applyNumberFormat="1">
      <alignment horizontal="right" vertical="bottom"/>
    </xf>
    <xf borderId="9" fillId="9" fontId="8" numFmtId="2" xfId="0" applyAlignment="1" applyBorder="1" applyFill="1" applyFont="1" applyNumberFormat="1">
      <alignment horizontal="right" vertical="bottom"/>
    </xf>
    <xf borderId="4" fillId="0" fontId="5" numFmtId="0" xfId="0" applyAlignment="1" applyBorder="1" applyFont="1">
      <alignment readingOrder="0" vertical="bottom"/>
    </xf>
    <xf borderId="19" fillId="0" fontId="9" numFmtId="0" xfId="0" applyAlignment="1" applyBorder="1" applyFont="1">
      <alignment horizontal="center" readingOrder="0"/>
    </xf>
    <xf borderId="4" fillId="4" fontId="5" numFmtId="0" xfId="0" applyAlignment="1" applyBorder="1" applyFill="1" applyFont="1">
      <alignment horizontal="center" vertical="bottom"/>
    </xf>
    <xf borderId="4" fillId="4" fontId="5" numFmtId="10" xfId="0" applyAlignment="1" applyBorder="1" applyFill="1" applyFont="1" applyNumberFormat="1">
      <alignment vertical="bottom"/>
    </xf>
    <xf borderId="19" fillId="0" fontId="9" numFmtId="0" xfId="0" applyAlignment="1" applyBorder="1" applyFont="1">
      <alignment horizontal="center"/>
    </xf>
    <xf borderId="3" fillId="9" fontId="8" numFmtId="2" xfId="0" applyAlignment="1" applyBorder="1" applyFill="1" applyFont="1" applyNumberFormat="1">
      <alignment horizontal="right" vertical="bottom"/>
    </xf>
    <xf borderId="19" fillId="0" fontId="9" numFmtId="10" xfId="0" applyAlignment="1" applyBorder="1" applyFont="1" applyNumberFormat="1">
      <alignment horizontal="center" readingOrder="0"/>
    </xf>
    <xf borderId="19" fillId="0" fontId="9" numFmtId="169" xfId="0" applyAlignment="1" applyBorder="1" applyFont="1" applyNumberFormat="1">
      <alignment horizontal="center" readingOrder="0"/>
    </xf>
    <xf borderId="12" fillId="9" fontId="6" numFmtId="0" xfId="0" applyAlignment="1" applyBorder="1" applyFill="1" applyFont="1">
      <alignment horizontal="center" shrinkToFit="0" vertical="bottom" wrapText="1"/>
    </xf>
    <xf borderId="4" fillId="16" fontId="20" numFmtId="10" xfId="0" applyAlignment="1" applyBorder="1" applyFill="1" applyFont="1" applyNumberFormat="1">
      <alignment horizontal="center" shrinkToFit="0" vertical="bottom" wrapText="0"/>
    </xf>
    <xf borderId="4" fillId="16" fontId="5" numFmtId="0" xfId="0" applyAlignment="1" applyBorder="1" applyFill="1" applyFont="1">
      <alignment readingOrder="0" vertical="bottom"/>
    </xf>
    <xf borderId="4" fillId="14" fontId="21" numFmtId="0" xfId="0" applyAlignment="1" applyBorder="1" applyFill="1" applyFont="1">
      <alignment horizontal="center" vertical="bottom"/>
    </xf>
    <xf borderId="11" fillId="10" fontId="6" numFmtId="10" xfId="0" applyAlignment="1" applyBorder="1" applyFill="1" applyFont="1" applyNumberFormat="1">
      <alignment horizontal="center"/>
    </xf>
    <xf borderId="4" fillId="10" fontId="6" numFmtId="10" xfId="0" applyAlignment="1" applyBorder="1" applyFill="1" applyFont="1" applyNumberFormat="1">
      <alignment horizontal="center"/>
    </xf>
    <xf borderId="12" fillId="10" fontId="6" numFmtId="10" xfId="0" applyAlignment="1" applyBorder="1" applyFill="1" applyFont="1" applyNumberFormat="1">
      <alignment horizontal="center"/>
    </xf>
    <xf borderId="9" fillId="10" fontId="6" numFmtId="10" xfId="0" applyAlignment="1" applyBorder="1" applyFill="1" applyFont="1" applyNumberFormat="1">
      <alignment horizontal="center"/>
    </xf>
    <xf borderId="11" fillId="0" fontId="8" numFmtId="0" xfId="0" applyAlignment="1" applyBorder="1" applyFont="1">
      <alignment readingOrder="0" vertical="bottom"/>
    </xf>
    <xf borderId="4" fillId="0" fontId="8" numFmtId="0" xfId="0" applyAlignment="1" applyBorder="1" applyFont="1">
      <alignment vertical="bottom"/>
    </xf>
    <xf borderId="4" fillId="0" fontId="8" numFmtId="0" xfId="0" applyAlignment="1" applyBorder="1" applyFont="1">
      <alignment readingOrder="0" vertical="bottom"/>
    </xf>
    <xf borderId="12" fillId="0" fontId="8" numFmtId="0" xfId="0" applyAlignment="1" applyBorder="1" applyFont="1">
      <alignment vertical="bottom"/>
    </xf>
    <xf borderId="9" fillId="0" fontId="8" numFmtId="0" xfId="0" applyAlignment="1" applyBorder="1" applyFont="1">
      <alignment vertical="bottom"/>
    </xf>
    <xf borderId="25" fillId="6" fontId="6" numFmtId="0" xfId="0" applyAlignment="1" applyBorder="1" applyFill="1" applyFont="1">
      <alignment horizontal="center" shrinkToFit="0" vertical="bottom" wrapText="1"/>
    </xf>
    <xf borderId="26" fillId="0" fontId="8" numFmtId="164" xfId="0" applyAlignment="1" applyBorder="1" applyFont="1" applyNumberFormat="1">
      <alignment vertical="bottom"/>
    </xf>
    <xf borderId="27" fillId="0" fontId="8" numFmtId="164" xfId="0" applyAlignment="1" applyBorder="1" applyFont="1" applyNumberFormat="1">
      <alignment vertical="bottom"/>
    </xf>
    <xf borderId="28" fillId="0" fontId="22" numFmtId="0" xfId="0" applyAlignment="1" applyBorder="1" applyFont="1">
      <alignment shrinkToFit="0" vertical="bottom" wrapText="1"/>
    </xf>
    <xf borderId="9" fillId="0" fontId="22" numFmtId="0" xfId="0" applyAlignment="1" applyBorder="1" applyFont="1">
      <alignment shrinkToFit="0" vertical="bottom" wrapText="1"/>
    </xf>
    <xf borderId="10" fillId="17" fontId="6" numFmtId="0" xfId="0" applyAlignment="1" applyBorder="1" applyFill="1" applyFont="1">
      <alignment horizontal="center" readingOrder="0" shrinkToFit="0" wrapText="1"/>
    </xf>
    <xf borderId="13" fillId="17" fontId="6" numFmtId="0" xfId="0" applyAlignment="1" applyBorder="1" applyFill="1" applyFont="1">
      <alignment horizontal="center" readingOrder="0" shrinkToFit="0" wrapText="1"/>
    </xf>
    <xf borderId="0" fillId="0" fontId="9" numFmtId="0" xfId="0" applyAlignment="1" applyFont="1">
      <alignment readingOrder="0"/>
    </xf>
    <xf borderId="19" fillId="0" fontId="9" numFmtId="9" xfId="0" applyAlignment="1" applyBorder="1" applyFont="1" applyNumberFormat="1">
      <alignment horizontal="center" readingOrder="0"/>
    </xf>
    <xf borderId="10" fillId="6" fontId="6" numFmtId="0" xfId="0" applyAlignment="1" applyBorder="1" applyFill="1" applyFont="1">
      <alignment horizontal="center" readingOrder="0" shrinkToFit="0" vertical="center" wrapText="1"/>
    </xf>
    <xf borderId="11" fillId="7" fontId="7" numFmtId="0" xfId="0" applyAlignment="1" applyBorder="1" applyFill="1" applyFont="1">
      <alignment horizontal="center" shrinkToFit="0" vertical="center" wrapText="1"/>
    </xf>
    <xf borderId="4" fillId="7" fontId="7" numFmtId="0" xfId="0" applyAlignment="1" applyBorder="1" applyFill="1" applyFont="1">
      <alignment horizontal="center" shrinkToFit="0" vertical="center" wrapText="1"/>
    </xf>
    <xf borderId="4" fillId="7" fontId="7" numFmtId="0" xfId="0" applyAlignment="1" applyBorder="1" applyFill="1" applyFont="1">
      <alignment horizontal="center" shrinkToFit="0" vertical="center" wrapText="1"/>
    </xf>
    <xf borderId="12" fillId="7" fontId="7" numFmtId="0" xfId="0" applyAlignment="1" applyBorder="1" applyFill="1" applyFont="1">
      <alignment horizontal="center" shrinkToFit="0" vertical="center" wrapText="1"/>
    </xf>
    <xf borderId="19" fillId="14" fontId="13" numFmtId="10" xfId="0" applyAlignment="1" applyBorder="1" applyFill="1" applyFont="1" applyNumberFormat="1">
      <alignment horizontal="center"/>
    </xf>
    <xf borderId="9" fillId="7" fontId="7" numFmtId="0" xfId="0" applyAlignment="1" applyBorder="1" applyFill="1" applyFont="1">
      <alignment horizontal="center" shrinkToFit="0" vertical="center" wrapText="1"/>
    </xf>
    <xf borderId="13" fillId="8" fontId="6" numFmtId="0" xfId="0" applyAlignment="1" applyBorder="1" applyFill="1" applyFont="1">
      <alignment horizontal="center" readingOrder="0" shrinkToFit="0" vertical="bottom" wrapText="1"/>
    </xf>
    <xf borderId="9" fillId="8" fontId="6" numFmtId="0" xfId="0" applyAlignment="1" applyBorder="1" applyFill="1" applyFont="1">
      <alignment horizontal="center" readingOrder="0" shrinkToFit="0" vertical="bottom" wrapText="1"/>
    </xf>
    <xf borderId="19" fillId="14" fontId="13" numFmtId="0" xfId="0" applyAlignment="1" applyBorder="1" applyFill="1" applyFont="1">
      <alignment horizontal="center" readingOrder="0"/>
    </xf>
    <xf borderId="9" fillId="6" fontId="8" numFmtId="164" xfId="0" applyAlignment="1" applyBorder="1" applyFill="1" applyFont="1" applyNumberFormat="1">
      <alignment vertical="bottom"/>
    </xf>
    <xf borderId="11" fillId="0" fontId="8" numFmtId="4" xfId="0" applyAlignment="1" applyBorder="1" applyFont="1" applyNumberFormat="1">
      <alignment horizontal="center" vertical="bottom"/>
    </xf>
    <xf borderId="4" fillId="0" fontId="8" numFmtId="4" xfId="0" applyAlignment="1" applyBorder="1" applyFont="1" applyNumberFormat="1">
      <alignment horizontal="center" vertical="bottom"/>
    </xf>
    <xf borderId="19" fillId="0" fontId="9" numFmtId="10" xfId="0" applyAlignment="1" applyBorder="1" applyFont="1" applyNumberFormat="1">
      <alignment horizontal="center"/>
    </xf>
    <xf borderId="3" fillId="0" fontId="8" numFmtId="4" xfId="0" applyAlignment="1" applyBorder="1" applyFont="1" applyNumberFormat="1">
      <alignment horizontal="center" vertical="bottom"/>
    </xf>
    <xf borderId="12" fillId="0" fontId="8" numFmtId="4" xfId="0" applyAlignment="1" applyBorder="1" applyFont="1" applyNumberFormat="1">
      <alignment horizontal="center" vertical="bottom"/>
    </xf>
    <xf borderId="9" fillId="0" fontId="8" numFmtId="4" xfId="0" applyAlignment="1" applyBorder="1" applyFont="1" applyNumberFormat="1">
      <alignment horizontal="center" vertical="bottom"/>
    </xf>
    <xf borderId="11" fillId="9" fontId="6" numFmtId="4" xfId="0" applyAlignment="1" applyBorder="1" applyFill="1" applyFont="1" applyNumberFormat="1">
      <alignment horizontal="right" vertical="bottom"/>
    </xf>
    <xf borderId="29" fillId="9" fontId="6" numFmtId="4" xfId="0" applyAlignment="1" applyBorder="1" applyFill="1" applyFont="1" applyNumberFormat="1">
      <alignment horizontal="right" vertical="bottom"/>
    </xf>
    <xf borderId="0" fillId="0" fontId="13" numFmtId="0" xfId="0" applyAlignment="1" applyFont="1">
      <alignment readingOrder="0"/>
    </xf>
    <xf borderId="0" fillId="0" fontId="23" numFmtId="0" xfId="0" applyAlignment="1" applyFont="1">
      <alignment readingOrder="0"/>
    </xf>
    <xf borderId="11" fillId="0" fontId="8" numFmtId="49" xfId="0" applyAlignment="1" applyBorder="1" applyFont="1" applyNumberFormat="1">
      <alignment horizontal="center" vertical="bottom"/>
    </xf>
    <xf borderId="11" fillId="9" fontId="6" numFmtId="166" xfId="0" applyAlignment="1" applyBorder="1" applyFill="1" applyFont="1" applyNumberFormat="1">
      <alignment horizontal="right" vertical="bottom"/>
    </xf>
    <xf borderId="4" fillId="9" fontId="6" numFmtId="166" xfId="0" applyAlignment="1" applyBorder="1" applyFill="1" applyFont="1" applyNumberFormat="1">
      <alignment horizontal="right" vertical="bottom"/>
    </xf>
    <xf borderId="12" fillId="9" fontId="6" numFmtId="166" xfId="0" applyAlignment="1" applyBorder="1" applyFill="1" applyFont="1" applyNumberFormat="1">
      <alignment horizontal="right" vertical="bottom"/>
    </xf>
    <xf borderId="9" fillId="9" fontId="6" numFmtId="166" xfId="0" applyAlignment="1" applyBorder="1" applyFill="1" applyFont="1" applyNumberFormat="1">
      <alignment horizontal="right" vertical="bottom"/>
    </xf>
    <xf borderId="0" fillId="2" fontId="13" numFmtId="170" xfId="0" applyAlignment="1" applyFill="1" applyFont="1" applyNumberFormat="1">
      <alignment readingOrder="0"/>
    </xf>
    <xf borderId="19" fillId="4" fontId="5" numFmtId="0" xfId="0" applyAlignment="1" applyBorder="1" applyFill="1" applyFont="1">
      <alignment horizontal="center" readingOrder="0" vertical="bottom"/>
    </xf>
    <xf borderId="0" fillId="18" fontId="13" numFmtId="0" xfId="0" applyAlignment="1" applyFill="1" applyFont="1">
      <alignment readingOrder="0"/>
    </xf>
    <xf borderId="19" fillId="4" fontId="18" numFmtId="0" xfId="0" applyAlignment="1" applyBorder="1" applyFill="1" applyFont="1">
      <alignment horizontal="center" readingOrder="0" vertical="bottom"/>
    </xf>
    <xf borderId="11" fillId="9" fontId="8" numFmtId="3" xfId="0" applyAlignment="1" applyBorder="1" applyFill="1" applyFont="1" applyNumberFormat="1">
      <alignment horizontal="right" vertical="bottom"/>
    </xf>
    <xf borderId="0" fillId="19" fontId="13" numFmtId="0" xfId="0" applyAlignment="1" applyFill="1" applyFont="1">
      <alignment readingOrder="0"/>
    </xf>
    <xf borderId="30" fillId="13" fontId="18" numFmtId="0" xfId="0" applyAlignment="1" applyBorder="1" applyFill="1" applyFont="1">
      <alignment vertical="center"/>
    </xf>
    <xf borderId="24" fillId="13" fontId="18" numFmtId="0" xfId="0" applyAlignment="1" applyBorder="1" applyFill="1" applyFont="1">
      <alignment horizontal="center" vertical="center"/>
    </xf>
    <xf borderId="4" fillId="13" fontId="18" numFmtId="171" xfId="0" applyAlignment="1" applyBorder="1" applyFill="1" applyFont="1" applyNumberFormat="1">
      <alignment horizontal="center" readingOrder="0" vertical="center"/>
    </xf>
    <xf borderId="31" fillId="20" fontId="24" numFmtId="0" xfId="0" applyAlignment="1" applyBorder="1" applyFill="1" applyFont="1">
      <alignment horizontal="center" vertical="center"/>
    </xf>
    <xf borderId="19" fillId="4" fontId="25" numFmtId="0" xfId="0" applyAlignment="1" applyBorder="1" applyFill="1" applyFont="1">
      <alignment horizontal="center" readingOrder="0" vertical="bottom"/>
    </xf>
    <xf borderId="24" fillId="20" fontId="24" numFmtId="0" xfId="0" applyAlignment="1" applyBorder="1" applyFill="1" applyFont="1">
      <alignment horizontal="center" vertical="center"/>
    </xf>
    <xf borderId="32" fillId="0" fontId="2" numFmtId="0" xfId="0" applyBorder="1" applyFont="1"/>
    <xf borderId="33" fillId="0" fontId="2" numFmtId="0" xfId="0" applyBorder="1" applyFont="1"/>
    <xf borderId="4" fillId="9" fontId="8" numFmtId="3" xfId="0" applyAlignment="1" applyBorder="1" applyFill="1" applyFont="1" applyNumberFormat="1">
      <alignment horizontal="right" vertical="bottom"/>
    </xf>
    <xf borderId="4" fillId="13" fontId="26" numFmtId="0" xfId="0" applyAlignment="1" applyBorder="1" applyFill="1" applyFont="1">
      <alignment horizontal="center" vertical="center"/>
    </xf>
    <xf borderId="29" fillId="0" fontId="2" numFmtId="0" xfId="0" applyBorder="1" applyFont="1"/>
    <xf borderId="1" fillId="4" fontId="20" numFmtId="0" xfId="0" applyAlignment="1" applyBorder="1" applyFill="1" applyFont="1">
      <alignment shrinkToFit="0" vertical="bottom" wrapText="0"/>
    </xf>
    <xf borderId="19" fillId="21" fontId="18" numFmtId="0" xfId="0" applyAlignment="1" applyBorder="1" applyFill="1" applyFont="1">
      <alignment horizontal="center" readingOrder="0" vertical="bottom"/>
    </xf>
    <xf borderId="4" fillId="4" fontId="20" numFmtId="0" xfId="0" applyAlignment="1" applyBorder="1" applyFill="1" applyFont="1">
      <alignment horizontal="center" shrinkToFit="0" vertical="bottom" wrapText="0"/>
    </xf>
    <xf borderId="19" fillId="22" fontId="18" numFmtId="0" xfId="0" applyAlignment="1" applyBorder="1" applyFill="1" applyFont="1">
      <alignment horizontal="center" readingOrder="0" vertical="bottom"/>
    </xf>
    <xf borderId="4" fillId="0" fontId="5" numFmtId="0" xfId="0" applyAlignment="1" applyBorder="1" applyFont="1">
      <alignment horizontal="center" readingOrder="0" vertical="bottom"/>
    </xf>
    <xf borderId="4" fillId="0" fontId="5" numFmtId="0" xfId="0" applyAlignment="1" applyBorder="1" applyFont="1">
      <alignment horizontal="center" readingOrder="0" vertical="bottom"/>
    </xf>
    <xf borderId="4" fillId="0" fontId="25" numFmtId="10" xfId="0" applyAlignment="1" applyBorder="1" applyFont="1" applyNumberFormat="1">
      <alignment horizontal="center" readingOrder="0" vertical="bottom"/>
    </xf>
    <xf borderId="3" fillId="20" fontId="1" numFmtId="9" xfId="0" applyAlignment="1" applyBorder="1" applyFill="1" applyFont="1" applyNumberFormat="1">
      <alignment horizontal="center" vertical="bottom"/>
    </xf>
    <xf borderId="0" fillId="0" fontId="9" numFmtId="0" xfId="0" applyAlignment="1" applyFont="1">
      <alignment horizontal="center"/>
    </xf>
    <xf borderId="4" fillId="23" fontId="13" numFmtId="0" xfId="0" applyAlignment="1" applyBorder="1" applyFill="1" applyFont="1">
      <alignment readingOrder="0"/>
    </xf>
    <xf borderId="4" fillId="23" fontId="13" numFmtId="10" xfId="0" applyBorder="1" applyFill="1" applyFont="1" applyNumberFormat="1"/>
    <xf borderId="0" fillId="16" fontId="5" numFmtId="0" xfId="0" applyAlignment="1" applyFill="1" applyFont="1">
      <alignment readingOrder="0" vertical="bottom"/>
    </xf>
    <xf borderId="4" fillId="20" fontId="1" numFmtId="0" xfId="0" applyAlignment="1" applyBorder="1" applyFill="1" applyFont="1">
      <alignment horizontal="center" vertical="bottom"/>
    </xf>
    <xf borderId="1" fillId="16" fontId="20" numFmtId="0" xfId="0" applyAlignment="1" applyBorder="1" applyFill="1" applyFont="1">
      <alignment shrinkToFit="0" vertical="bottom" wrapText="0"/>
    </xf>
    <xf borderId="4" fillId="16" fontId="20" numFmtId="0" xfId="0" applyAlignment="1" applyBorder="1" applyFill="1" applyFont="1">
      <alignment horizontal="center" shrinkToFit="0" vertical="bottom" wrapText="0"/>
    </xf>
    <xf borderId="4" fillId="16" fontId="20" numFmtId="0" xfId="0" applyAlignment="1" applyBorder="1" applyFill="1" applyFont="1">
      <alignment vertical="bottom"/>
    </xf>
    <xf borderId="4" fillId="4" fontId="20" numFmtId="0" xfId="0" applyAlignment="1" applyBorder="1" applyFill="1" applyFont="1">
      <alignment readingOrder="0" vertical="bottom"/>
    </xf>
    <xf borderId="4" fillId="0" fontId="25" numFmtId="0" xfId="0" applyAlignment="1" applyBorder="1" applyFont="1">
      <alignment horizontal="center" readingOrder="0" vertical="bottom"/>
    </xf>
    <xf borderId="24" fillId="13" fontId="12" numFmtId="0" xfId="0" applyAlignment="1" applyBorder="1" applyFill="1" applyFont="1">
      <alignment horizontal="center" readingOrder="0" vertical="center"/>
    </xf>
    <xf borderId="24" fillId="5" fontId="14" numFmtId="0" xfId="0" applyAlignment="1" applyBorder="1" applyFill="1" applyFont="1">
      <alignment horizontal="center" readingOrder="0" vertical="center"/>
    </xf>
    <xf borderId="33" fillId="16" fontId="2" numFmtId="0" xfId="0" applyBorder="1" applyFill="1" applyFont="1"/>
    <xf borderId="4" fillId="24" fontId="5" numFmtId="0" xfId="0" applyAlignment="1" applyBorder="1" applyFill="1" applyFont="1">
      <alignment horizontal="center" readingOrder="0" vertical="bottom"/>
    </xf>
    <xf borderId="4" fillId="24" fontId="5" numFmtId="0" xfId="0" applyAlignment="1" applyBorder="1" applyFill="1" applyFont="1">
      <alignment horizontal="center" vertical="bottom"/>
    </xf>
    <xf borderId="4" fillId="24" fontId="8" numFmtId="10" xfId="0" applyAlignment="1" applyBorder="1" applyFill="1" applyFont="1" applyNumberFormat="1">
      <alignment horizontal="center" vertical="bottom"/>
    </xf>
    <xf borderId="11" fillId="9" fontId="6" numFmtId="10" xfId="0" applyAlignment="1" applyBorder="1" applyFill="1" applyFont="1" applyNumberFormat="1">
      <alignment horizontal="center" vertical="bottom"/>
    </xf>
    <xf borderId="4" fillId="24" fontId="5" numFmtId="169" xfId="0" applyAlignment="1" applyBorder="1" applyFill="1" applyFont="1" applyNumberFormat="1">
      <alignment horizontal="center" readingOrder="0" vertical="bottom"/>
    </xf>
    <xf borderId="4" fillId="9" fontId="6" numFmtId="10" xfId="0" applyAlignment="1" applyBorder="1" applyFill="1" applyFont="1" applyNumberFormat="1">
      <alignment horizontal="center" vertical="bottom"/>
    </xf>
    <xf borderId="12" fillId="9" fontId="6" numFmtId="10" xfId="0" applyAlignment="1" applyBorder="1" applyFill="1" applyFont="1" applyNumberFormat="1">
      <alignment horizontal="center" vertical="bottom"/>
    </xf>
    <xf borderId="9" fillId="9" fontId="6" numFmtId="10" xfId="0" applyAlignment="1" applyBorder="1" applyFill="1" applyFont="1" applyNumberFormat="1">
      <alignment horizontal="center" vertical="bottom"/>
    </xf>
    <xf borderId="11" fillId="0" fontId="8" numFmtId="0" xfId="0" applyAlignment="1" applyBorder="1" applyFont="1">
      <alignment vertical="bottom"/>
    </xf>
    <xf borderId="4" fillId="0" fontId="8" numFmtId="0" xfId="0" applyAlignment="1" applyBorder="1" applyFont="1">
      <alignment vertical="bottom"/>
    </xf>
    <xf borderId="12" fillId="0" fontId="8" numFmtId="0" xfId="0" applyAlignment="1" applyBorder="1" applyFont="1">
      <alignment vertical="bottom"/>
    </xf>
    <xf borderId="9" fillId="0" fontId="8" numFmtId="0" xfId="0" applyAlignment="1" applyBorder="1" applyFont="1">
      <alignment vertical="bottom"/>
    </xf>
    <xf borderId="4" fillId="5" fontId="23" numFmtId="0" xfId="0" applyAlignment="1" applyBorder="1" applyFill="1" applyFont="1">
      <alignment horizontal="center"/>
    </xf>
    <xf borderId="12" fillId="7" fontId="7" numFmtId="0" xfId="0" applyAlignment="1" applyBorder="1" applyFill="1" applyFont="1">
      <alignment horizontal="center" readingOrder="0" shrinkToFit="0" vertical="center" wrapText="1"/>
    </xf>
    <xf borderId="9" fillId="7" fontId="7" numFmtId="0" xfId="0" applyAlignment="1" applyBorder="1" applyFill="1" applyFont="1">
      <alignment horizontal="center" readingOrder="0" shrinkToFit="0" vertical="center" wrapText="1"/>
    </xf>
    <xf borderId="34" fillId="8" fontId="6" numFmtId="0" xfId="0" applyAlignment="1" applyBorder="1" applyFill="1" applyFont="1">
      <alignment horizontal="center" readingOrder="0" shrinkToFit="0" vertical="bottom" wrapText="1"/>
    </xf>
    <xf borderId="35" fillId="0" fontId="2" numFmtId="0" xfId="0" applyBorder="1" applyFont="1"/>
    <xf borderId="36" fillId="0" fontId="2" numFmtId="0" xfId="0" applyBorder="1" applyFont="1"/>
    <xf borderId="11" fillId="0" fontId="8" numFmtId="4" xfId="0" applyAlignment="1" applyBorder="1" applyFont="1" applyNumberFormat="1">
      <alignment horizontal="center" readingOrder="0" vertical="bottom"/>
    </xf>
    <xf borderId="4" fillId="0" fontId="8" numFmtId="4" xfId="0" applyAlignment="1" applyBorder="1" applyFont="1" applyNumberFormat="1">
      <alignment horizontal="center" readingOrder="0" vertical="bottom"/>
    </xf>
    <xf borderId="12" fillId="0" fontId="8" numFmtId="4" xfId="0" applyAlignment="1" applyBorder="1" applyFont="1" applyNumberFormat="1">
      <alignment horizontal="center" readingOrder="0" vertical="bottom"/>
    </xf>
    <xf borderId="9" fillId="0" fontId="8" numFmtId="4" xfId="0" applyAlignment="1" applyBorder="1" applyFont="1" applyNumberFormat="1">
      <alignment horizontal="center" readingOrder="0" vertical="bottom"/>
    </xf>
    <xf borderId="4" fillId="9" fontId="6" numFmtId="4" xfId="0" applyAlignment="1" applyBorder="1" applyFill="1" applyFont="1" applyNumberFormat="1">
      <alignment horizontal="right" readingOrder="0" vertical="bottom"/>
    </xf>
    <xf borderId="4" fillId="2" fontId="5" numFmtId="0" xfId="0" applyAlignment="1" applyBorder="1" applyFill="1" applyFont="1">
      <alignment horizontal="center" readingOrder="0" vertical="bottom"/>
    </xf>
    <xf borderId="11" fillId="10" fontId="6" numFmtId="10" xfId="0" applyAlignment="1" applyBorder="1" applyFill="1" applyFont="1" applyNumberFormat="1">
      <alignment horizontal="right" vertical="bottom"/>
    </xf>
    <xf borderId="4" fillId="10" fontId="6" numFmtId="10" xfId="0" applyAlignment="1" applyBorder="1" applyFill="1" applyFont="1" applyNumberFormat="1">
      <alignment horizontal="right" vertical="bottom"/>
    </xf>
    <xf borderId="4" fillId="2" fontId="8" numFmtId="10" xfId="0" applyAlignment="1" applyBorder="1" applyFill="1" applyFont="1" applyNumberFormat="1">
      <alignment horizontal="center" vertical="bottom"/>
    </xf>
    <xf borderId="4" fillId="2" fontId="5" numFmtId="169" xfId="0" applyAlignment="1" applyBorder="1" applyFill="1" applyFont="1" applyNumberFormat="1">
      <alignment horizontal="center" readingOrder="0" vertical="bottom"/>
    </xf>
    <xf borderId="12" fillId="10" fontId="6" numFmtId="10" xfId="0" applyAlignment="1" applyBorder="1" applyFill="1" applyFont="1" applyNumberFormat="1">
      <alignment horizontal="right" vertical="bottom"/>
    </xf>
    <xf borderId="9" fillId="10" fontId="6" numFmtId="10" xfId="0" applyAlignment="1" applyBorder="1" applyFill="1" applyFont="1" applyNumberFormat="1">
      <alignment horizontal="right" vertical="bottom"/>
    </xf>
    <xf borderId="12" fillId="0" fontId="8" numFmtId="49" xfId="0" applyAlignment="1" applyBorder="1" applyFont="1" applyNumberFormat="1">
      <alignment horizontal="center" readingOrder="0" vertical="bottom"/>
    </xf>
    <xf borderId="9" fillId="0" fontId="8" numFmtId="49" xfId="0" applyAlignment="1" applyBorder="1" applyFont="1" applyNumberFormat="1">
      <alignment horizontal="center" readingOrder="0" vertical="bottom"/>
    </xf>
    <xf borderId="4" fillId="13" fontId="27" numFmtId="0" xfId="0" applyAlignment="1" applyBorder="1" applyFill="1" applyFont="1">
      <alignment horizontal="center" vertical="bottom"/>
    </xf>
    <xf borderId="12" fillId="9" fontId="8" numFmtId="3" xfId="0" applyAlignment="1" applyBorder="1" applyFill="1" applyFont="1" applyNumberFormat="1">
      <alignment horizontal="right" readingOrder="0" vertical="bottom"/>
    </xf>
    <xf borderId="4" fillId="13" fontId="18" numFmtId="0" xfId="0" applyAlignment="1" applyBorder="1" applyFill="1" applyFont="1">
      <alignment horizontal="center" readingOrder="0" shrinkToFit="0" vertical="bottom" wrapText="1"/>
    </xf>
    <xf borderId="9" fillId="9" fontId="8" numFmtId="3" xfId="0" applyAlignment="1" applyBorder="1" applyFill="1" applyFont="1" applyNumberFormat="1">
      <alignment horizontal="right" readingOrder="0" vertical="bottom"/>
    </xf>
    <xf borderId="4" fillId="18" fontId="24" numFmtId="0" xfId="0" applyAlignment="1" applyBorder="1" applyFill="1" applyFont="1">
      <alignment horizontal="center" readingOrder="0" shrinkToFit="0" vertical="bottom" wrapText="1"/>
    </xf>
    <xf borderId="4" fillId="13" fontId="18" numFmtId="0" xfId="0" applyAlignment="1" applyBorder="1" applyFill="1" applyFont="1">
      <alignment horizontal="center" shrinkToFit="0" vertical="bottom" wrapText="1"/>
    </xf>
    <xf borderId="11" fillId="0" fontId="8" numFmtId="49" xfId="0" applyAlignment="1" applyBorder="1" applyFont="1" applyNumberFormat="1">
      <alignment horizontal="center" readingOrder="0" vertical="bottom"/>
    </xf>
    <xf borderId="4" fillId="25" fontId="24" numFmtId="0" xfId="0" applyAlignment="1" applyBorder="1" applyFill="1" applyFont="1">
      <alignment horizontal="center" readingOrder="0" shrinkToFit="0" vertical="bottom" wrapText="1"/>
    </xf>
    <xf borderId="0" fillId="4" fontId="9" numFmtId="0" xfId="0" applyFill="1" applyFont="1"/>
    <xf borderId="4" fillId="24" fontId="20" numFmtId="0" xfId="0" applyAlignment="1" applyBorder="1" applyFill="1" applyFont="1">
      <alignment shrinkToFit="0" vertical="bottom" wrapText="0"/>
    </xf>
    <xf borderId="4" fillId="4" fontId="5" numFmtId="168" xfId="0" applyAlignment="1" applyBorder="1" applyFill="1" applyFont="1" applyNumberFormat="1">
      <alignment horizontal="center" vertical="bottom"/>
    </xf>
    <xf borderId="4" fillId="24" fontId="3" numFmtId="10" xfId="0" applyAlignment="1" applyBorder="1" applyFill="1" applyFont="1" applyNumberFormat="1">
      <alignment horizontal="center" readingOrder="0" vertical="bottom"/>
    </xf>
    <xf borderId="4" fillId="18" fontId="28" numFmtId="10" xfId="0" applyAlignment="1" applyBorder="1" applyFill="1" applyFont="1" applyNumberFormat="1">
      <alignment horizontal="center" readingOrder="0" vertical="bottom"/>
    </xf>
    <xf borderId="4" fillId="24" fontId="3" numFmtId="10" xfId="0" applyAlignment="1" applyBorder="1" applyFill="1" applyFont="1" applyNumberFormat="1">
      <alignment horizontal="center" vertical="bottom"/>
    </xf>
    <xf borderId="4" fillId="25" fontId="9" numFmtId="0" xfId="0" applyBorder="1" applyFill="1" applyFont="1"/>
    <xf borderId="4" fillId="4" fontId="20" numFmtId="0" xfId="0" applyAlignment="1" applyBorder="1" applyFill="1" applyFont="1">
      <alignment shrinkToFit="0" vertical="bottom" wrapText="0"/>
    </xf>
    <xf borderId="4" fillId="4" fontId="3" numFmtId="10" xfId="0" applyAlignment="1" applyBorder="1" applyFill="1" applyFont="1" applyNumberFormat="1">
      <alignment horizontal="center" readingOrder="0" vertical="bottom"/>
    </xf>
    <xf borderId="4" fillId="4" fontId="3" numFmtId="10" xfId="0" applyAlignment="1" applyBorder="1" applyFill="1" applyFont="1" applyNumberFormat="1">
      <alignment horizontal="center" vertical="bottom"/>
    </xf>
    <xf borderId="4" fillId="19" fontId="20" numFmtId="0" xfId="0" applyAlignment="1" applyBorder="1" applyFill="1" applyFont="1">
      <alignment shrinkToFit="0" vertical="bottom" wrapText="0"/>
    </xf>
    <xf borderId="4" fillId="19" fontId="3" numFmtId="10" xfId="0" applyAlignment="1" applyBorder="1" applyFill="1" applyFont="1" applyNumberFormat="1">
      <alignment horizontal="center" readingOrder="0" vertical="bottom"/>
    </xf>
    <xf borderId="4" fillId="18" fontId="28" numFmtId="10" xfId="0" applyAlignment="1" applyBorder="1" applyFill="1" applyFont="1" applyNumberFormat="1">
      <alignment horizontal="center" vertical="bottom"/>
    </xf>
    <xf borderId="4" fillId="19" fontId="3" numFmtId="10" xfId="0" applyAlignment="1" applyBorder="1" applyFill="1" applyFont="1" applyNumberFormat="1">
      <alignment horizontal="center" vertical="bottom"/>
    </xf>
    <xf borderId="4" fillId="19" fontId="20" numFmtId="0" xfId="0" applyAlignment="1" applyBorder="1" applyFill="1" applyFont="1">
      <alignment vertical="bottom"/>
    </xf>
    <xf borderId="4" fillId="4" fontId="20" numFmtId="0" xfId="0" applyAlignment="1" applyBorder="1" applyFill="1" applyFont="1">
      <alignment readingOrder="0" vertical="bottom"/>
    </xf>
    <xf borderId="4" fillId="19" fontId="20" numFmtId="0" xfId="0" applyAlignment="1" applyBorder="1" applyFill="1" applyFont="1">
      <alignment readingOrder="0" vertical="bottom"/>
    </xf>
    <xf borderId="0" fillId="4" fontId="20" numFmtId="0" xfId="0" applyAlignment="1" applyFill="1" applyFont="1">
      <alignment readingOrder="0" vertical="bottom"/>
    </xf>
    <xf borderId="0" fillId="4" fontId="3" numFmtId="10" xfId="0" applyAlignment="1" applyFill="1" applyFont="1" applyNumberFormat="1">
      <alignment horizontal="center" readingOrder="0" vertical="bottom"/>
    </xf>
    <xf borderId="0" fillId="4" fontId="28" numFmtId="10" xfId="0" applyAlignment="1" applyFill="1" applyFont="1" applyNumberFormat="1">
      <alignment horizontal="center" readingOrder="0" vertical="bottom"/>
    </xf>
    <xf borderId="0" fillId="4" fontId="28" numFmtId="10" xfId="0" applyAlignment="1" applyFill="1" applyFont="1" applyNumberFormat="1">
      <alignment horizontal="center" vertical="bottom"/>
    </xf>
    <xf borderId="0" fillId="4" fontId="3" numFmtId="10" xfId="0" applyAlignment="1" applyFill="1" applyFont="1" applyNumberFormat="1">
      <alignment horizontal="center" vertical="bottom"/>
    </xf>
    <xf borderId="24" fillId="13" fontId="27" numFmtId="0" xfId="0" applyAlignment="1" applyBorder="1" applyFill="1" applyFont="1">
      <alignment horizontal="center" vertical="center"/>
    </xf>
    <xf borderId="24" fillId="25" fontId="1" numFmtId="2" xfId="0" applyAlignment="1" applyBorder="1" applyFill="1" applyFont="1" applyNumberFormat="1">
      <alignment horizontal="center" shrinkToFit="0" vertical="center" wrapText="1"/>
    </xf>
    <xf borderId="33" fillId="19" fontId="2" numFmtId="0" xfId="0" applyBorder="1" applyFill="1" applyFont="1"/>
    <xf borderId="4" fillId="25" fontId="29" numFmtId="4" xfId="0" applyAlignment="1" applyBorder="1" applyFill="1" applyFont="1" applyNumberFormat="1">
      <alignment horizontal="center" shrinkToFit="0" vertical="bottom" wrapText="1"/>
    </xf>
    <xf borderId="4" fillId="4" fontId="1" numFmtId="2" xfId="0" applyAlignment="1" applyBorder="1" applyFill="1" applyFont="1" applyNumberFormat="1">
      <alignment horizontal="center" vertical="bottom"/>
    </xf>
    <xf borderId="4" fillId="4" fontId="1" numFmtId="2" xfId="0" applyAlignment="1" applyBorder="1" applyFill="1" applyFont="1" applyNumberFormat="1">
      <alignment horizontal="center" readingOrder="0" vertical="bottom"/>
    </xf>
    <xf borderId="4" fillId="19" fontId="1" numFmtId="2" xfId="0" applyAlignment="1" applyBorder="1" applyFill="1" applyFont="1" applyNumberFormat="1">
      <alignment horizontal="center" readingOrder="0" vertical="bottom"/>
    </xf>
    <xf borderId="4" fillId="19" fontId="1" numFmtId="2" xfId="0" applyAlignment="1" applyBorder="1" applyFill="1" applyFont="1" applyNumberFormat="1">
      <alignment horizontal="center" vertical="bottom"/>
    </xf>
    <xf borderId="12" fillId="0" fontId="8" numFmtId="0" xfId="0" applyAlignment="1" applyBorder="1" applyFont="1">
      <alignment readingOrder="0" vertical="bottom"/>
    </xf>
    <xf borderId="9" fillId="0" fontId="8" numFmtId="0" xfId="0" applyAlignment="1" applyBorder="1" applyFont="1">
      <alignment readingOrder="0" vertical="bottom"/>
    </xf>
    <xf borderId="19" fillId="17" fontId="1" numFmtId="0" xfId="0" applyAlignment="1" applyBorder="1" applyFill="1" applyFont="1">
      <alignment horizontal="center" readingOrder="0" vertical="bottom"/>
    </xf>
    <xf borderId="4" fillId="4" fontId="20" numFmtId="0" xfId="0" applyAlignment="1" applyBorder="1" applyFill="1" applyFont="1">
      <alignment vertical="bottom"/>
    </xf>
    <xf borderId="37" fillId="7" fontId="7" numFmtId="0" xfId="0" applyAlignment="1" applyBorder="1" applyFill="1" applyFont="1">
      <alignment horizontal="center" shrinkToFit="0" vertical="center" wrapText="1"/>
    </xf>
    <xf borderId="24" fillId="7" fontId="7" numFmtId="0" xfId="0" applyAlignment="1" applyBorder="1" applyFill="1" applyFont="1">
      <alignment horizontal="center" shrinkToFit="0" vertical="center" wrapText="1"/>
    </xf>
    <xf borderId="24" fillId="7" fontId="7" numFmtId="0" xfId="0" applyAlignment="1" applyBorder="1" applyFill="1" applyFont="1">
      <alignment horizontal="center" shrinkToFit="0" vertical="center" wrapText="1"/>
    </xf>
    <xf borderId="25" fillId="7" fontId="7" numFmtId="0" xfId="0" applyAlignment="1" applyBorder="1" applyFill="1" applyFont="1">
      <alignment horizontal="center" readingOrder="0" shrinkToFit="0" vertical="center" wrapText="1"/>
    </xf>
    <xf borderId="34" fillId="8" fontId="6" numFmtId="0" xfId="0" applyAlignment="1" applyBorder="1" applyFill="1" applyFont="1">
      <alignment horizontal="center" shrinkToFit="0" vertical="bottom" wrapText="1"/>
    </xf>
    <xf borderId="9" fillId="8" fontId="6" numFmtId="0" xfId="0" applyAlignment="1" applyBorder="1" applyFill="1" applyFont="1">
      <alignment horizontal="center" shrinkToFit="0" vertical="bottom" wrapText="1"/>
    </xf>
    <xf borderId="4" fillId="0" fontId="5" numFmtId="0" xfId="0" applyAlignment="1" applyBorder="1" applyFont="1">
      <alignment horizontal="center" vertical="bottom"/>
    </xf>
    <xf borderId="4" fillId="4" fontId="5" numFmtId="168" xfId="0" applyAlignment="1" applyBorder="1" applyFill="1" applyFont="1" applyNumberFormat="1">
      <alignment horizontal="center" readingOrder="0" vertical="bottom"/>
    </xf>
    <xf borderId="0" fillId="0" fontId="9" numFmtId="0" xfId="0" applyAlignment="1" applyFont="1">
      <alignment horizontal="center" readingOrder="0"/>
    </xf>
    <xf borderId="4" fillId="26" fontId="1" numFmtId="0" xfId="0" applyAlignment="1" applyBorder="1" applyFill="1" applyFont="1">
      <alignment horizontal="center" readingOrder="0" vertical="bottom"/>
    </xf>
    <xf borderId="11" fillId="0" fontId="8" numFmtId="4" xfId="0" applyAlignment="1" applyBorder="1" applyFont="1" applyNumberFormat="1">
      <alignment vertical="bottom"/>
    </xf>
    <xf borderId="4" fillId="0" fontId="8" numFmtId="4" xfId="0" applyAlignment="1" applyBorder="1" applyFont="1" applyNumberFormat="1">
      <alignment vertical="bottom"/>
    </xf>
    <xf borderId="12" fillId="0" fontId="8" numFmtId="4" xfId="0" applyAlignment="1" applyBorder="1" applyFont="1" applyNumberFormat="1">
      <alignment vertical="bottom"/>
    </xf>
    <xf borderId="9" fillId="0" fontId="8" numFmtId="4" xfId="0" applyAlignment="1" applyBorder="1" applyFont="1" applyNumberFormat="1">
      <alignment vertical="bottom"/>
    </xf>
    <xf borderId="1" fillId="0" fontId="8" numFmtId="4" xfId="0" applyAlignment="1" applyBorder="1" applyFont="1" applyNumberFormat="1">
      <alignment horizontal="center" vertical="bottom"/>
    </xf>
    <xf borderId="11" fillId="0" fontId="30" numFmtId="4" xfId="0" applyAlignment="1" applyBorder="1" applyFont="1" applyNumberFormat="1">
      <alignment horizontal="center" vertical="bottom"/>
    </xf>
    <xf borderId="4" fillId="0" fontId="30" numFmtId="4" xfId="0" applyAlignment="1" applyBorder="1" applyFont="1" applyNumberFormat="1">
      <alignment horizontal="center" vertical="bottom"/>
    </xf>
    <xf borderId="0" fillId="0" fontId="30" numFmtId="4" xfId="0" applyAlignment="1" applyFont="1" applyNumberFormat="1">
      <alignment horizontal="center" vertical="bottom"/>
    </xf>
    <xf borderId="12" fillId="0" fontId="30" numFmtId="4" xfId="0" applyAlignment="1" applyBorder="1" applyFont="1" applyNumberFormat="1">
      <alignment horizontal="center" vertical="bottom"/>
    </xf>
    <xf borderId="9" fillId="0" fontId="30" numFmtId="4" xfId="0" applyAlignment="1" applyBorder="1" applyFont="1" applyNumberFormat="1">
      <alignment horizontal="center" vertical="bottom"/>
    </xf>
    <xf borderId="4" fillId="0" fontId="30" numFmtId="4" xfId="0" applyAlignment="1" applyBorder="1" applyFont="1" applyNumberFormat="1">
      <alignment horizontal="center" readingOrder="0" vertical="bottom"/>
    </xf>
    <xf borderId="19" fillId="10" fontId="1" numFmtId="0" xfId="0" applyAlignment="1" applyBorder="1" applyFill="1" applyFont="1">
      <alignment horizontal="center" readingOrder="0" vertical="bottom"/>
    </xf>
    <xf borderId="0" fillId="19" fontId="20" numFmtId="0" xfId="0" applyAlignment="1" applyFill="1" applyFont="1">
      <alignment readingOrder="0" vertical="bottom"/>
    </xf>
    <xf borderId="33" fillId="4" fontId="2" numFmtId="0" xfId="0" applyBorder="1" applyFill="1" applyFont="1"/>
    <xf borderId="0" fillId="25" fontId="29" numFmtId="4" xfId="0" applyAlignment="1" applyFill="1" applyFont="1" applyNumberFormat="1">
      <alignment horizontal="center" shrinkToFit="0" vertical="bottom" wrapText="1"/>
    </xf>
    <xf borderId="0" fillId="4" fontId="1" numFmtId="2" xfId="0" applyAlignment="1" applyFill="1" applyFont="1" applyNumberFormat="1">
      <alignment horizontal="center" vertical="bottom"/>
    </xf>
    <xf borderId="0" fillId="4" fontId="1" numFmtId="2" xfId="0" applyAlignment="1" applyFill="1" applyFont="1" applyNumberFormat="1">
      <alignment horizontal="center" readingOrder="0" vertical="bottom"/>
    </xf>
    <xf borderId="4" fillId="19" fontId="13" numFmtId="0" xfId="0" applyAlignment="1" applyBorder="1" applyFill="1" applyFont="1">
      <alignment readingOrder="0"/>
    </xf>
    <xf borderId="4" fillId="25" fontId="31" numFmtId="4" xfId="0" applyAlignment="1" applyBorder="1" applyFill="1" applyFont="1" applyNumberFormat="1">
      <alignment horizontal="center" readingOrder="0" shrinkToFit="0" vertical="bottom" wrapText="1"/>
    </xf>
    <xf borderId="4" fillId="4" fontId="25" numFmtId="0" xfId="0" applyAlignment="1" applyBorder="1" applyFill="1" applyFont="1">
      <alignment horizontal="center" readingOrder="0" vertical="bottom"/>
    </xf>
    <xf borderId="4" fillId="0" fontId="8" numFmtId="4" xfId="0" applyAlignment="1" applyBorder="1" applyFont="1" applyNumberFormat="1">
      <alignment horizontal="right" vertical="bottom"/>
    </xf>
    <xf borderId="4" fillId="10" fontId="32" numFmtId="10" xfId="0" applyAlignment="1" applyBorder="1" applyFill="1" applyFont="1" applyNumberFormat="1">
      <alignment horizontal="center" vertical="bottom"/>
    </xf>
    <xf borderId="11" fillId="0" fontId="3" numFmtId="0" xfId="0" applyAlignment="1" applyBorder="1" applyFont="1">
      <alignment vertical="bottom"/>
    </xf>
    <xf borderId="4" fillId="24" fontId="5" numFmtId="0" xfId="0" applyAlignment="1" applyBorder="1" applyFill="1" applyFont="1">
      <alignment horizontal="center" vertical="bottom"/>
    </xf>
    <xf borderId="9" fillId="0" fontId="3" numFmtId="0" xfId="0" applyAlignment="1" applyBorder="1" applyFont="1">
      <alignment vertical="bottom"/>
    </xf>
    <xf borderId="27" fillId="0" fontId="8" numFmtId="164" xfId="0" applyAlignment="1" applyBorder="1" applyFont="1" applyNumberFormat="1">
      <alignment shrinkToFit="0" vertical="bottom" wrapText="1"/>
    </xf>
    <xf borderId="28" fillId="0" fontId="8" numFmtId="0" xfId="0" applyAlignment="1" applyBorder="1" applyFont="1">
      <alignment vertical="bottom"/>
    </xf>
    <xf borderId="4" fillId="24" fontId="5" numFmtId="169" xfId="0" applyAlignment="1" applyBorder="1" applyFill="1" applyFont="1" applyNumberFormat="1">
      <alignment horizontal="center" vertical="bottom"/>
    </xf>
    <xf borderId="10" fillId="17" fontId="6" numFmtId="170" xfId="0" applyAlignment="1" applyBorder="1" applyFill="1" applyFont="1" applyNumberFormat="1">
      <alignment horizontal="center" readingOrder="0" shrinkToFit="0" wrapText="1"/>
    </xf>
    <xf borderId="4" fillId="2" fontId="5" numFmtId="0" xfId="0" applyAlignment="1" applyBorder="1" applyFill="1" applyFont="1">
      <alignment horizontal="center" vertical="bottom"/>
    </xf>
    <xf borderId="4" fillId="2" fontId="5" numFmtId="0" xfId="0" applyAlignment="1" applyBorder="1" applyFill="1" applyFont="1">
      <alignment horizontal="center" vertical="bottom"/>
    </xf>
    <xf borderId="33" fillId="0" fontId="8" numFmtId="4" xfId="0" applyAlignment="1" applyBorder="1" applyFont="1" applyNumberFormat="1">
      <alignment horizontal="center" vertical="bottom"/>
    </xf>
    <xf borderId="4" fillId="2" fontId="5" numFmtId="169" xfId="0" applyAlignment="1" applyBorder="1" applyFill="1" applyFont="1" applyNumberFormat="1">
      <alignment horizontal="center" vertical="bottom"/>
    </xf>
    <xf borderId="12" fillId="0" fontId="30" numFmtId="4" xfId="0" applyAlignment="1" applyBorder="1" applyFont="1" applyNumberFormat="1">
      <alignment horizontal="center" readingOrder="0" vertical="bottom"/>
    </xf>
    <xf borderId="17" fillId="9" fontId="6" numFmtId="4" xfId="0" applyAlignment="1" applyBorder="1" applyFill="1" applyFont="1" applyNumberFormat="1">
      <alignment horizontal="right" vertical="bottom"/>
    </xf>
    <xf borderId="11" fillId="0" fontId="5" numFmtId="4" xfId="0" applyAlignment="1" applyBorder="1" applyFont="1" applyNumberFormat="1">
      <alignment horizontal="center" vertical="bottom"/>
    </xf>
    <xf borderId="4" fillId="0" fontId="5" numFmtId="4" xfId="0" applyAlignment="1" applyBorder="1" applyFont="1" applyNumberFormat="1">
      <alignment horizontal="center" vertical="bottom"/>
    </xf>
    <xf borderId="11" fillId="0" fontId="3" numFmtId="0" xfId="0" applyAlignment="1" applyBorder="1" applyFont="1">
      <alignment readingOrder="0" vertical="bottom"/>
    </xf>
    <xf borderId="4" fillId="0" fontId="3" numFmtId="0" xfId="0" applyAlignment="1" applyBorder="1" applyFont="1">
      <alignment readingOrder="0" vertical="bottom"/>
    </xf>
    <xf borderId="12" fillId="0" fontId="3" numFmtId="0" xfId="0" applyAlignment="1" applyBorder="1" applyFont="1">
      <alignment vertical="bottom"/>
    </xf>
    <xf borderId="28" fillId="0" fontId="8" numFmtId="0" xfId="0" applyAlignment="1" applyBorder="1" applyFont="1">
      <alignment readingOrder="0" vertical="bottom"/>
    </xf>
    <xf borderId="0" fillId="0" fontId="33" numFmtId="0" xfId="0" applyAlignment="1" applyFont="1">
      <alignment horizontal="center" vertical="bottom"/>
    </xf>
    <xf borderId="11" fillId="0" fontId="5" numFmtId="4" xfId="0" applyAlignment="1" applyBorder="1" applyFont="1" applyNumberFormat="1">
      <alignment horizontal="center" readingOrder="0" vertical="bottom"/>
    </xf>
    <xf borderId="4" fillId="0" fontId="5" numFmtId="4" xfId="0" applyAlignment="1" applyBorder="1" applyFont="1" applyNumberFormat="1">
      <alignment horizontal="center" readingOrder="0" vertical="bottom"/>
    </xf>
    <xf borderId="0" fillId="14" fontId="1" numFmtId="0" xfId="0" applyAlignment="1" applyFill="1" applyFont="1">
      <alignment horizontal="center" vertical="bottom"/>
    </xf>
    <xf borderId="0" fillId="4" fontId="5" numFmtId="0" xfId="0" applyAlignment="1" applyFill="1" applyFont="1">
      <alignment horizontal="center" readingOrder="0" vertical="bottom"/>
    </xf>
    <xf borderId="0" fillId="14" fontId="1" numFmtId="9" xfId="0" applyAlignment="1" applyFill="1" applyFont="1" applyNumberFormat="1">
      <alignment horizontal="center" vertical="bottom"/>
    </xf>
    <xf borderId="23" fillId="16" fontId="2" numFmtId="0" xfId="0" applyBorder="1" applyFill="1" applyFont="1"/>
    <xf borderId="0" fillId="16" fontId="5" numFmtId="0" xfId="0" applyFill="1" applyFont="1"/>
    <xf borderId="0" fillId="4" fontId="5" numFmtId="0" xfId="0" applyFill="1" applyFont="1"/>
    <xf borderId="24" fillId="2" fontId="17" numFmtId="0" xfId="0" applyAlignment="1" applyBorder="1" applyFill="1" applyFont="1">
      <alignment horizontal="center"/>
    </xf>
    <xf borderId="4" fillId="2" fontId="17" numFmtId="0" xfId="0" applyAlignment="1" applyBorder="1" applyFill="1" applyFont="1">
      <alignment horizontal="center"/>
    </xf>
    <xf borderId="4" fillId="23" fontId="17" numFmtId="0" xfId="0" applyAlignment="1" applyBorder="1" applyFill="1" applyFont="1">
      <alignment horizontal="center"/>
    </xf>
    <xf borderId="4" fillId="23" fontId="16" numFmtId="0" xfId="0" applyAlignment="1" applyBorder="1" applyFill="1" applyFont="1">
      <alignment horizontal="center" shrinkToFit="0" wrapText="1"/>
    </xf>
    <xf borderId="4" fillId="2" fontId="16" numFmtId="0" xfId="0" applyAlignment="1" applyBorder="1" applyFill="1" applyFont="1">
      <alignment horizontal="center"/>
    </xf>
    <xf borderId="4" fillId="0" fontId="34" numFmtId="0" xfId="0" applyAlignment="1" applyBorder="1" applyFont="1">
      <alignment horizontal="center" vertical="bottom"/>
    </xf>
    <xf borderId="4" fillId="0" fontId="5" numFmtId="0" xfId="0" applyAlignment="1" applyBorder="1" applyFont="1">
      <alignment horizontal="center" vertical="bottom"/>
    </xf>
    <xf borderId="4" fillId="16" fontId="5" numFmtId="0" xfId="0" applyAlignment="1" applyBorder="1" applyFill="1" applyFont="1">
      <alignment vertical="bottom"/>
    </xf>
    <xf borderId="4" fillId="4" fontId="5" numFmtId="0" xfId="0" applyAlignment="1" applyBorder="1" applyFill="1" applyFont="1">
      <alignment vertical="bottom"/>
    </xf>
    <xf borderId="20" fillId="4" fontId="2" numFmtId="0" xfId="0" applyBorder="1" applyFill="1" applyFont="1"/>
    <xf borderId="0" fillId="0" fontId="35" numFmtId="0" xfId="0" applyAlignment="1" applyFont="1">
      <alignment horizontal="center" vertical="bottom"/>
    </xf>
    <xf borderId="0" fillId="0" fontId="5" numFmtId="0" xfId="0" applyAlignment="1" applyFont="1">
      <alignment vertical="bottom"/>
    </xf>
    <xf borderId="4" fillId="23" fontId="1" numFmtId="0" xfId="0" applyAlignment="1" applyBorder="1" applyFill="1" applyFont="1">
      <alignment vertical="bottom"/>
    </xf>
    <xf borderId="4" fillId="4" fontId="1" numFmtId="10" xfId="0" applyAlignment="1" applyBorder="1" applyFill="1" applyFont="1" applyNumberFormat="1">
      <alignment horizontal="right" vertical="bottom"/>
    </xf>
    <xf borderId="0" fillId="4" fontId="5" numFmtId="0" xfId="0" applyAlignment="1" applyFill="1" applyFont="1">
      <alignment vertical="bottom"/>
    </xf>
    <xf borderId="4" fillId="23" fontId="1" numFmtId="10" xfId="0" applyAlignment="1" applyBorder="1" applyFill="1" applyFont="1" applyNumberFormat="1">
      <alignment horizontal="right" vertical="bottom"/>
    </xf>
    <xf borderId="4" fillId="10" fontId="36" numFmtId="10" xfId="0" applyAlignment="1" applyBorder="1" applyFill="1" applyFont="1" applyNumberFormat="1">
      <alignment horizontal="center" vertical="bottom"/>
    </xf>
    <xf borderId="12" fillId="0" fontId="3" numFmtId="0" xfId="0" applyAlignment="1" applyBorder="1" applyFont="1">
      <alignment readingOrder="0" vertical="bottom"/>
    </xf>
    <xf borderId="33" fillId="0" fontId="8" numFmtId="4" xfId="0" applyAlignment="1" applyBorder="1" applyFont="1" applyNumberFormat="1">
      <alignment horizontal="center" readingOrder="0" vertical="bottom"/>
    </xf>
    <xf borderId="0" fillId="11" fontId="9" numFmtId="0" xfId="0" applyFill="1" applyFont="1"/>
    <xf borderId="4" fillId="4" fontId="20" numFmtId="0" xfId="0" applyAlignment="1" applyBorder="1" applyFill="1" applyFont="1">
      <alignment horizontal="center" readingOrder="0" shrinkToFit="0" vertical="bottom" wrapText="0"/>
    </xf>
    <xf borderId="11" fillId="9" fontId="6" numFmtId="4" xfId="0" applyAlignment="1" applyBorder="1" applyFill="1" applyFont="1" applyNumberFormat="1">
      <alignment horizontal="right" readingOrder="0" vertical="bottom"/>
    </xf>
    <xf borderId="4" fillId="27" fontId="1" numFmtId="0" xfId="0" applyAlignment="1" applyBorder="1" applyFill="1" applyFont="1">
      <alignment horizontal="center" readingOrder="0" vertical="bottom"/>
    </xf>
    <xf borderId="4" fillId="18" fontId="28" numFmtId="0" xfId="0" applyAlignment="1" applyBorder="1" applyFill="1" applyFont="1">
      <alignment horizontal="center" readingOrder="0" vertical="bottom"/>
    </xf>
    <xf borderId="12" fillId="0" fontId="8" numFmtId="4" xfId="0" applyAlignment="1" applyBorder="1" applyFont="1" applyNumberFormat="1">
      <alignment readingOrder="0" vertical="bottom"/>
    </xf>
    <xf borderId="19" fillId="28" fontId="18" numFmtId="0" xfId="0" applyAlignment="1" applyBorder="1" applyFill="1" applyFont="1">
      <alignment horizontal="center" readingOrder="0" vertical="bottom"/>
    </xf>
    <xf borderId="0" fillId="4" fontId="13" numFmtId="0" xfId="0" applyAlignment="1" applyFill="1" applyFont="1">
      <alignment readingOrder="0"/>
    </xf>
    <xf borderId="0" fillId="4" fontId="1" numFmtId="0" xfId="0" applyAlignment="1" applyFill="1" applyFont="1">
      <alignment horizontal="center" vertical="bottom"/>
    </xf>
    <xf borderId="0" fillId="4" fontId="1" numFmtId="9" xfId="0" applyAlignment="1" applyFill="1" applyFont="1" applyNumberFormat="1">
      <alignment horizontal="center" vertical="bottom"/>
    </xf>
    <xf borderId="0" fillId="16" fontId="5" numFmtId="0" xfId="0" applyAlignment="1" applyFill="1" applyFont="1">
      <alignment vertical="bottom"/>
    </xf>
    <xf borderId="4" fillId="2" fontId="17" numFmtId="0" xfId="0" applyAlignment="1" applyBorder="1" applyFill="1" applyFont="1">
      <alignment horizontal="center" vertical="bottom"/>
    </xf>
    <xf borderId="4" fillId="4" fontId="17" numFmtId="0" xfId="0" applyAlignment="1" applyBorder="1" applyFill="1" applyFont="1">
      <alignment horizontal="center" vertical="bottom"/>
    </xf>
    <xf borderId="4" fillId="4" fontId="16" numFmtId="0" xfId="0" applyAlignment="1" applyBorder="1" applyFill="1" applyFont="1">
      <alignment horizontal="center" shrinkToFit="0" vertical="bottom" wrapText="1"/>
    </xf>
    <xf borderId="4" fillId="23" fontId="16" numFmtId="0" xfId="0" applyAlignment="1" applyBorder="1" applyFill="1" applyFont="1">
      <alignment horizontal="center" shrinkToFit="0" vertical="bottom" wrapText="1"/>
    </xf>
    <xf borderId="4" fillId="2" fontId="16" numFmtId="0" xfId="0" applyAlignment="1" applyBorder="1" applyFill="1" applyFont="1">
      <alignment horizontal="center" vertical="bottom"/>
    </xf>
    <xf borderId="4" fillId="0" fontId="37" numFmtId="0" xfId="0" applyAlignment="1" applyBorder="1" applyFont="1">
      <alignment horizontal="center" vertical="bottom"/>
    </xf>
    <xf borderId="0" fillId="0" fontId="38" numFmtId="0" xfId="0" applyAlignment="1" applyFont="1">
      <alignment horizontal="center" vertical="bottom"/>
    </xf>
    <xf borderId="32" fillId="19" fontId="2" numFmtId="0" xfId="0" applyBorder="1" applyFill="1" applyFont="1"/>
    <xf borderId="1" fillId="4" fontId="20" numFmtId="0" xfId="0" applyAlignment="1" applyBorder="1" applyFill="1" applyFont="1">
      <alignment shrinkToFit="0" vertical="bottom" wrapText="0"/>
    </xf>
    <xf borderId="4" fillId="4" fontId="20" numFmtId="0" xfId="0" applyAlignment="1" applyBorder="1" applyFill="1" applyFont="1">
      <alignment horizontal="center" shrinkToFit="0" vertical="bottom" wrapText="0"/>
    </xf>
    <xf borderId="4" fillId="4" fontId="5" numFmtId="0" xfId="0" applyAlignment="1" applyBorder="1" applyFill="1" applyFont="1">
      <alignment horizontal="center" readingOrder="0" vertical="bottom"/>
    </xf>
    <xf borderId="1" fillId="19" fontId="20" numFmtId="0" xfId="0" applyAlignment="1" applyBorder="1" applyFill="1" applyFont="1">
      <alignment shrinkToFit="0" vertical="bottom" wrapText="0"/>
    </xf>
    <xf borderId="4" fillId="19" fontId="20" numFmtId="0" xfId="0" applyAlignment="1" applyBorder="1" applyFill="1" applyFont="1">
      <alignment horizontal="center" shrinkToFit="0" vertical="bottom" wrapText="0"/>
    </xf>
    <xf borderId="4" fillId="19" fontId="5" numFmtId="0" xfId="0" applyAlignment="1" applyBorder="1" applyFill="1" applyFont="1">
      <alignment horizontal="center" readingOrder="0" vertical="bottom"/>
    </xf>
    <xf borderId="4" fillId="4" fontId="20" numFmtId="0" xfId="0" applyAlignment="1" applyBorder="1" applyFill="1" applyFont="1">
      <alignment horizontal="center" readingOrder="0" shrinkToFit="0" vertical="bottom" wrapText="0"/>
    </xf>
    <xf borderId="4" fillId="19" fontId="20" numFmtId="0" xfId="0" applyAlignment="1" applyBorder="1" applyFill="1" applyFont="1">
      <alignment horizontal="center" readingOrder="0" shrinkToFit="0" vertical="bottom" wrapText="0"/>
    </xf>
    <xf borderId="4" fillId="4" fontId="8" numFmtId="10" xfId="0" applyAlignment="1" applyBorder="1" applyFill="1" applyFont="1" applyNumberFormat="1">
      <alignment horizontal="center" vertical="bottom"/>
    </xf>
    <xf borderId="4" fillId="4" fontId="5" numFmtId="169" xfId="0" applyAlignment="1" applyBorder="1" applyFill="1" applyFont="1" applyNumberFormat="1">
      <alignment horizontal="center" readingOrder="0" vertical="bottom"/>
    </xf>
    <xf borderId="4" fillId="19" fontId="5" numFmtId="0" xfId="0" applyAlignment="1" applyBorder="1" applyFill="1" applyFont="1">
      <alignment horizontal="center" vertical="bottom"/>
    </xf>
    <xf borderId="4" fillId="19" fontId="8" numFmtId="10" xfId="0" applyAlignment="1" applyBorder="1" applyFill="1" applyFont="1" applyNumberFormat="1">
      <alignment horizontal="center" vertical="bottom"/>
    </xf>
    <xf borderId="4" fillId="19" fontId="5" numFmtId="169" xfId="0" applyAlignment="1" applyBorder="1" applyFill="1" applyFont="1" applyNumberFormat="1">
      <alignment horizontal="center" readingOrder="0" vertical="bottom"/>
    </xf>
    <xf borderId="0" fillId="0" fontId="39" numFmtId="0" xfId="0" applyAlignment="1" applyFont="1">
      <alignment horizontal="center" vertical="bottom"/>
    </xf>
    <xf borderId="4" fillId="16" fontId="1" numFmtId="10" xfId="0" applyAlignment="1" applyBorder="1" applyFill="1" applyFont="1" applyNumberFormat="1">
      <alignment horizontal="right" vertical="bottom"/>
    </xf>
    <xf borderId="32" fillId="4" fontId="2" numFmtId="0" xfId="0" applyBorder="1" applyFill="1" applyFont="1"/>
    <xf borderId="4" fillId="0" fontId="40" numFmtId="0" xfId="0" applyAlignment="1" applyBorder="1" applyFont="1">
      <alignment horizontal="center" vertical="bottom"/>
    </xf>
    <xf borderId="0" fillId="4" fontId="9" numFmtId="0" xfId="0" applyAlignment="1" applyFill="1" applyFont="1">
      <alignment horizontal="center" readingOrder="0"/>
    </xf>
    <xf borderId="10" fillId="17" fontId="6" numFmtId="170" xfId="0" applyAlignment="1" applyBorder="1" applyFill="1" applyFont="1" applyNumberFormat="1">
      <alignment horizontal="center" readingOrder="0" shrinkToFit="0" vertical="bottom" wrapText="1"/>
    </xf>
    <xf borderId="13" fillId="17" fontId="5" numFmtId="0" xfId="0" applyAlignment="1" applyBorder="1" applyFill="1" applyFont="1">
      <alignment vertical="bottom"/>
    </xf>
    <xf borderId="4" fillId="0" fontId="25" numFmtId="0" xfId="0" applyAlignment="1" applyBorder="1" applyFont="1">
      <alignment horizontal="center" vertical="bottom"/>
    </xf>
    <xf borderId="0" fillId="4" fontId="9" numFmtId="0" xfId="0" applyAlignment="1" applyFill="1" applyFont="1">
      <alignment readingOrder="0"/>
    </xf>
    <xf borderId="4" fillId="0" fontId="41" numFmtId="0" xfId="0" applyAlignment="1" applyBorder="1" applyFont="1">
      <alignment horizontal="center" readingOrder="0" vertical="bottom"/>
    </xf>
    <xf borderId="1" fillId="4" fontId="42" numFmtId="0" xfId="0" applyAlignment="1" applyBorder="1" applyFill="1" applyFont="1">
      <alignment shrinkToFit="0" vertical="bottom" wrapText="0"/>
    </xf>
    <xf borderId="4" fillId="19" fontId="42" numFmtId="0" xfId="0" applyAlignment="1" applyBorder="1" applyFill="1" applyFont="1">
      <alignment vertical="bottom"/>
    </xf>
    <xf borderId="24" fillId="2" fontId="17" numFmtId="0" xfId="0" applyAlignment="1" applyBorder="1" applyFill="1" applyFont="1">
      <alignment horizontal="center" vertical="bottom"/>
    </xf>
    <xf borderId="4" fillId="16" fontId="17" numFmtId="0" xfId="0" applyAlignment="1" applyBorder="1" applyFill="1" applyFont="1">
      <alignment horizontal="center" vertical="bottom"/>
    </xf>
    <xf borderId="4" fillId="16" fontId="16" numFmtId="0" xfId="0" applyAlignment="1" applyBorder="1" applyFill="1" applyFont="1">
      <alignment horizontal="center" shrinkToFit="0" vertical="bottom" wrapText="1"/>
    </xf>
    <xf borderId="4" fillId="19" fontId="42" numFmtId="0" xfId="0" applyAlignment="1" applyBorder="1" applyFill="1" applyFont="1">
      <alignment readingOrder="0" vertical="bottom"/>
    </xf>
    <xf borderId="0" fillId="19" fontId="9" numFmtId="0" xfId="0" applyAlignment="1" applyFill="1" applyFont="1">
      <alignment readingOrder="0"/>
    </xf>
    <xf borderId="0" fillId="0" fontId="43" numFmtId="0" xfId="0" applyAlignment="1" applyFont="1">
      <alignment horizontal="center" vertical="bottom"/>
    </xf>
    <xf borderId="0" fillId="0" fontId="9" numFmtId="0" xfId="0" applyAlignment="1" applyFont="1">
      <alignment horizontal="center" vertical="center"/>
    </xf>
    <xf borderId="0" fillId="19" fontId="9" numFmtId="0" xfId="0" applyAlignment="1" applyFill="1" applyFont="1">
      <alignment horizontal="center" readingOrder="0"/>
    </xf>
    <xf borderId="1" fillId="19" fontId="42" numFmtId="0" xfId="0" applyAlignment="1" applyBorder="1" applyFill="1" applyFont="1">
      <alignment shrinkToFit="0" vertical="bottom" wrapText="0"/>
    </xf>
    <xf borderId="4" fillId="4" fontId="42" numFmtId="0" xfId="0" applyAlignment="1" applyBorder="1" applyFill="1" applyFont="1">
      <alignment vertical="bottom"/>
    </xf>
    <xf borderId="4" fillId="4" fontId="42" numFmtId="0" xfId="0" applyAlignment="1" applyBorder="1" applyFill="1" applyFont="1">
      <alignment readingOrder="0" vertical="bottom"/>
    </xf>
    <xf borderId="4" fillId="18" fontId="28" numFmtId="9" xfId="0" applyAlignment="1" applyBorder="1" applyFill="1" applyFont="1" applyNumberFormat="1">
      <alignment horizontal="center" readingOrder="0" vertical="bottom"/>
    </xf>
    <xf borderId="0" fillId="23" fontId="1" numFmtId="170" xfId="0" applyAlignment="1" applyFill="1" applyFont="1" applyNumberFormat="1">
      <alignment horizontal="right" readingOrder="0" vertical="bottom"/>
    </xf>
    <xf borderId="0" fillId="0" fontId="44" numFmtId="0" xfId="0" applyAlignment="1" applyFont="1">
      <alignment readingOrder="0"/>
    </xf>
    <xf borderId="10" fillId="17" fontId="6" numFmtId="170" xfId="0" applyAlignment="1" applyBorder="1" applyFill="1" applyFont="1" applyNumberFormat="1">
      <alignment horizontal="center" shrinkToFit="0" vertical="bottom" wrapText="1"/>
    </xf>
    <xf borderId="27" fillId="0" fontId="8" numFmtId="0" xfId="0" applyAlignment="1" applyBorder="1" applyFont="1">
      <alignment readingOrder="0" vertical="bottom"/>
    </xf>
    <xf borderId="13" fillId="17" fontId="5" numFmtId="164" xfId="0" applyAlignment="1" applyBorder="1" applyFill="1" applyFont="1" applyNumberFormat="1">
      <alignment vertical="bottom"/>
    </xf>
    <xf borderId="5" fillId="5" fontId="5" numFmtId="0" xfId="0" applyAlignment="1" applyBorder="1" applyFill="1" applyFont="1">
      <alignment vertical="bottom"/>
    </xf>
    <xf borderId="6" fillId="5" fontId="6" numFmtId="164" xfId="0" applyAlignment="1" applyBorder="1" applyFill="1" applyFont="1" applyNumberFormat="1">
      <alignment horizontal="center" shrinkToFit="0" vertical="bottom" wrapText="1"/>
    </xf>
    <xf borderId="10" fillId="6" fontId="5" numFmtId="0" xfId="0" applyBorder="1" applyFill="1" applyFont="1"/>
    <xf borderId="37" fillId="7" fontId="7" numFmtId="164" xfId="0" applyAlignment="1" applyBorder="1" applyFill="1" applyFont="1" applyNumberFormat="1">
      <alignment horizontal="center" shrinkToFit="0" wrapText="1"/>
    </xf>
    <xf borderId="24" fillId="7" fontId="7" numFmtId="164" xfId="0" applyAlignment="1" applyBorder="1" applyFill="1" applyFont="1" applyNumberFormat="1">
      <alignment horizontal="center" shrinkToFit="0" wrapText="1"/>
    </xf>
    <xf borderId="25" fillId="7" fontId="7" numFmtId="0" xfId="0" applyAlignment="1" applyBorder="1" applyFill="1" applyFont="1">
      <alignment horizontal="center" shrinkToFit="0" wrapText="1"/>
    </xf>
    <xf borderId="16" fillId="6" fontId="5" numFmtId="164" xfId="0" applyAlignment="1" applyBorder="1" applyFill="1" applyFont="1" applyNumberFormat="1">
      <alignment vertical="bottom"/>
    </xf>
    <xf borderId="12" fillId="0" fontId="5" numFmtId="4" xfId="0" applyAlignment="1" applyBorder="1" applyFont="1" applyNumberFormat="1">
      <alignment horizontal="center" readingOrder="0" vertical="bottom"/>
    </xf>
    <xf borderId="11" fillId="0" fontId="5" numFmtId="4" xfId="0" applyAlignment="1" applyBorder="1" applyFont="1" applyNumberFormat="1">
      <alignment readingOrder="0" vertical="bottom"/>
    </xf>
    <xf borderId="4" fillId="0" fontId="5" numFmtId="4" xfId="0" applyAlignment="1" applyBorder="1" applyFont="1" applyNumberFormat="1">
      <alignment readingOrder="0" vertical="bottom"/>
    </xf>
    <xf borderId="12" fillId="0" fontId="5" numFmtId="4" xfId="0" applyAlignment="1" applyBorder="1" applyFont="1" applyNumberFormat="1">
      <alignment readingOrder="0" vertical="bottom"/>
    </xf>
    <xf borderId="4" fillId="19" fontId="5" numFmtId="0" xfId="0" applyAlignment="1" applyBorder="1" applyFill="1" applyFont="1">
      <alignment horizontal="center" vertical="bottom"/>
    </xf>
    <xf borderId="4" fillId="19" fontId="5" numFmtId="169" xfId="0" applyAlignment="1" applyBorder="1" applyFill="1" applyFont="1" applyNumberFormat="1">
      <alignment horizontal="center" vertical="bottom"/>
    </xf>
    <xf borderId="4" fillId="4" fontId="5" numFmtId="0" xfId="0" applyAlignment="1" applyBorder="1" applyFill="1" applyFont="1">
      <alignment horizontal="center" vertical="bottom"/>
    </xf>
    <xf borderId="4" fillId="4" fontId="5" numFmtId="169" xfId="0" applyAlignment="1" applyBorder="1" applyFill="1" applyFont="1" applyNumberFormat="1">
      <alignment horizontal="center" vertical="bottom"/>
    </xf>
    <xf borderId="11" fillId="0" fontId="5" numFmtId="49" xfId="0" applyAlignment="1" applyBorder="1" applyFont="1" applyNumberFormat="1">
      <alignment horizontal="center" readingOrder="0" vertical="bottom"/>
    </xf>
    <xf borderId="4" fillId="0" fontId="5" numFmtId="49" xfId="0" applyAlignment="1" applyBorder="1" applyFont="1" applyNumberFormat="1">
      <alignment horizontal="center" readingOrder="0" vertical="bottom"/>
    </xf>
    <xf borderId="1" fillId="0" fontId="5" numFmtId="4" xfId="0" applyAlignment="1" applyBorder="1" applyFont="1" applyNumberFormat="1">
      <alignment vertical="bottom"/>
    </xf>
    <xf borderId="11" fillId="0" fontId="5" numFmtId="4" xfId="0" applyAlignment="1" applyBorder="1" applyFont="1" applyNumberFormat="1">
      <alignment vertical="bottom"/>
    </xf>
    <xf borderId="4" fillId="0" fontId="5" numFmtId="4" xfId="0" applyAlignment="1" applyBorder="1" applyFont="1" applyNumberFormat="1">
      <alignment vertical="bottom"/>
    </xf>
    <xf borderId="12" fillId="0" fontId="5" numFmtId="4" xfId="0" applyAlignment="1" applyBorder="1" applyFont="1" applyNumberFormat="1">
      <alignment vertical="bottom"/>
    </xf>
    <xf borderId="4" fillId="0" fontId="3" numFmtId="164" xfId="0" applyAlignment="1" applyBorder="1" applyFont="1" applyNumberFormat="1">
      <alignment vertical="bottom"/>
    </xf>
    <xf borderId="26" fillId="0" fontId="5" numFmtId="164" xfId="0" applyAlignment="1" applyBorder="1" applyFont="1" applyNumberFormat="1">
      <alignment vertical="bottom"/>
    </xf>
    <xf borderId="27" fillId="0" fontId="5" numFmtId="164" xfId="0" applyAlignment="1" applyBorder="1" applyFont="1" applyNumberFormat="1">
      <alignment vertical="bottom"/>
    </xf>
    <xf borderId="28" fillId="0" fontId="5" numFmtId="0" xfId="0" applyAlignment="1" applyBorder="1" applyFont="1">
      <alignment vertical="bottom"/>
    </xf>
    <xf borderId="6" fillId="5" fontId="6" numFmtId="0" xfId="0" applyAlignment="1" applyBorder="1" applyFill="1" applyFont="1">
      <alignment horizontal="center" readingOrder="0" shrinkToFit="0" vertical="bottom" wrapText="1"/>
    </xf>
    <xf borderId="4" fillId="16" fontId="20" numFmtId="10" xfId="0" applyAlignment="1" applyBorder="1" applyFill="1" applyFont="1" applyNumberFormat="1">
      <alignment horizontal="center" shrinkToFit="0" vertical="bottom" wrapText="0"/>
    </xf>
    <xf borderId="17" fillId="9" fontId="6" numFmtId="4" xfId="0" applyAlignment="1" applyBorder="1" applyFill="1" applyFont="1" applyNumberFormat="1">
      <alignment horizontal="right" readingOrder="0" vertical="bottom"/>
    </xf>
    <xf borderId="0" fillId="0" fontId="5" numFmtId="0" xfId="0" applyAlignment="1" applyFont="1">
      <alignment readingOrder="0" vertical="bottom"/>
    </xf>
    <xf borderId="0" fillId="0" fontId="45" numFmtId="0" xfId="0" applyAlignment="1" applyFont="1">
      <alignment horizontal="center" readingOrder="0" vertical="bottom"/>
    </xf>
    <xf borderId="0" fillId="4" fontId="5" numFmtId="0" xfId="0" applyAlignment="1" applyFill="1" applyFont="1">
      <alignment readingOrder="0" vertical="bottom"/>
    </xf>
    <xf borderId="10" fillId="0" fontId="46" numFmtId="0" xfId="0" applyAlignment="1" applyBorder="1" applyFont="1">
      <alignment horizontal="center" vertical="bottom"/>
    </xf>
    <xf borderId="3" fillId="4" fontId="9" numFmtId="168" xfId="0" applyAlignment="1" applyBorder="1" applyFill="1" applyFont="1" applyNumberFormat="1">
      <alignment horizontal="center" readingOrder="0"/>
    </xf>
    <xf borderId="0" fillId="19" fontId="1" numFmtId="2" xfId="0" applyAlignment="1" applyFill="1" applyFont="1" applyNumberFormat="1">
      <alignment horizontal="center" vertical="bottom"/>
    </xf>
    <xf borderId="4" fillId="16" fontId="5" numFmtId="0" xfId="0" applyAlignment="1" applyBorder="1" applyFill="1" applyFont="1">
      <alignment vertical="bottom"/>
    </xf>
    <xf borderId="0" fillId="19" fontId="1" numFmtId="2" xfId="0" applyAlignment="1" applyFill="1" applyFont="1" applyNumberFormat="1">
      <alignment horizontal="center" readingOrder="0" vertical="bottom"/>
    </xf>
    <xf borderId="4" fillId="0" fontId="5" numFmtId="0" xfId="0" applyAlignment="1" applyBorder="1" applyFont="1">
      <alignment vertical="bottom"/>
    </xf>
    <xf borderId="4" fillId="4" fontId="5" numFmtId="0" xfId="0" applyAlignment="1" applyBorder="1" applyFill="1" applyFont="1">
      <alignment vertical="bottom"/>
    </xf>
    <xf borderId="10" fillId="0" fontId="47" numFmtId="0" xfId="0" applyAlignment="1" applyBorder="1" applyFont="1">
      <alignment horizontal="center" vertical="bottom"/>
    </xf>
    <xf borderId="10" fillId="0" fontId="48" numFmtId="0" xfId="0" applyAlignment="1" applyBorder="1" applyFont="1">
      <alignment horizontal="center" readingOrder="0" shrinkToFit="0" vertical="bottom" wrapText="0"/>
    </xf>
    <xf borderId="10" fillId="6" fontId="5" numFmtId="0" xfId="0" applyAlignment="1" applyBorder="1" applyFill="1" applyFont="1">
      <alignment vertical="bottom"/>
    </xf>
    <xf borderId="37" fillId="7" fontId="7" numFmtId="164" xfId="0" applyAlignment="1" applyBorder="1" applyFill="1" applyFont="1" applyNumberFormat="1">
      <alignment horizontal="center" shrinkToFit="0" vertical="bottom" wrapText="1"/>
    </xf>
    <xf borderId="24" fillId="7" fontId="7" numFmtId="164" xfId="0" applyAlignment="1" applyBorder="1" applyFill="1" applyFont="1" applyNumberFormat="1">
      <alignment horizontal="center" shrinkToFit="0" vertical="bottom" wrapText="1"/>
    </xf>
    <xf borderId="25" fillId="7" fontId="7" numFmtId="164" xfId="0" applyAlignment="1" applyBorder="1" applyFill="1" applyFont="1" applyNumberFormat="1">
      <alignment horizontal="center" shrinkToFit="0" vertical="bottom" wrapText="1"/>
    </xf>
    <xf borderId="25" fillId="7" fontId="7" numFmtId="0" xfId="0" applyAlignment="1" applyBorder="1" applyFill="1" applyFont="1">
      <alignment horizontal="center" shrinkToFit="0" vertical="bottom" wrapText="1"/>
    </xf>
    <xf borderId="11" fillId="0" fontId="5" numFmtId="4" xfId="0" applyAlignment="1" applyBorder="1" applyFont="1" applyNumberFormat="1">
      <alignment horizontal="right" readingOrder="0" vertical="bottom"/>
    </xf>
    <xf borderId="4" fillId="0" fontId="5" numFmtId="4" xfId="0" applyAlignment="1" applyBorder="1" applyFont="1" applyNumberFormat="1">
      <alignment horizontal="right" readingOrder="0" vertical="bottom"/>
    </xf>
    <xf borderId="12" fillId="0" fontId="5" numFmtId="4" xfId="0" applyAlignment="1" applyBorder="1" applyFont="1" applyNumberFormat="1">
      <alignment horizontal="right" readingOrder="0" vertical="bottom"/>
    </xf>
    <xf borderId="23" fillId="0" fontId="2" numFmtId="0" xfId="0" applyBorder="1" applyFont="1"/>
    <xf borderId="27" fillId="0" fontId="5" numFmtId="0" xfId="0" applyAlignment="1" applyBorder="1" applyFont="1">
      <alignment readingOrder="0" shrinkToFit="0" vertical="center" wrapText="1"/>
    </xf>
    <xf borderId="0" fillId="0" fontId="49" numFmtId="0" xfId="0" applyAlignment="1" applyFont="1">
      <alignment horizontal="center" readingOrder="0" shrinkToFit="0" vertical="bottom" wrapText="0"/>
    </xf>
    <xf borderId="0" fillId="6" fontId="6" numFmtId="0" xfId="0" applyAlignment="1" applyFill="1" applyFont="1">
      <alignment horizontal="center" shrinkToFit="0" vertical="bottom" wrapText="1"/>
    </xf>
    <xf borderId="0" fillId="0" fontId="5" numFmtId="164" xfId="0" applyAlignment="1" applyFont="1" applyNumberFormat="1">
      <alignment vertical="bottom"/>
    </xf>
    <xf borderId="12" fillId="29" fontId="24" numFmtId="0" xfId="0" applyAlignment="1" applyBorder="1" applyFill="1" applyFont="1">
      <alignment horizontal="center" readingOrder="0" vertical="center"/>
    </xf>
    <xf borderId="3" fillId="29" fontId="14" numFmtId="0" xfId="0" applyAlignment="1" applyBorder="1" applyFill="1" applyFont="1">
      <alignment horizontal="center" readingOrder="0" vertical="center"/>
    </xf>
    <xf borderId="4" fillId="29" fontId="14" numFmtId="0" xfId="0" applyAlignment="1" applyBorder="1" applyFill="1" applyFont="1">
      <alignment horizontal="center" readingOrder="0" vertical="center"/>
    </xf>
    <xf borderId="12" fillId="25" fontId="14" numFmtId="0" xfId="0" applyAlignment="1" applyBorder="1" applyFill="1" applyFont="1">
      <alignment horizontal="center" readingOrder="0" vertical="center"/>
    </xf>
    <xf borderId="3" fillId="29" fontId="1" numFmtId="0" xfId="0" applyAlignment="1" applyBorder="1" applyFill="1" applyFont="1">
      <alignment horizontal="center" readingOrder="0" vertical="center"/>
    </xf>
    <xf borderId="12" fillId="25" fontId="1" numFmtId="0" xfId="0" applyAlignment="1" applyBorder="1" applyFill="1" applyFont="1">
      <alignment horizontal="center" readingOrder="0" vertical="center"/>
    </xf>
    <xf borderId="12" fillId="25" fontId="1" numFmtId="0" xfId="0" applyAlignment="1" applyBorder="1" applyFill="1" applyFont="1">
      <alignment horizontal="center" readingOrder="0"/>
    </xf>
    <xf borderId="12" fillId="25" fontId="1" numFmtId="0" xfId="0" applyAlignment="1" applyBorder="1" applyFill="1" applyFont="1">
      <alignment horizontal="center" readingOrder="0" vertical="bottom"/>
    </xf>
    <xf borderId="3" fillId="29" fontId="1" numFmtId="0" xfId="0" applyAlignment="1" applyBorder="1" applyFill="1" applyFont="1">
      <alignment horizontal="center" readingOrder="0" shrinkToFit="0" vertical="center" wrapText="1"/>
    </xf>
    <xf borderId="12" fillId="4" fontId="20" numFmtId="0" xfId="0" applyAlignment="1" applyBorder="1" applyFill="1" applyFont="1">
      <alignment shrinkToFit="0" vertical="center" wrapText="0"/>
    </xf>
    <xf borderId="3" fillId="4" fontId="50" numFmtId="10" xfId="0" applyAlignment="1" applyBorder="1" applyFill="1" applyFont="1" applyNumberFormat="1">
      <alignment horizontal="center" readingOrder="0" shrinkToFit="0" vertical="center" wrapText="0"/>
    </xf>
    <xf borderId="4" fillId="4" fontId="50" numFmtId="10" xfId="0" applyAlignment="1" applyBorder="1" applyFill="1" applyFont="1" applyNumberFormat="1">
      <alignment horizontal="center" readingOrder="0" shrinkToFit="0" vertical="center" wrapText="0"/>
    </xf>
    <xf borderId="12" fillId="10" fontId="50" numFmtId="10" xfId="0" applyAlignment="1" applyBorder="1" applyFill="1" applyFont="1" applyNumberFormat="1">
      <alignment horizontal="center" readingOrder="0" shrinkToFit="0" vertical="center" wrapText="0"/>
    </xf>
    <xf borderId="29" fillId="18" fontId="51" numFmtId="10" xfId="0" applyAlignment="1" applyBorder="1" applyFill="1" applyFont="1" applyNumberFormat="1">
      <alignment horizontal="center" readingOrder="0" shrinkToFit="0" vertical="center" wrapText="0"/>
    </xf>
    <xf borderId="33" fillId="0" fontId="9" numFmtId="10" xfId="0" applyAlignment="1" applyBorder="1" applyFont="1" applyNumberFormat="1">
      <alignment horizontal="center" readingOrder="0" vertical="center"/>
    </xf>
    <xf borderId="4" fillId="0" fontId="9" numFmtId="10" xfId="0" applyAlignment="1" applyBorder="1" applyFont="1" applyNumberFormat="1">
      <alignment horizontal="center" readingOrder="0" vertical="center"/>
    </xf>
    <xf borderId="12" fillId="10" fontId="52" numFmtId="10" xfId="0" applyAlignment="1" applyBorder="1" applyFill="1" applyFont="1" applyNumberFormat="1">
      <alignment horizontal="center" vertical="center"/>
    </xf>
    <xf borderId="1" fillId="0" fontId="9" numFmtId="10" xfId="0" applyAlignment="1" applyBorder="1" applyFont="1" applyNumberFormat="1">
      <alignment horizontal="center" readingOrder="0" vertical="center"/>
    </xf>
    <xf borderId="12" fillId="18" fontId="23" numFmtId="10" xfId="0" applyAlignment="1" applyBorder="1" applyFill="1" applyFont="1" applyNumberFormat="1">
      <alignment horizontal="center" vertical="center"/>
    </xf>
    <xf borderId="29" fillId="4" fontId="51" numFmtId="10" xfId="0" applyAlignment="1" applyBorder="1" applyFill="1" applyFont="1" applyNumberFormat="1">
      <alignment horizontal="center" readingOrder="0" shrinkToFit="0" vertical="center" wrapText="0"/>
    </xf>
    <xf borderId="33" fillId="4" fontId="5" numFmtId="10" xfId="0" applyAlignment="1" applyBorder="1" applyFill="1" applyFont="1" applyNumberFormat="1">
      <alignment horizontal="center" readingOrder="0" vertical="center"/>
    </xf>
    <xf borderId="4" fillId="4" fontId="5" numFmtId="10" xfId="0" applyAlignment="1" applyBorder="1" applyFill="1" applyFont="1" applyNumberFormat="1">
      <alignment horizontal="center" readingOrder="0" vertical="center"/>
    </xf>
    <xf borderId="12" fillId="10" fontId="53" numFmtId="10" xfId="0" applyAlignment="1" applyBorder="1" applyFill="1" applyFont="1" applyNumberFormat="1">
      <alignment horizontal="center" vertical="center"/>
    </xf>
    <xf borderId="29" fillId="4" fontId="51" numFmtId="10" xfId="0" applyAlignment="1" applyBorder="1" applyFill="1" applyFont="1" applyNumberFormat="1">
      <alignment horizontal="center" readingOrder="0" shrinkToFit="0" wrapText="0"/>
    </xf>
    <xf borderId="33" fillId="4" fontId="5" numFmtId="10" xfId="0" applyAlignment="1" applyBorder="1" applyFill="1" applyFont="1" applyNumberFormat="1">
      <alignment horizontal="center" readingOrder="0"/>
    </xf>
    <xf borderId="4" fillId="25" fontId="1" numFmtId="10" xfId="0" applyAlignment="1" applyBorder="1" applyFill="1" applyFont="1" applyNumberFormat="1">
      <alignment horizontal="center" readingOrder="0"/>
    </xf>
    <xf borderId="4" fillId="4" fontId="5" numFmtId="10" xfId="0" applyAlignment="1" applyBorder="1" applyFill="1" applyFont="1" applyNumberFormat="1">
      <alignment horizontal="center" readingOrder="0"/>
    </xf>
    <xf borderId="12" fillId="10" fontId="1" numFmtId="10" xfId="0" applyAlignment="1" applyBorder="1" applyFill="1" applyFont="1" applyNumberFormat="1">
      <alignment horizontal="center"/>
    </xf>
    <xf borderId="4" fillId="25" fontId="5" numFmtId="10" xfId="0" applyAlignment="1" applyBorder="1" applyFill="1" applyFont="1" applyNumberFormat="1">
      <alignment horizontal="center" readingOrder="0" vertical="center"/>
    </xf>
    <xf borderId="12" fillId="4" fontId="1" numFmtId="10" xfId="0" applyAlignment="1" applyBorder="1" applyFill="1" applyFont="1" applyNumberFormat="1">
      <alignment horizontal="center" vertical="bottom"/>
    </xf>
    <xf borderId="29" fillId="4" fontId="51" numFmtId="10" xfId="0" applyAlignment="1" applyBorder="1" applyFill="1" applyFont="1" applyNumberFormat="1">
      <alignment horizontal="center" readingOrder="0" shrinkToFit="0" vertical="center" wrapText="1"/>
    </xf>
    <xf borderId="33" fillId="4" fontId="5" numFmtId="10" xfId="0" applyAlignment="1" applyBorder="1" applyFill="1" applyFont="1" applyNumberFormat="1">
      <alignment horizontal="center" readingOrder="0" shrinkToFit="0" vertical="center" wrapText="1"/>
    </xf>
    <xf borderId="4" fillId="25" fontId="5" numFmtId="10" xfId="0" applyAlignment="1" applyBorder="1" applyFill="1" applyFont="1" applyNumberFormat="1">
      <alignment horizontal="center" readingOrder="0" shrinkToFit="0" vertical="center" wrapText="1"/>
    </xf>
    <xf borderId="12" fillId="16" fontId="20" numFmtId="0" xfId="0" applyAlignment="1" applyBorder="1" applyFill="1" applyFont="1">
      <alignment shrinkToFit="0" vertical="center" wrapText="0"/>
    </xf>
    <xf borderId="3" fillId="16" fontId="50" numFmtId="10" xfId="0" applyAlignment="1" applyBorder="1" applyFill="1" applyFont="1" applyNumberFormat="1">
      <alignment horizontal="center" readingOrder="0" shrinkToFit="0" vertical="center" wrapText="0"/>
    </xf>
    <xf borderId="4" fillId="16" fontId="50" numFmtId="10" xfId="0" applyAlignment="1" applyBorder="1" applyFill="1" applyFont="1" applyNumberFormat="1">
      <alignment horizontal="center" readingOrder="0" shrinkToFit="0" vertical="center" wrapText="0"/>
    </xf>
    <xf borderId="12" fillId="18" fontId="42" numFmtId="10" xfId="0" applyAlignment="1" applyBorder="1" applyFill="1" applyFont="1" applyNumberFormat="1">
      <alignment horizontal="center" readingOrder="0" shrinkToFit="0" vertical="center" wrapText="0"/>
    </xf>
    <xf borderId="3" fillId="18" fontId="51" numFmtId="10" xfId="0" applyAlignment="1" applyBorder="1" applyFill="1" applyFont="1" applyNumberFormat="1">
      <alignment horizontal="center" readingOrder="0" shrinkToFit="0" vertical="center" wrapText="0"/>
    </xf>
    <xf borderId="3" fillId="25" fontId="51" numFmtId="10" xfId="0" applyAlignment="1" applyBorder="1" applyFill="1" applyFont="1" applyNumberFormat="1">
      <alignment horizontal="center" readingOrder="0" shrinkToFit="0" vertical="center" wrapText="0"/>
    </xf>
    <xf borderId="3" fillId="25" fontId="51" numFmtId="10" xfId="0" applyAlignment="1" applyBorder="1" applyFill="1" applyFont="1" applyNumberFormat="1">
      <alignment horizontal="center" readingOrder="0" shrinkToFit="0" vertical="center" wrapText="0"/>
    </xf>
    <xf borderId="4" fillId="19" fontId="5" numFmtId="10" xfId="0" applyAlignment="1" applyBorder="1" applyFill="1" applyFont="1" applyNumberFormat="1">
      <alignment horizontal="center" readingOrder="0" vertical="center"/>
    </xf>
    <xf borderId="12" fillId="23" fontId="21" numFmtId="10" xfId="0" applyAlignment="1" applyBorder="1" applyFill="1" applyFont="1" applyNumberFormat="1">
      <alignment horizontal="center" vertical="center"/>
    </xf>
    <xf borderId="3" fillId="19" fontId="51" numFmtId="10" xfId="0" applyAlignment="1" applyBorder="1" applyFill="1" applyFont="1" applyNumberFormat="1">
      <alignment horizontal="center" readingOrder="0" shrinkToFit="0" wrapText="0"/>
    </xf>
    <xf borderId="33" fillId="19" fontId="5" numFmtId="10" xfId="0" applyAlignment="1" applyBorder="1" applyFill="1" applyFont="1" applyNumberFormat="1">
      <alignment horizontal="center" readingOrder="0"/>
    </xf>
    <xf borderId="4" fillId="19" fontId="5" numFmtId="10" xfId="0" applyAlignment="1" applyBorder="1" applyFill="1" applyFont="1" applyNumberFormat="1">
      <alignment horizontal="center" readingOrder="0"/>
    </xf>
    <xf borderId="3" fillId="19" fontId="51" numFmtId="10" xfId="0" applyAlignment="1" applyBorder="1" applyFill="1" applyFont="1" applyNumberFormat="1">
      <alignment horizontal="center" readingOrder="0" shrinkToFit="0" vertical="center" wrapText="0"/>
    </xf>
    <xf borderId="33" fillId="19" fontId="5" numFmtId="10" xfId="0" applyAlignment="1" applyBorder="1" applyFill="1" applyFont="1" applyNumberFormat="1">
      <alignment horizontal="center" readingOrder="0" vertical="center"/>
    </xf>
    <xf borderId="12" fillId="19" fontId="1" numFmtId="10" xfId="0" applyAlignment="1" applyBorder="1" applyFill="1" applyFont="1" applyNumberFormat="1">
      <alignment horizontal="center" vertical="bottom"/>
    </xf>
    <xf borderId="3" fillId="19" fontId="51" numFmtId="10" xfId="0" applyAlignment="1" applyBorder="1" applyFill="1" applyFont="1" applyNumberFormat="1">
      <alignment horizontal="center" readingOrder="0" shrinkToFit="0" vertical="center" wrapText="1"/>
    </xf>
    <xf borderId="33" fillId="19" fontId="5" numFmtId="10" xfId="0" applyAlignment="1" applyBorder="1" applyFill="1" applyFont="1" applyNumberFormat="1">
      <alignment horizontal="center" readingOrder="0" shrinkToFit="0" vertical="center" wrapText="1"/>
    </xf>
    <xf borderId="4" fillId="19" fontId="5" numFmtId="10" xfId="0" applyAlignment="1" applyBorder="1" applyFill="1" applyFont="1" applyNumberFormat="1">
      <alignment horizontal="center" readingOrder="0" shrinkToFit="0" vertical="center" wrapText="1"/>
    </xf>
    <xf borderId="4" fillId="19" fontId="5" numFmtId="0" xfId="0" applyAlignment="1" applyBorder="1" applyFill="1" applyFont="1">
      <alignment horizontal="center" readingOrder="0" shrinkToFit="0" vertical="center" wrapText="1"/>
    </xf>
    <xf borderId="12" fillId="23" fontId="42" numFmtId="10" xfId="0" applyAlignment="1" applyBorder="1" applyFill="1" applyFont="1" applyNumberFormat="1">
      <alignment horizontal="center" readingOrder="0" shrinkToFit="0" vertical="center" wrapText="0"/>
    </xf>
    <xf borderId="3" fillId="23" fontId="51" numFmtId="10" xfId="0" applyAlignment="1" applyBorder="1" applyFill="1" applyFont="1" applyNumberFormat="1">
      <alignment horizontal="center" readingOrder="0" shrinkToFit="0" vertical="center" wrapText="0"/>
    </xf>
    <xf borderId="4" fillId="23" fontId="9" numFmtId="10" xfId="0" applyAlignment="1" applyBorder="1" applyFill="1" applyFont="1" applyNumberFormat="1">
      <alignment horizontal="center" readingOrder="0" vertical="center"/>
    </xf>
    <xf borderId="12" fillId="23" fontId="23" numFmtId="10" xfId="0" applyAlignment="1" applyBorder="1" applyFill="1" applyFont="1" applyNumberFormat="1">
      <alignment horizontal="center" vertical="center"/>
    </xf>
    <xf borderId="3" fillId="4" fontId="51" numFmtId="10" xfId="0" applyAlignment="1" applyBorder="1" applyFill="1" applyFont="1" applyNumberFormat="1">
      <alignment horizontal="center" readingOrder="0" shrinkToFit="0" vertical="center" wrapText="0"/>
    </xf>
    <xf borderId="3" fillId="4" fontId="51" numFmtId="10" xfId="0" applyAlignment="1" applyBorder="1" applyFill="1" applyFont="1" applyNumberFormat="1">
      <alignment horizontal="center" readingOrder="0" shrinkToFit="0" wrapText="0"/>
    </xf>
    <xf borderId="3" fillId="4" fontId="51" numFmtId="10" xfId="0" applyAlignment="1" applyBorder="1" applyFill="1" applyFont="1" applyNumberFormat="1">
      <alignment horizontal="center" readingOrder="0" shrinkToFit="0" vertical="center" wrapText="1"/>
    </xf>
    <xf borderId="4" fillId="4" fontId="5" numFmtId="10" xfId="0" applyAlignment="1" applyBorder="1" applyFill="1" applyFont="1" applyNumberFormat="1">
      <alignment horizontal="center" readingOrder="0" shrinkToFit="0" vertical="center" wrapText="1"/>
    </xf>
    <xf borderId="12" fillId="25" fontId="21" numFmtId="10" xfId="0" applyAlignment="1" applyBorder="1" applyFill="1" applyFont="1" applyNumberFormat="1">
      <alignment horizontal="center" vertical="center"/>
    </xf>
    <xf borderId="12" fillId="16" fontId="20" numFmtId="0" xfId="0" applyAlignment="1" applyBorder="1" applyFill="1" applyFont="1">
      <alignment vertical="center"/>
    </xf>
    <xf borderId="3" fillId="16" fontId="50" numFmtId="10" xfId="0" applyAlignment="1" applyBorder="1" applyFill="1" applyFont="1" applyNumberFormat="1">
      <alignment horizontal="center" readingOrder="0" vertical="center"/>
    </xf>
    <xf borderId="4" fillId="16" fontId="50" numFmtId="10" xfId="0" applyAlignment="1" applyBorder="1" applyFill="1" applyFont="1" applyNumberFormat="1">
      <alignment horizontal="center" readingOrder="0" vertical="center"/>
    </xf>
    <xf borderId="12" fillId="4" fontId="20" numFmtId="0" xfId="0" applyAlignment="1" applyBorder="1" applyFill="1" applyFont="1">
      <alignment readingOrder="0" vertical="center"/>
    </xf>
    <xf borderId="3" fillId="4" fontId="50" numFmtId="10" xfId="0" applyAlignment="1" applyBorder="1" applyFill="1" applyFont="1" applyNumberFormat="1">
      <alignment horizontal="center" readingOrder="0" vertical="center"/>
    </xf>
    <xf borderId="4" fillId="4" fontId="50" numFmtId="10" xfId="0" applyAlignment="1" applyBorder="1" applyFill="1" applyFont="1" applyNumberFormat="1">
      <alignment horizontal="center" readingOrder="0" vertical="center"/>
    </xf>
    <xf borderId="4" fillId="25" fontId="9" numFmtId="10" xfId="0" applyAlignment="1" applyBorder="1" applyFill="1" applyFont="1" applyNumberFormat="1">
      <alignment horizontal="center" readingOrder="0" vertical="center"/>
    </xf>
    <xf borderId="12" fillId="25" fontId="23" numFmtId="10" xfId="0" applyAlignment="1" applyBorder="1" applyFill="1" applyFont="1" applyNumberFormat="1">
      <alignment horizontal="center" vertical="center"/>
    </xf>
    <xf borderId="4" fillId="25" fontId="5" numFmtId="10" xfId="0" applyAlignment="1" applyBorder="1" applyFill="1" applyFont="1" applyNumberFormat="1">
      <alignment horizontal="center" readingOrder="0" vertical="center"/>
    </xf>
    <xf borderId="3" fillId="25" fontId="20" numFmtId="10" xfId="0" applyAlignment="1" applyBorder="1" applyFill="1" applyFont="1" applyNumberFormat="1">
      <alignment horizontal="center" readingOrder="0" shrinkToFit="0" wrapText="0"/>
    </xf>
    <xf borderId="3" fillId="25" fontId="51" numFmtId="10" xfId="0" applyAlignment="1" applyBorder="1" applyFill="1" applyFont="1" applyNumberFormat="1">
      <alignment horizontal="center" readingOrder="0" shrinkToFit="0" vertical="center" wrapText="1"/>
    </xf>
    <xf borderId="3" fillId="4" fontId="42" numFmtId="0" xfId="0" applyAlignment="1" applyBorder="1" applyFill="1" applyFont="1">
      <alignment horizontal="center" readingOrder="0" vertical="center"/>
    </xf>
    <xf borderId="12" fillId="10" fontId="50" numFmtId="0" xfId="0" applyAlignment="1" applyBorder="1" applyFill="1" applyFont="1">
      <alignment horizontal="center" readingOrder="0" shrinkToFit="0" vertical="center" wrapText="0"/>
    </xf>
    <xf borderId="3" fillId="18" fontId="51" numFmtId="0" xfId="0" applyAlignment="1" applyBorder="1" applyFill="1" applyFont="1">
      <alignment horizontal="center" readingOrder="0" shrinkToFit="0" vertical="center" wrapText="0"/>
    </xf>
    <xf borderId="4" fillId="0" fontId="54" numFmtId="0" xfId="0" applyAlignment="1" applyBorder="1" applyFont="1">
      <alignment horizontal="center" readingOrder="0" shrinkToFit="0" vertical="bottom" wrapText="0"/>
    </xf>
    <xf borderId="4" fillId="0" fontId="55" numFmtId="0" xfId="0" applyAlignment="1" applyBorder="1" applyFont="1">
      <alignment horizontal="center" readingOrder="0" vertical="bottom"/>
    </xf>
    <xf borderId="4" fillId="0" fontId="56" numFmtId="0" xfId="0" applyAlignment="1" applyBorder="1" applyFont="1">
      <alignment horizontal="center" vertical="bottom"/>
    </xf>
    <xf borderId="19" fillId="30" fontId="57" numFmtId="0" xfId="0" applyBorder="1" applyFill="1" applyFont="1"/>
    <xf borderId="0" fillId="0" fontId="58" numFmtId="0" xfId="0" applyAlignment="1" applyFont="1">
      <alignment horizontal="center" vertical="bottom"/>
    </xf>
    <xf borderId="4" fillId="4" fontId="59" numFmtId="0" xfId="0" applyAlignment="1" applyBorder="1" applyFill="1" applyFont="1">
      <alignment shrinkToFit="0" wrapText="0"/>
    </xf>
    <xf borderId="4" fillId="30" fontId="60" numFmtId="0" xfId="0" applyAlignment="1" applyBorder="1" applyFill="1" applyFont="1">
      <alignment shrinkToFit="0" wrapText="0"/>
    </xf>
    <xf borderId="20" fillId="4" fontId="61" numFmtId="0" xfId="0" applyAlignment="1" applyBorder="1" applyFill="1" applyFont="1">
      <alignment readingOrder="0" shrinkToFit="0" wrapText="0"/>
    </xf>
    <xf borderId="19" fillId="4" fontId="62" numFmtId="0" xfId="0" applyAlignment="1" applyBorder="1" applyFill="1" applyFont="1">
      <alignment readingOrder="0" shrinkToFit="0" wrapText="0"/>
    </xf>
    <xf borderId="0" fillId="0" fontId="63" numFmtId="0" xfId="0" applyAlignment="1" applyFont="1">
      <alignment horizontal="center" readingOrder="0" vertical="bottom"/>
    </xf>
    <xf borderId="4" fillId="4" fontId="64" numFmtId="0" xfId="0" applyAlignment="1" applyBorder="1" applyFill="1" applyFont="1">
      <alignment readingOrder="0" shrinkToFit="0" wrapText="0"/>
    </xf>
    <xf borderId="19" fillId="30" fontId="65" numFmtId="0" xfId="0" applyAlignment="1" applyBorder="1" applyFill="1" applyFont="1">
      <alignment shrinkToFit="0" wrapText="0"/>
    </xf>
    <xf borderId="19" fillId="30" fontId="66" numFmtId="0" xfId="0" applyAlignment="1" applyBorder="1" applyFill="1" applyFont="1">
      <alignment shrinkToFit="0" vertical="top" wrapText="0"/>
    </xf>
    <xf borderId="19" fillId="4" fontId="67" numFmtId="0" xfId="0" applyAlignment="1" applyBorder="1" applyFill="1" applyFont="1">
      <alignment shrinkToFit="0" wrapText="0"/>
    </xf>
    <xf borderId="0" fillId="4" fontId="68" numFmtId="0" xfId="0" applyAlignment="1" applyFill="1" applyFont="1">
      <alignment shrinkToFit="0" wrapText="0"/>
    </xf>
    <xf borderId="0" fillId="30" fontId="69" numFmtId="0" xfId="0" applyAlignment="1" applyFill="1" applyFont="1">
      <alignment shrinkToFit="0" wrapText="0"/>
    </xf>
    <xf borderId="4" fillId="4" fontId="70" numFmtId="0" xfId="0" applyAlignment="1" applyBorder="1" applyFill="1" applyFont="1">
      <alignment readingOrder="0" shrinkToFit="0" wrapText="0"/>
    </xf>
    <xf borderId="4" fillId="30" fontId="71" numFmtId="0" xfId="0" applyAlignment="1" applyBorder="1" applyFill="1" applyFont="1">
      <alignment vertical="bottom"/>
    </xf>
    <xf borderId="0" fillId="0" fontId="72" numFmtId="0" xfId="0" applyAlignment="1" applyFont="1">
      <alignment horizontal="center" readingOrder="0" vertical="bottom"/>
    </xf>
    <xf borderId="4" fillId="0" fontId="73" numFmtId="0" xfId="0" applyAlignment="1" applyBorder="1" applyFont="1">
      <alignment horizontal="center" readingOrder="0" vertical="bottom"/>
    </xf>
    <xf borderId="4" fillId="0" fontId="74" numFmtId="0" xfId="0" applyAlignment="1" applyBorder="1" applyFont="1">
      <alignment horizontal="center" readingOrder="0" vertical="bottom"/>
    </xf>
    <xf borderId="4" fillId="0" fontId="75" numFmtId="0" xfId="0" applyAlignment="1" applyBorder="1" applyFont="1">
      <alignment horizontal="center" vertical="bottom"/>
    </xf>
  </cellXfs>
  <cellStyles count="1">
    <cellStyle xfId="0" name="Normal" builtinId="0"/>
  </cellStyles>
  <dxfs count="13">
    <dxf>
      <font/>
      <fill>
        <patternFill patternType="none"/>
      </fill>
      <border/>
    </dxf>
    <dxf>
      <font/>
      <fill>
        <patternFill patternType="solid">
          <fgColor rgb="FFFFCCCC"/>
          <bgColor rgb="FFFFCCCC"/>
        </patternFill>
      </fill>
      <border/>
    </dxf>
    <dxf>
      <font/>
      <fill>
        <patternFill patternType="solid">
          <fgColor rgb="FFFFFFFF"/>
          <bgColor rgb="FFFFFFFF"/>
        </patternFill>
      </fill>
      <border/>
    </dxf>
    <dxf>
      <font/>
      <fill>
        <patternFill patternType="solid">
          <fgColor rgb="FFFFDDED"/>
          <bgColor rgb="FFFFDDED"/>
        </patternFill>
      </fill>
      <border/>
    </dxf>
    <dxf>
      <font/>
      <fill>
        <patternFill patternType="solid">
          <fgColor rgb="FFFFE6DD"/>
          <bgColor rgb="FFFFE6DD"/>
        </patternFill>
      </fill>
      <border/>
    </dxf>
    <dxf>
      <font>
        <b/>
        <color rgb="FFFFFFFF"/>
      </font>
      <fill>
        <patternFill patternType="solid">
          <fgColor rgb="FF434343"/>
          <bgColor rgb="FF434343"/>
        </patternFill>
      </fill>
      <border/>
    </dxf>
    <dxf>
      <font>
        <b/>
        <strike/>
        <color rgb="FFFFFFFF"/>
      </font>
      <fill>
        <patternFill patternType="solid">
          <fgColor rgb="FF0B5394"/>
          <bgColor rgb="FF0B5394"/>
        </patternFill>
      </fill>
      <border/>
    </dxf>
    <dxf>
      <font>
        <b/>
      </font>
      <fill>
        <patternFill patternType="solid">
          <fgColor rgb="FF434343"/>
          <bgColor rgb="FF434343"/>
        </patternFill>
      </fill>
      <border/>
    </dxf>
    <dxf>
      <font>
        <b/>
      </font>
      <fill>
        <patternFill patternType="solid">
          <fgColor rgb="FF990000"/>
          <bgColor rgb="FF990000"/>
        </patternFill>
      </fill>
      <border/>
    </dxf>
    <dxf>
      <font>
        <b/>
      </font>
      <fill>
        <patternFill patternType="solid">
          <fgColor rgb="FF0B5394"/>
          <bgColor rgb="FF0B5394"/>
        </patternFill>
      </fill>
      <border/>
    </dxf>
    <dxf>
      <font>
        <color rgb="FFFFFFFF"/>
      </font>
      <fill>
        <patternFill patternType="solid">
          <fgColor rgb="FF990000"/>
          <bgColor rgb="FF990000"/>
        </patternFill>
      </fill>
      <border/>
    </dxf>
    <dxf>
      <font/>
      <fill>
        <patternFill patternType="solid">
          <fgColor rgb="FFF8F9FA"/>
          <bgColor rgb="FFF8F9FA"/>
        </patternFill>
      </fill>
      <border/>
    </dxf>
    <dxf>
      <font>
        <b/>
        <color rgb="FFFFFFFF"/>
      </font>
      <fill>
        <patternFill patternType="solid">
          <fgColor rgb="FF0B5394"/>
          <bgColor rgb="FF0B5394"/>
        </patternFill>
      </fill>
      <border/>
    </dxf>
  </dxfs>
  <tableStyles count="54">
    <tableStyle count="3" pivot="0" name="Team Info-style">
      <tableStyleElement dxfId="1" type="headerRow"/>
      <tableStyleElement dxfId="2" type="firstRowStripe"/>
      <tableStyleElement dxfId="3" type="secondRowStripe"/>
    </tableStyle>
    <tableStyle count="2" pivot="0" name="Daily and Weekly Call Stats-style">
      <tableStyleElement dxfId="4" type="firstRowStripe"/>
      <tableStyleElement dxfId="2" type="secondRowStripe"/>
    </tableStyle>
    <tableStyle count="2" pivot="0" name="Daily and Weekly Call Stats-style 2">
      <tableStyleElement dxfId="4" type="firstRowStripe"/>
      <tableStyleElement dxfId="2" type="secondRowStripe"/>
    </tableStyle>
    <tableStyle count="2" pivot="0" name="Daily and Weekly Call Stats-style 3">
      <tableStyleElement dxfId="4" type="firstRowStripe"/>
      <tableStyleElement dxfId="2" type="secondRowStripe"/>
    </tableStyle>
    <tableStyle count="2" pivot="0" name="Daily and Weekly Call Stats-style 4">
      <tableStyleElement dxfId="4" type="firstRowStripe"/>
      <tableStyleElement dxfId="2" type="secondRowStripe"/>
    </tableStyle>
    <tableStyle count="2" pivot="0" name="Daily and Weekly Call Stats-style 5">
      <tableStyleElement dxfId="4" type="firstRowStripe"/>
      <tableStyleElement dxfId="2" type="secondRowStripe"/>
    </tableStyle>
    <tableStyle count="2" pivot="0" name="Daily and Weekly Call Stats-style 6">
      <tableStyleElement dxfId="4" type="firstRowStripe"/>
      <tableStyleElement dxfId="2" type="secondRowStripe"/>
    </tableStyle>
    <tableStyle count="2" pivot="0" name="TEAM STATS-style">
      <tableStyleElement dxfId="2" type="firstRowStripe"/>
      <tableStyleElement dxfId="4" type="secondRowStripe"/>
    </tableStyle>
    <tableStyle count="2" pivot="0" name="TEAM STATS-style 2">
      <tableStyleElement dxfId="2" type="firstRowStripe"/>
      <tableStyleElement dxfId="4" type="secondRowStripe"/>
    </tableStyle>
    <tableStyle count="2" pivot="0" name="TEAM STATS-style 3">
      <tableStyleElement dxfId="2" type="firstRowStripe"/>
      <tableStyleElement dxfId="4" type="secondRowStripe"/>
    </tableStyle>
    <tableStyle count="2" pivot="0" name="TEAM STATS-style 4">
      <tableStyleElement dxfId="2" type="firstRowStripe"/>
      <tableStyleElement dxfId="4" type="secondRowStripe"/>
    </tableStyle>
    <tableStyle count="2" pivot="0" name="TEAM STATS-style 5">
      <tableStyleElement dxfId="2" type="firstRowStripe"/>
      <tableStyleElement dxfId="4" type="secondRowStripe"/>
    </tableStyle>
    <tableStyle count="2" pivot="0" name="TEAM STATS-style 6">
      <tableStyleElement dxfId="2" type="firstRowStripe"/>
      <tableStyleElement dxfId="4" type="secondRowStripe"/>
    </tableStyle>
    <tableStyle count="2" pivot="0" name="TEAM STATS-style 7">
      <tableStyleElement dxfId="2" type="firstRowStripe"/>
      <tableStyleElement dxfId="4" type="secondRowStripe"/>
    </tableStyle>
    <tableStyle count="2" pivot="0" name="TEAM STATS-style 8">
      <tableStyleElement dxfId="2" type="firstRowStripe"/>
      <tableStyleElement dxfId="4" type="secondRowStripe"/>
    </tableStyle>
    <tableStyle count="2" pivot="0" name="TEAM STATS-style 9">
      <tableStyleElement dxfId="2" type="firstRowStripe"/>
      <tableStyleElement dxfId="4" type="secondRowStripe"/>
    </tableStyle>
    <tableStyle count="2" pivot="0" name="TEAM STATS-style 10">
      <tableStyleElement dxfId="2" type="firstRowStripe"/>
      <tableStyleElement dxfId="4" type="secondRowStripe"/>
    </tableStyle>
    <tableStyle count="2" pivot="0" name="TEAM STATS-style 11">
      <tableStyleElement dxfId="2" type="firstRowStripe"/>
      <tableStyleElement dxfId="4" type="secondRowStripe"/>
    </tableStyle>
    <tableStyle count="2" pivot="0" name="TEAM STATS-style 12">
      <tableStyleElement dxfId="2" type="firstRowStripe"/>
      <tableStyleElement dxfId="4" type="secondRowStripe"/>
    </tableStyle>
    <tableStyle count="2" pivot="0" name="TEAM STATS-style 13">
      <tableStyleElement dxfId="2" type="firstRowStripe"/>
      <tableStyleElement dxfId="4" type="secondRowStripe"/>
    </tableStyle>
    <tableStyle count="2" pivot="0" name="TEAM STATS-style 14">
      <tableStyleElement dxfId="2" type="firstRowStripe"/>
      <tableStyleElement dxfId="4" type="secondRowStripe"/>
    </tableStyle>
    <tableStyle count="2" pivot="0" name="TEAM STATS-style 15">
      <tableStyleElement dxfId="2" type="firstRowStripe"/>
      <tableStyleElement dxfId="4" type="secondRowStripe"/>
    </tableStyle>
    <tableStyle count="2" pivot="0" name="TEAM STATS-style 16">
      <tableStyleElement dxfId="2" type="firstRowStripe"/>
      <tableStyleElement dxfId="4" type="secondRowStripe"/>
    </tableStyle>
    <tableStyle count="2" pivot="0" name="TEAM STATS-style 17">
      <tableStyleElement dxfId="2" type="firstRowStripe"/>
      <tableStyleElement dxfId="4" type="secondRowStripe"/>
    </tableStyle>
    <tableStyle count="2" pivot="0" name="TEAM STATS-style 18">
      <tableStyleElement dxfId="2" type="firstRowStripe"/>
      <tableStyleElement dxfId="4" type="secondRowStripe"/>
    </tableStyle>
    <tableStyle count="2" pivot="0" name="TEAM STATS-style 19">
      <tableStyleElement dxfId="2" type="firstRowStripe"/>
      <tableStyleElement dxfId="4" type="secondRowStripe"/>
    </tableStyle>
    <tableStyle count="2" pivot="0" name="TEAM STATS-style 20">
      <tableStyleElement dxfId="2" type="firstRowStripe"/>
      <tableStyleElement dxfId="4" type="secondRowStripe"/>
    </tableStyle>
    <tableStyle count="2" pivot="0" name="TEAM STATS-style 21">
      <tableStyleElement dxfId="2" type="firstRowStripe"/>
      <tableStyleElement dxfId="4" type="secondRowStripe"/>
    </tableStyle>
    <tableStyle count="2" pivot="0" name="TEAM STATS-style 22">
      <tableStyleElement dxfId="2" type="firstRowStripe"/>
      <tableStyleElement dxfId="4" type="secondRowStripe"/>
    </tableStyle>
    <tableStyle count="2" pivot="0" name="TEAM STATS-style 23">
      <tableStyleElement dxfId="2" type="firstRowStripe"/>
      <tableStyleElement dxfId="4" type="secondRowStripe"/>
    </tableStyle>
    <tableStyle count="2" pivot="0" name="TEAM STATS-style 24">
      <tableStyleElement dxfId="2" type="firstRowStripe"/>
      <tableStyleElement dxfId="4" type="secondRowStripe"/>
    </tableStyle>
    <tableStyle count="2" pivot="0" name="TEAM STATS-style 25">
      <tableStyleElement dxfId="2" type="firstRowStripe"/>
      <tableStyleElement dxfId="4" type="secondRowStripe"/>
    </tableStyle>
    <tableStyle count="2" pivot="0" name="TEAM STATS-style 26">
      <tableStyleElement dxfId="2" type="firstRowStripe"/>
      <tableStyleElement dxfId="4" type="secondRowStripe"/>
    </tableStyle>
    <tableStyle count="2" pivot="0" name="TEAM STATS-style 27">
      <tableStyleElement dxfId="2" type="firstRowStripe"/>
      <tableStyleElement dxfId="4" type="secondRowStripe"/>
    </tableStyle>
    <tableStyle count="2" pivot="0" name="TEAM STATS-style 28">
      <tableStyleElement dxfId="2" type="firstRowStripe"/>
      <tableStyleElement dxfId="4" type="secondRowStripe"/>
    </tableStyle>
    <tableStyle count="2" pivot="0" name="TEAM STATS-style 29">
      <tableStyleElement dxfId="2" type="firstRowStripe"/>
      <tableStyleElement dxfId="4" type="secondRowStripe"/>
    </tableStyle>
    <tableStyle count="2" pivot="0" name="TEAM STATS-style 30">
      <tableStyleElement dxfId="2" type="firstRowStripe"/>
      <tableStyleElement dxfId="4" type="secondRowStripe"/>
    </tableStyle>
    <tableStyle count="2" pivot="0" name="TEAM STATS-style 31">
      <tableStyleElement dxfId="2" type="firstRowStripe"/>
      <tableStyleElement dxfId="4" type="secondRowStripe"/>
    </tableStyle>
    <tableStyle count="2" pivot="0" name="TEAM STATS-style 32">
      <tableStyleElement dxfId="2" type="firstRowStripe"/>
      <tableStyleElement dxfId="4" type="secondRowStripe"/>
    </tableStyle>
    <tableStyle count="2" pivot="0" name="TEAM STATS-style 33">
      <tableStyleElement dxfId="2" type="firstRowStripe"/>
      <tableStyleElement dxfId="4" type="secondRowStripe"/>
    </tableStyle>
    <tableStyle count="2" pivot="0" name="TEAM STATS-style 34">
      <tableStyleElement dxfId="2" type="firstRowStripe"/>
      <tableStyleElement dxfId="4" type="secondRowStripe"/>
    </tableStyle>
    <tableStyle count="2" pivot="0" name="TEAM STATS-style 35">
      <tableStyleElement dxfId="2" type="firstRowStripe"/>
      <tableStyleElement dxfId="4" type="secondRowStripe"/>
    </tableStyle>
    <tableStyle count="2" pivot="0" name="TEAM STATS-style 36">
      <tableStyleElement dxfId="2" type="firstRowStripe"/>
      <tableStyleElement dxfId="4" type="secondRowStripe"/>
    </tableStyle>
    <tableStyle count="2" pivot="0" name="TEAM STATS-style 37">
      <tableStyleElement dxfId="2" type="firstRowStripe"/>
      <tableStyleElement dxfId="4" type="secondRowStripe"/>
    </tableStyle>
    <tableStyle count="2" pivot="0" name="TEAM STATS-style 38">
      <tableStyleElement dxfId="2" type="firstRowStripe"/>
      <tableStyleElement dxfId="4" type="secondRowStripe"/>
    </tableStyle>
    <tableStyle count="2" pivot="0" name="TEAM STATS-style 39">
      <tableStyleElement dxfId="2" type="firstRowStripe"/>
      <tableStyleElement dxfId="4" type="secondRowStripe"/>
    </tableStyle>
    <tableStyle count="2" pivot="0" name="TEAM STATS-style 40">
      <tableStyleElement dxfId="2" type="firstRowStripe"/>
      <tableStyleElement dxfId="4" type="secondRowStripe"/>
    </tableStyle>
    <tableStyle count="2" pivot="0" name="TEAM STATS-style 41">
      <tableStyleElement dxfId="2" type="firstRowStripe"/>
      <tableStyleElement dxfId="4" type="secondRowStripe"/>
    </tableStyle>
    <tableStyle count="2" pivot="0" name="TEAM STATS-style 42">
      <tableStyleElement dxfId="2" type="firstRowStripe"/>
      <tableStyleElement dxfId="4" type="secondRowStripe"/>
    </tableStyle>
    <tableStyle count="2" pivot="0" name="TEAM STATS-style 43">
      <tableStyleElement dxfId="2" type="firstRowStripe"/>
      <tableStyleElement dxfId="4" type="secondRowStripe"/>
    </tableStyle>
    <tableStyle count="2" pivot="0" name="Lyra-style">
      <tableStyleElement dxfId="11" type="firstRowStripe"/>
      <tableStyleElement dxfId="2" type="secondRowStripe"/>
    </tableStyle>
    <tableStyle count="2" pivot="0" name="Mikka-style">
      <tableStyleElement dxfId="11" type="firstRowStripe"/>
      <tableStyleElement dxfId="2" type="secondRowStripe"/>
    </tableStyle>
    <tableStyle count="2" pivot="0" name="Mikka-style 2">
      <tableStyleElement dxfId="11" type="firstRowStripe"/>
      <tableStyleElement dxfId="2" type="secondRowStripe"/>
    </tableStyle>
    <tableStyle count="2" pivot="0" name="MONTHLY SCORECARD-style">
      <tableStyleElement dxfId="2"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10" displayName="Table_1" name="Table_1" id="1">
  <tableColumns count="10">
    <tableColumn name="Agent Name" id="1"/>
    <tableColumn name="Email Address" id="2"/>
    <tableColumn name="Contact Number" id="3"/>
    <tableColumn name="Birthday" id="4"/>
    <tableColumn name="Home Address" id="5"/>
    <tableColumn name="Baranggay" id="6"/>
    <tableColumn name="Municipality" id="7"/>
    <tableColumn name="Province" id="8"/>
    <tableColumn name="Zip Code" id="9"/>
    <tableColumn name="Landmark" id="10"/>
  </tableColumns>
  <tableStyleInfo name="Team Info-style" showColumnStripes="0" showFirstColumn="1" showLastColumn="1" showRowStripes="1"/>
</table>
</file>

<file path=xl/tables/table2.xml><?xml version="1.0" encoding="utf-8"?>
<table xmlns="http://schemas.openxmlformats.org/spreadsheetml/2006/main" headerRowCount="0" ref="A6:L12" displayName="Table_8" name="Table_8" id="8">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TEAM STATS-style" showColumnStripes="0" showFirstColumn="1" showLastColumn="1" showRowStripes="1"/>
</table>
</file>

<file path=xl/tables/table3.xml><?xml version="1.0" encoding="utf-8"?>
<table xmlns="http://schemas.openxmlformats.org/spreadsheetml/2006/main" headerRowCount="0" ref="A17:A24" displayName="Table_9" name="Table_9" id="9">
  <tableColumns count="1">
    <tableColumn name="Column1" id="1"/>
  </tableColumns>
  <tableStyleInfo name="TEAM STATS-style 2" showColumnStripes="0" showFirstColumn="1" showLastColumn="1" showRowStripes="1"/>
</table>
</file>

<file path=xl/tables/table4.xml><?xml version="1.0" encoding="utf-8"?>
<table xmlns="http://schemas.openxmlformats.org/spreadsheetml/2006/main" headerRowCount="0" ref="B17:H24" displayName="Table_10" name="Table_10" id="10">
  <tableColumns count="7">
    <tableColumn name="Column1" id="1"/>
    <tableColumn name="Column2" id="2"/>
    <tableColumn name="Column3" id="3"/>
    <tableColumn name="Column4" id="4"/>
    <tableColumn name="Column5" id="5"/>
    <tableColumn name="Column6" id="6"/>
    <tableColumn name="Column7" id="7"/>
  </tableColumns>
  <tableStyleInfo name="TEAM STATS-style 3" showColumnStripes="0" showFirstColumn="1" showLastColumn="1" showRowStripes="1"/>
</table>
</file>

<file path=xl/tables/table5.xml><?xml version="1.0" encoding="utf-8"?>
<table xmlns="http://schemas.openxmlformats.org/spreadsheetml/2006/main" headerRowCount="0" ref="D48:J48" displayName="Table_11" name="Table_11" id="11">
  <tableColumns count="7">
    <tableColumn name="Column1" id="1"/>
    <tableColumn name="Column2" id="2"/>
    <tableColumn name="Column3" id="3"/>
    <tableColumn name="Column4" id="4"/>
    <tableColumn name="Column5" id="5"/>
    <tableColumn name="Column6" id="6"/>
    <tableColumn name="Column7" id="7"/>
  </tableColumns>
  <tableStyleInfo name="TEAM STATS-style 4" showColumnStripes="0" showFirstColumn="1" showLastColumn="1" showRowStripes="1"/>
</table>
</file>

<file path=xl/tables/table6.xml><?xml version="1.0" encoding="utf-8"?>
<table xmlns="http://schemas.openxmlformats.org/spreadsheetml/2006/main" headerRowCount="0" ref="A50:L57" displayName="Table_12" name="Table_12" id="12">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TEAM STATS-style 5" showColumnStripes="0" showFirstColumn="1" showLastColumn="1" showRowStripes="1"/>
</table>
</file>

<file path=xl/tables/table7.xml><?xml version="1.0" encoding="utf-8"?>
<table xmlns="http://schemas.openxmlformats.org/spreadsheetml/2006/main" headerRowCount="0" ref="A62:A69" displayName="Table_13" name="Table_13" id="13">
  <tableColumns count="1">
    <tableColumn name="Column1" id="1"/>
  </tableColumns>
  <tableStyleInfo name="TEAM STATS-style 6" showColumnStripes="0" showFirstColumn="1" showLastColumn="1" showRowStripes="1"/>
</table>
</file>

<file path=xl/tables/table8.xml><?xml version="1.0" encoding="utf-8"?>
<table xmlns="http://schemas.openxmlformats.org/spreadsheetml/2006/main" headerRowCount="0" ref="B62:H69" displayName="Table_14" name="Table_14" id="14">
  <tableColumns count="7">
    <tableColumn name="Column1" id="1"/>
    <tableColumn name="Column2" id="2"/>
    <tableColumn name="Column3" id="3"/>
    <tableColumn name="Column4" id="4"/>
    <tableColumn name="Column5" id="5"/>
    <tableColumn name="Column6" id="6"/>
    <tableColumn name="Column7" id="7"/>
  </tableColumns>
  <tableStyleInfo name="TEAM STATS-style 7" showColumnStripes="0" showFirstColumn="1" showLastColumn="1" showRowStripes="1"/>
</table>
</file>

<file path=xl/tables/table9.xml><?xml version="1.0" encoding="utf-8"?>
<table xmlns="http://schemas.openxmlformats.org/spreadsheetml/2006/main" headerRowCount="0" ref="D97:J97" displayName="Table_15" name="Table_15" id="15">
  <tableColumns count="7">
    <tableColumn name="Column1" id="1"/>
    <tableColumn name="Column2" id="2"/>
    <tableColumn name="Column3" id="3"/>
    <tableColumn name="Column4" id="4"/>
    <tableColumn name="Column5" id="5"/>
    <tableColumn name="Column6" id="6"/>
    <tableColumn name="Column7" id="7"/>
  </tableColumns>
  <tableStyleInfo name="TEAM STATS-style 8" showColumnStripes="0" showFirstColumn="1" showLastColumn="1" showRowStripes="1"/>
</table>
</file>

<file path=xl/tables/table10.xml><?xml version="1.0" encoding="utf-8"?>
<table xmlns="http://schemas.openxmlformats.org/spreadsheetml/2006/main" headerRowCount="0" ref="A99:L106" displayName="Table_16" name="Table_16" id="16">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TEAM STATS-style 9" showColumnStripes="0" showFirstColumn="1" showLastColumn="1" showRowStripes="1"/>
</table>
</file>

<file path=xl/tables/table11.xml><?xml version="1.0" encoding="utf-8"?>
<table xmlns="http://schemas.openxmlformats.org/spreadsheetml/2006/main" headerRowCount="0" ref="A111:A118" displayName="Table_17" name="Table_17" id="17">
  <tableColumns count="1">
    <tableColumn name="Column1" id="1"/>
  </tableColumns>
  <tableStyleInfo name="TEAM STATS-style 10" showColumnStripes="0" showFirstColumn="1" showLastColumn="1" showRowStripes="1"/>
</table>
</file>

<file path=xl/tables/table12.xml><?xml version="1.0" encoding="utf-8"?>
<table xmlns="http://schemas.openxmlformats.org/spreadsheetml/2006/main" headerRowCount="0" ref="B111:H118" displayName="Table_18" name="Table_18" id="18">
  <tableColumns count="7">
    <tableColumn name="Column1" id="1"/>
    <tableColumn name="Column2" id="2"/>
    <tableColumn name="Column3" id="3"/>
    <tableColumn name="Column4" id="4"/>
    <tableColumn name="Column5" id="5"/>
    <tableColumn name="Column6" id="6"/>
    <tableColumn name="Column7" id="7"/>
  </tableColumns>
  <tableStyleInfo name="TEAM STATS-style 11" showColumnStripes="0" showFirstColumn="1" showLastColumn="1" showRowStripes="1"/>
</table>
</file>

<file path=xl/tables/table13.xml><?xml version="1.0" encoding="utf-8"?>
<table xmlns="http://schemas.openxmlformats.org/spreadsheetml/2006/main" headerRowCount="0" ref="D145:J145" displayName="Table_19" name="Table_19" id="19">
  <tableColumns count="7">
    <tableColumn name="Column1" id="1"/>
    <tableColumn name="Column2" id="2"/>
    <tableColumn name="Column3" id="3"/>
    <tableColumn name="Column4" id="4"/>
    <tableColumn name="Column5" id="5"/>
    <tableColumn name="Column6" id="6"/>
    <tableColumn name="Column7" id="7"/>
  </tableColumns>
  <tableStyleInfo name="TEAM STATS-style 12" showColumnStripes="0" showFirstColumn="1" showLastColumn="1" showRowStripes="1"/>
</table>
</file>

<file path=xl/tables/table14.xml><?xml version="1.0" encoding="utf-8"?>
<table xmlns="http://schemas.openxmlformats.org/spreadsheetml/2006/main" headerRowCount="0" ref="A147:L153" displayName="Table_20" name="Table_20" id="20">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TEAM STATS-style 13" showColumnStripes="0" showFirstColumn="1" showLastColumn="1" showRowStripes="1"/>
</table>
</file>

<file path=xl/tables/table15.xml><?xml version="1.0" encoding="utf-8"?>
<table xmlns="http://schemas.openxmlformats.org/spreadsheetml/2006/main" headerRowCount="0" ref="A158:A164" displayName="Table_21" name="Table_21" id="21">
  <tableColumns count="1">
    <tableColumn name="Column1" id="1"/>
  </tableColumns>
  <tableStyleInfo name="TEAM STATS-style 14" showColumnStripes="0" showFirstColumn="1" showLastColumn="1" showRowStripes="1"/>
</table>
</file>

<file path=xl/tables/table16.xml><?xml version="1.0" encoding="utf-8"?>
<table xmlns="http://schemas.openxmlformats.org/spreadsheetml/2006/main" headerRowCount="0" ref="B158:H164" displayName="Table_22" name="Table_22" id="22">
  <tableColumns count="7">
    <tableColumn name="Column1" id="1"/>
    <tableColumn name="Column2" id="2"/>
    <tableColumn name="Column3" id="3"/>
    <tableColumn name="Column4" id="4"/>
    <tableColumn name="Column5" id="5"/>
    <tableColumn name="Column6" id="6"/>
    <tableColumn name="Column7" id="7"/>
  </tableColumns>
  <tableStyleInfo name="TEAM STATS-style 15" showColumnStripes="0" showFirstColumn="1" showLastColumn="1" showRowStripes="1"/>
</table>
</file>

<file path=xl/tables/table17.xml><?xml version="1.0" encoding="utf-8"?>
<table xmlns="http://schemas.openxmlformats.org/spreadsheetml/2006/main" headerRowCount="0" ref="D192:J192" displayName="Table_23" name="Table_23" id="23">
  <tableColumns count="7">
    <tableColumn name="Column1" id="1"/>
    <tableColumn name="Column2" id="2"/>
    <tableColumn name="Column3" id="3"/>
    <tableColumn name="Column4" id="4"/>
    <tableColumn name="Column5" id="5"/>
    <tableColumn name="Column6" id="6"/>
    <tableColumn name="Column7" id="7"/>
  </tableColumns>
  <tableStyleInfo name="TEAM STATS-style 16" showColumnStripes="0" showFirstColumn="1" showLastColumn="1" showRowStripes="1"/>
</table>
</file>

<file path=xl/tables/table18.xml><?xml version="1.0" encoding="utf-8"?>
<table xmlns="http://schemas.openxmlformats.org/spreadsheetml/2006/main" headerRowCount="0" ref="A194:L201" displayName="Table_24" name="Table_24" id="24">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TEAM STATS-style 17" showColumnStripes="0" showFirstColumn="1" showLastColumn="1" showRowStripes="1"/>
</table>
</file>

<file path=xl/tables/table19.xml><?xml version="1.0" encoding="utf-8"?>
<table xmlns="http://schemas.openxmlformats.org/spreadsheetml/2006/main" headerRowCount="0" ref="A206:A213" displayName="Table_25" name="Table_25" id="25">
  <tableColumns count="1">
    <tableColumn name="Column1" id="1"/>
  </tableColumns>
  <tableStyleInfo name="TEAM STATS-style 18" showColumnStripes="0" showFirstColumn="1" showLastColumn="1" showRowStripes="1"/>
</table>
</file>

<file path=xl/tables/table20.xml><?xml version="1.0" encoding="utf-8"?>
<table xmlns="http://schemas.openxmlformats.org/spreadsheetml/2006/main" headerRowCount="0" ref="B206:H213" displayName="Table_26" name="Table_26" id="26">
  <tableColumns count="7">
    <tableColumn name="Column1" id="1"/>
    <tableColumn name="Column2" id="2"/>
    <tableColumn name="Column3" id="3"/>
    <tableColumn name="Column4" id="4"/>
    <tableColumn name="Column5" id="5"/>
    <tableColumn name="Column6" id="6"/>
    <tableColumn name="Column7" id="7"/>
  </tableColumns>
  <tableStyleInfo name="TEAM STATS-style 19" showColumnStripes="0" showFirstColumn="1" showLastColumn="1" showRowStripes="1"/>
</table>
</file>

<file path=xl/tables/table21.xml><?xml version="1.0" encoding="utf-8"?>
<table xmlns="http://schemas.openxmlformats.org/spreadsheetml/2006/main" headerRowCount="0" ref="D240:J240" displayName="Table_27" name="Table_27" id="27">
  <tableColumns count="7">
    <tableColumn name="Column1" id="1"/>
    <tableColumn name="Column2" id="2"/>
    <tableColumn name="Column3" id="3"/>
    <tableColumn name="Column4" id="4"/>
    <tableColumn name="Column5" id="5"/>
    <tableColumn name="Column6" id="6"/>
    <tableColumn name="Column7" id="7"/>
  </tableColumns>
  <tableStyleInfo name="TEAM STATS-style 20" showColumnStripes="0" showFirstColumn="1" showLastColumn="1" showRowStripes="1"/>
</table>
</file>

<file path=xl/tables/table22.xml><?xml version="1.0" encoding="utf-8"?>
<table xmlns="http://schemas.openxmlformats.org/spreadsheetml/2006/main" headerRowCount="0" ref="A242:L249" displayName="Table_28" name="Table_28" id="28">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TEAM STATS-style 21" showColumnStripes="0" showFirstColumn="1" showLastColumn="1" showRowStripes="1"/>
</table>
</file>

<file path=xl/tables/table23.xml><?xml version="1.0" encoding="utf-8"?>
<table xmlns="http://schemas.openxmlformats.org/spreadsheetml/2006/main" headerRowCount="0" ref="A254:A261" displayName="Table_29" name="Table_29" id="29">
  <tableColumns count="1">
    <tableColumn name="Column1" id="1"/>
  </tableColumns>
  <tableStyleInfo name="TEAM STATS-style 22" showColumnStripes="0" showFirstColumn="1" showLastColumn="1" showRowStripes="1"/>
</table>
</file>

<file path=xl/tables/table24.xml><?xml version="1.0" encoding="utf-8"?>
<table xmlns="http://schemas.openxmlformats.org/spreadsheetml/2006/main" headerRowCount="0" ref="B254:H261" displayName="Table_30" name="Table_30" id="30">
  <tableColumns count="7">
    <tableColumn name="Column1" id="1"/>
    <tableColumn name="Column2" id="2"/>
    <tableColumn name="Column3" id="3"/>
    <tableColumn name="Column4" id="4"/>
    <tableColumn name="Column5" id="5"/>
    <tableColumn name="Column6" id="6"/>
    <tableColumn name="Column7" id="7"/>
  </tableColumns>
  <tableStyleInfo name="TEAM STATS-style 23" showColumnStripes="0" showFirstColumn="1" showLastColumn="1" showRowStripes="1"/>
</table>
</file>

<file path=xl/tables/table25.xml><?xml version="1.0" encoding="utf-8"?>
<table xmlns="http://schemas.openxmlformats.org/spreadsheetml/2006/main" headerRowCount="0" ref="D288:J288" displayName="Table_31" name="Table_31" id="31">
  <tableColumns count="7">
    <tableColumn name="Column1" id="1"/>
    <tableColumn name="Column2" id="2"/>
    <tableColumn name="Column3" id="3"/>
    <tableColumn name="Column4" id="4"/>
    <tableColumn name="Column5" id="5"/>
    <tableColumn name="Column6" id="6"/>
    <tableColumn name="Column7" id="7"/>
  </tableColumns>
  <tableStyleInfo name="TEAM STATS-style 24" showColumnStripes="0" showFirstColumn="1" showLastColumn="1" showRowStripes="1"/>
</table>
</file>

<file path=xl/tables/table26.xml><?xml version="1.0" encoding="utf-8"?>
<table xmlns="http://schemas.openxmlformats.org/spreadsheetml/2006/main" headerRowCount="0" ref="A290:L297" displayName="Table_32" name="Table_32" id="32">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TEAM STATS-style 25" showColumnStripes="0" showFirstColumn="1" showLastColumn="1" showRowStripes="1"/>
</table>
</file>

<file path=xl/tables/table27.xml><?xml version="1.0" encoding="utf-8"?>
<table xmlns="http://schemas.openxmlformats.org/spreadsheetml/2006/main" headerRowCount="0" ref="A302:A309" displayName="Table_33" name="Table_33" id="33">
  <tableColumns count="1">
    <tableColumn name="Column1" id="1"/>
  </tableColumns>
  <tableStyleInfo name="TEAM STATS-style 26" showColumnStripes="0" showFirstColumn="1" showLastColumn="1" showRowStripes="1"/>
</table>
</file>

<file path=xl/tables/table28.xml><?xml version="1.0" encoding="utf-8"?>
<table xmlns="http://schemas.openxmlformats.org/spreadsheetml/2006/main" headerRowCount="0" ref="B302:H309" displayName="Table_34" name="Table_34" id="34">
  <tableColumns count="7">
    <tableColumn name="Column1" id="1"/>
    <tableColumn name="Column2" id="2"/>
    <tableColumn name="Column3" id="3"/>
    <tableColumn name="Column4" id="4"/>
    <tableColumn name="Column5" id="5"/>
    <tableColumn name="Column6" id="6"/>
    <tableColumn name="Column7" id="7"/>
  </tableColumns>
  <tableStyleInfo name="TEAM STATS-style 27" showColumnStripes="0" showFirstColumn="1" showLastColumn="1" showRowStripes="1"/>
</table>
</file>

<file path=xl/tables/table29.xml><?xml version="1.0" encoding="utf-8"?>
<table xmlns="http://schemas.openxmlformats.org/spreadsheetml/2006/main" headerRowCount="0" ref="D336:J336" displayName="Table_35" name="Table_35" id="35">
  <tableColumns count="7">
    <tableColumn name="Column1" id="1"/>
    <tableColumn name="Column2" id="2"/>
    <tableColumn name="Column3" id="3"/>
    <tableColumn name="Column4" id="4"/>
    <tableColumn name="Column5" id="5"/>
    <tableColumn name="Column6" id="6"/>
    <tableColumn name="Column7" id="7"/>
  </tableColumns>
  <tableStyleInfo name="TEAM STATS-style 28" showColumnStripes="0" showFirstColumn="1" showLastColumn="1" showRowStripes="1"/>
</table>
</file>

<file path=xl/tables/table30.xml><?xml version="1.0" encoding="utf-8"?>
<table xmlns="http://schemas.openxmlformats.org/spreadsheetml/2006/main" headerRowCount="0" ref="A338:L345" displayName="Table_36" name="Table_36" id="36">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TEAM STATS-style 29" showColumnStripes="0" showFirstColumn="1" showLastColumn="1" showRowStripes="1"/>
</table>
</file>

<file path=xl/tables/table31.xml><?xml version="1.0" encoding="utf-8"?>
<table xmlns="http://schemas.openxmlformats.org/spreadsheetml/2006/main" headerRowCount="0" ref="A350:A357" displayName="Table_37" name="Table_37" id="37">
  <tableColumns count="1">
    <tableColumn name="Column1" id="1"/>
  </tableColumns>
  <tableStyleInfo name="TEAM STATS-style 30" showColumnStripes="0" showFirstColumn="1" showLastColumn="1" showRowStripes="1"/>
</table>
</file>

<file path=xl/tables/table32.xml><?xml version="1.0" encoding="utf-8"?>
<table xmlns="http://schemas.openxmlformats.org/spreadsheetml/2006/main" headerRowCount="0" ref="B350:H357" displayName="Table_38" name="Table_38" id="38">
  <tableColumns count="7">
    <tableColumn name="Column1" id="1"/>
    <tableColumn name="Column2" id="2"/>
    <tableColumn name="Column3" id="3"/>
    <tableColumn name="Column4" id="4"/>
    <tableColumn name="Column5" id="5"/>
    <tableColumn name="Column6" id="6"/>
    <tableColumn name="Column7" id="7"/>
  </tableColumns>
  <tableStyleInfo name="TEAM STATS-style 31" showColumnStripes="0" showFirstColumn="1" showLastColumn="1" showRowStripes="1"/>
</table>
</file>

<file path=xl/tables/table33.xml><?xml version="1.0" encoding="utf-8"?>
<table xmlns="http://schemas.openxmlformats.org/spreadsheetml/2006/main" headerRowCount="0" ref="D384:J384" displayName="Table_39" name="Table_39" id="39">
  <tableColumns count="7">
    <tableColumn name="Column1" id="1"/>
    <tableColumn name="Column2" id="2"/>
    <tableColumn name="Column3" id="3"/>
    <tableColumn name="Column4" id="4"/>
    <tableColumn name="Column5" id="5"/>
    <tableColumn name="Column6" id="6"/>
    <tableColumn name="Column7" id="7"/>
  </tableColumns>
  <tableStyleInfo name="TEAM STATS-style 32" showColumnStripes="0" showFirstColumn="1" showLastColumn="1" showRowStripes="1"/>
</table>
</file>

<file path=xl/tables/table34.xml><?xml version="1.0" encoding="utf-8"?>
<table xmlns="http://schemas.openxmlformats.org/spreadsheetml/2006/main" headerRowCount="0" ref="A386:L393" displayName="Table_40" name="Table_40" id="40">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TEAM STATS-style 33" showColumnStripes="0" showFirstColumn="1" showLastColumn="1" showRowStripes="1"/>
</table>
</file>

<file path=xl/tables/table35.xml><?xml version="1.0" encoding="utf-8"?>
<table xmlns="http://schemas.openxmlformats.org/spreadsheetml/2006/main" headerRowCount="0" ref="A398:A405" displayName="Table_41" name="Table_41" id="41">
  <tableColumns count="1">
    <tableColumn name="Column1" id="1"/>
  </tableColumns>
  <tableStyleInfo name="TEAM STATS-style 34" showColumnStripes="0" showFirstColumn="1" showLastColumn="1" showRowStripes="1"/>
</table>
</file>

<file path=xl/tables/table36.xml><?xml version="1.0" encoding="utf-8"?>
<table xmlns="http://schemas.openxmlformats.org/spreadsheetml/2006/main" headerRowCount="0" ref="B398:H405" displayName="Table_42" name="Table_42" id="42">
  <tableColumns count="7">
    <tableColumn name="Column1" id="1"/>
    <tableColumn name="Column2" id="2"/>
    <tableColumn name="Column3" id="3"/>
    <tableColumn name="Column4" id="4"/>
    <tableColumn name="Column5" id="5"/>
    <tableColumn name="Column6" id="6"/>
    <tableColumn name="Column7" id="7"/>
  </tableColumns>
  <tableStyleInfo name="TEAM STATS-style 35" showColumnStripes="0" showFirstColumn="1" showLastColumn="1" showRowStripes="1"/>
</table>
</file>

<file path=xl/tables/table37.xml><?xml version="1.0" encoding="utf-8"?>
<table xmlns="http://schemas.openxmlformats.org/spreadsheetml/2006/main" headerRowCount="0" ref="D433:J433" displayName="Table_43" name="Table_43" id="43">
  <tableColumns count="7">
    <tableColumn name="Column1" id="1"/>
    <tableColumn name="Column2" id="2"/>
    <tableColumn name="Column3" id="3"/>
    <tableColumn name="Column4" id="4"/>
    <tableColumn name="Column5" id="5"/>
    <tableColumn name="Column6" id="6"/>
    <tableColumn name="Column7" id="7"/>
  </tableColumns>
  <tableStyleInfo name="TEAM STATS-style 36" showColumnStripes="0" showFirstColumn="1" showLastColumn="1" showRowStripes="1"/>
</table>
</file>

<file path=xl/tables/table38.xml><?xml version="1.0" encoding="utf-8"?>
<table xmlns="http://schemas.openxmlformats.org/spreadsheetml/2006/main" headerRowCount="0" ref="A435:L442" displayName="Table_44" name="Table_44" id="44">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TEAM STATS-style 37" showColumnStripes="0" showFirstColumn="1" showLastColumn="1" showRowStripes="1"/>
</table>
</file>

<file path=xl/tables/table39.xml><?xml version="1.0" encoding="utf-8"?>
<table xmlns="http://schemas.openxmlformats.org/spreadsheetml/2006/main" headerRowCount="0" ref="A447:A454" displayName="Table_45" name="Table_45" id="45">
  <tableColumns count="1">
    <tableColumn name="Column1" id="1"/>
  </tableColumns>
  <tableStyleInfo name="TEAM STATS-style 38" showColumnStripes="0" showFirstColumn="1" showLastColumn="1" showRowStripes="1"/>
</table>
</file>

<file path=xl/tables/table40.xml><?xml version="1.0" encoding="utf-8"?>
<table xmlns="http://schemas.openxmlformats.org/spreadsheetml/2006/main" headerRowCount="0" ref="B447:H454" displayName="Table_46" name="Table_46" id="46">
  <tableColumns count="7">
    <tableColumn name="Column1" id="1"/>
    <tableColumn name="Column2" id="2"/>
    <tableColumn name="Column3" id="3"/>
    <tableColumn name="Column4" id="4"/>
    <tableColumn name="Column5" id="5"/>
    <tableColumn name="Column6" id="6"/>
    <tableColumn name="Column7" id="7"/>
  </tableColumns>
  <tableStyleInfo name="TEAM STATS-style 39" showColumnStripes="0" showFirstColumn="1" showLastColumn="1" showRowStripes="1"/>
</table>
</file>

<file path=xl/tables/table41.xml><?xml version="1.0" encoding="utf-8"?>
<table xmlns="http://schemas.openxmlformats.org/spreadsheetml/2006/main" headerRowCount="0" ref="D481:J481" displayName="Table_47" name="Table_47" id="47">
  <tableColumns count="7">
    <tableColumn name="Column1" id="1"/>
    <tableColumn name="Column2" id="2"/>
    <tableColumn name="Column3" id="3"/>
    <tableColumn name="Column4" id="4"/>
    <tableColumn name="Column5" id="5"/>
    <tableColumn name="Column6" id="6"/>
    <tableColumn name="Column7" id="7"/>
  </tableColumns>
  <tableStyleInfo name="TEAM STATS-style 40" showColumnStripes="0" showFirstColumn="1" showLastColumn="1" showRowStripes="1"/>
</table>
</file>

<file path=xl/tables/table42.xml><?xml version="1.0" encoding="utf-8"?>
<table xmlns="http://schemas.openxmlformats.org/spreadsheetml/2006/main" headerRowCount="0" ref="A483:L490" displayName="Table_48" name="Table_48" id="48">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TEAM STATS-style 41" showColumnStripes="0" showFirstColumn="1" showLastColumn="1" showRowStripes="1"/>
</table>
</file>

<file path=xl/tables/table43.xml><?xml version="1.0" encoding="utf-8"?>
<table xmlns="http://schemas.openxmlformats.org/spreadsheetml/2006/main" headerRowCount="0" ref="A495:A502" displayName="Table_49" name="Table_49" id="49">
  <tableColumns count="1">
    <tableColumn name="Column1" id="1"/>
  </tableColumns>
  <tableStyleInfo name="TEAM STATS-style 42" showColumnStripes="0" showFirstColumn="1" showLastColumn="1" showRowStripes="1"/>
</table>
</file>

<file path=xl/tables/table44.xml><?xml version="1.0" encoding="utf-8"?>
<table xmlns="http://schemas.openxmlformats.org/spreadsheetml/2006/main" headerRowCount="0" ref="B495:H502" displayName="Table_50" name="Table_50" id="50">
  <tableColumns count="7">
    <tableColumn name="Column1" id="1"/>
    <tableColumn name="Column2" id="2"/>
    <tableColumn name="Column3" id="3"/>
    <tableColumn name="Column4" id="4"/>
    <tableColumn name="Column5" id="5"/>
    <tableColumn name="Column6" id="6"/>
    <tableColumn name="Column7" id="7"/>
  </tableColumns>
  <tableStyleInfo name="TEAM STATS-style 43" showColumnStripes="0" showFirstColumn="1" showLastColumn="1" showRowStripes="1"/>
</table>
</file>

<file path=xl/tables/table45.xml><?xml version="1.0" encoding="utf-8"?>
<table xmlns="http://schemas.openxmlformats.org/spreadsheetml/2006/main" headerRowCount="0" ref="G17:H24" displayName="Table_2" name="Table_2" id="2">
  <tableColumns count="2">
    <tableColumn name="Column1" id="1"/>
    <tableColumn name="Column2" id="2"/>
  </tableColumns>
  <tableStyleInfo name="Daily and Weekly Call Stats-style" showColumnStripes="0" showFirstColumn="1" showLastColumn="1" showRowStripes="1"/>
</table>
</file>

<file path=xl/tables/table46.xml><?xml version="1.0" encoding="utf-8"?>
<table xmlns="http://schemas.openxmlformats.org/spreadsheetml/2006/main" headerRowCount="0" ref="G54:H61" displayName="Table_3" name="Table_3" id="3">
  <tableColumns count="2">
    <tableColumn name="Column1" id="1"/>
    <tableColumn name="Column2" id="2"/>
  </tableColumns>
  <tableStyleInfo name="Daily and Weekly Call Stats-style 2" showColumnStripes="0" showFirstColumn="1" showLastColumn="1" showRowStripes="1"/>
</table>
</file>

<file path=xl/tables/table47.xml><?xml version="1.0" encoding="utf-8"?>
<table xmlns="http://schemas.openxmlformats.org/spreadsheetml/2006/main" headerRowCount="0" ref="G91:H98" displayName="Table_4" name="Table_4" id="4">
  <tableColumns count="2">
    <tableColumn name="Column1" id="1"/>
    <tableColumn name="Column2" id="2"/>
  </tableColumns>
  <tableStyleInfo name="Daily and Weekly Call Stats-style 3" showColumnStripes="0" showFirstColumn="1" showLastColumn="1" showRowStripes="1"/>
</table>
</file>

<file path=xl/tables/table48.xml><?xml version="1.0" encoding="utf-8"?>
<table xmlns="http://schemas.openxmlformats.org/spreadsheetml/2006/main" headerRowCount="0" ref="G128:H135" displayName="Table_5" name="Table_5" id="5">
  <tableColumns count="2">
    <tableColumn name="Column1" id="1"/>
    <tableColumn name="Column2" id="2"/>
  </tableColumns>
  <tableStyleInfo name="Daily and Weekly Call Stats-style 4" showColumnStripes="0" showFirstColumn="1" showLastColumn="1" showRowStripes="1"/>
</table>
</file>

<file path=xl/tables/table49.xml><?xml version="1.0" encoding="utf-8"?>
<table xmlns="http://schemas.openxmlformats.org/spreadsheetml/2006/main" headerRowCount="0" ref="G165:H172" displayName="Table_6" name="Table_6" id="6">
  <tableColumns count="2">
    <tableColumn name="Column1" id="1"/>
    <tableColumn name="Column2" id="2"/>
  </tableColumns>
  <tableStyleInfo name="Daily and Weekly Call Stats-style 5" showColumnStripes="0" showFirstColumn="1" showLastColumn="1" showRowStripes="1"/>
</table>
</file>

<file path=xl/tables/table50.xml><?xml version="1.0" encoding="utf-8"?>
<table xmlns="http://schemas.openxmlformats.org/spreadsheetml/2006/main" headerRowCount="0" ref="G202:H209" displayName="Table_7" name="Table_7" id="7">
  <tableColumns count="2">
    <tableColumn name="Column1" id="1"/>
    <tableColumn name="Column2" id="2"/>
  </tableColumns>
  <tableStyleInfo name="Daily and Weekly Call Stats-style 6" showColumnStripes="0" showFirstColumn="1" showLastColumn="1" showRowStripes="1"/>
</table>
</file>

<file path=xl/tables/table51.xml><?xml version="1.0" encoding="utf-8"?>
<table xmlns="http://schemas.openxmlformats.org/spreadsheetml/2006/main" headerRowCount="0" ref="D1:E17" displayName="Table_51" name="Table_51" id="51">
  <tableColumns count="2">
    <tableColumn name="Column1" id="1"/>
    <tableColumn name="Column2" id="2"/>
  </tableColumns>
  <tableStyleInfo name="Lyra-style" showColumnStripes="0" showFirstColumn="1" showLastColumn="1" showRowStripes="1"/>
</table>
</file>

<file path=xl/tables/table52.xml><?xml version="1.0" encoding="utf-8"?>
<table xmlns="http://schemas.openxmlformats.org/spreadsheetml/2006/main" headerRowCount="0" ref="D1:E17" displayName="Table_52" name="Table_52" id="52">
  <tableColumns count="2">
    <tableColumn name="Column1" id="1"/>
    <tableColumn name="Column2" id="2"/>
  </tableColumns>
  <tableStyleInfo name="Mikka-style" showColumnStripes="0" showFirstColumn="1" showLastColumn="1" showRowStripes="1"/>
</table>
</file>

<file path=xl/tables/table53.xml><?xml version="1.0" encoding="utf-8"?>
<table xmlns="http://schemas.openxmlformats.org/spreadsheetml/2006/main" headerRowCount="0" ref="D18:E34" displayName="Table_53" name="Table_53" id="53">
  <tableColumns count="2">
    <tableColumn name="Column1" id="1"/>
    <tableColumn name="Column2" id="2"/>
  </tableColumns>
  <tableStyleInfo name="Mikka-style 2" showColumnStripes="0" showFirstColumn="1" showLastColumn="1" showRowStripes="1"/>
</table>
</file>

<file path=xl/tables/table54.xml><?xml version="1.0" encoding="utf-8"?>
<table xmlns="http://schemas.openxmlformats.org/spreadsheetml/2006/main" headerRowCount="0" ref="A2:AV9" displayName="Table_54" name="Table_54" id="54">
  <tableColumns count="4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s>
  <tableStyleInfo name="MONTHLY SCORECA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62" Type="http://schemas.openxmlformats.org/officeDocument/2006/relationships/table" Target="../tables/table17.xml"/><Relationship Id="rId84" Type="http://schemas.openxmlformats.org/officeDocument/2006/relationships/table" Target="../tables/table39.xml"/><Relationship Id="rId61" Type="http://schemas.openxmlformats.org/officeDocument/2006/relationships/table" Target="../tables/table16.xml"/><Relationship Id="rId83" Type="http://schemas.openxmlformats.org/officeDocument/2006/relationships/table" Target="../tables/table38.xml"/><Relationship Id="rId64" Type="http://schemas.openxmlformats.org/officeDocument/2006/relationships/table" Target="../tables/table19.xml"/><Relationship Id="rId86" Type="http://schemas.openxmlformats.org/officeDocument/2006/relationships/table" Target="../tables/table41.xml"/><Relationship Id="rId63" Type="http://schemas.openxmlformats.org/officeDocument/2006/relationships/table" Target="../tables/table18.xml"/><Relationship Id="rId85" Type="http://schemas.openxmlformats.org/officeDocument/2006/relationships/table" Target="../tables/table40.xml"/><Relationship Id="rId66" Type="http://schemas.openxmlformats.org/officeDocument/2006/relationships/table" Target="../tables/table21.xml"/><Relationship Id="rId88" Type="http://schemas.openxmlformats.org/officeDocument/2006/relationships/table" Target="../tables/table43.xml"/><Relationship Id="rId65" Type="http://schemas.openxmlformats.org/officeDocument/2006/relationships/table" Target="../tables/table20.xml"/><Relationship Id="rId87" Type="http://schemas.openxmlformats.org/officeDocument/2006/relationships/table" Target="../tables/table42.xml"/><Relationship Id="rId68" Type="http://schemas.openxmlformats.org/officeDocument/2006/relationships/table" Target="../tables/table23.xml"/><Relationship Id="rId67" Type="http://schemas.openxmlformats.org/officeDocument/2006/relationships/table" Target="../tables/table22.xml"/><Relationship Id="rId89" Type="http://schemas.openxmlformats.org/officeDocument/2006/relationships/table" Target="../tables/table44.xml"/><Relationship Id="rId80" Type="http://schemas.openxmlformats.org/officeDocument/2006/relationships/table" Target="../tables/table35.xml"/><Relationship Id="rId60" Type="http://schemas.openxmlformats.org/officeDocument/2006/relationships/table" Target="../tables/table15.xml"/><Relationship Id="rId82" Type="http://schemas.openxmlformats.org/officeDocument/2006/relationships/table" Target="../tables/table37.xml"/><Relationship Id="rId81" Type="http://schemas.openxmlformats.org/officeDocument/2006/relationships/table" Target="../tables/table36.xml"/><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 Id="rId48" Type="http://schemas.openxmlformats.org/officeDocument/2006/relationships/table" Target="../tables/table3.xml"/><Relationship Id="rId47" Type="http://schemas.openxmlformats.org/officeDocument/2006/relationships/table" Target="../tables/table2.xml"/><Relationship Id="rId69" Type="http://schemas.openxmlformats.org/officeDocument/2006/relationships/table" Target="../tables/table24.xml"/><Relationship Id="rId49" Type="http://schemas.openxmlformats.org/officeDocument/2006/relationships/table" Target="../tables/table4.xml"/><Relationship Id="rId51" Type="http://schemas.openxmlformats.org/officeDocument/2006/relationships/table" Target="../tables/table6.xml"/><Relationship Id="rId73" Type="http://schemas.openxmlformats.org/officeDocument/2006/relationships/table" Target="../tables/table28.xml"/><Relationship Id="rId50" Type="http://schemas.openxmlformats.org/officeDocument/2006/relationships/table" Target="../tables/table5.xml"/><Relationship Id="rId72" Type="http://schemas.openxmlformats.org/officeDocument/2006/relationships/table" Target="../tables/table27.xml"/><Relationship Id="rId53" Type="http://schemas.openxmlformats.org/officeDocument/2006/relationships/table" Target="../tables/table8.xml"/><Relationship Id="rId75" Type="http://schemas.openxmlformats.org/officeDocument/2006/relationships/table" Target="../tables/table30.xml"/><Relationship Id="rId52" Type="http://schemas.openxmlformats.org/officeDocument/2006/relationships/table" Target="../tables/table7.xml"/><Relationship Id="rId74" Type="http://schemas.openxmlformats.org/officeDocument/2006/relationships/table" Target="../tables/table29.xml"/><Relationship Id="rId55" Type="http://schemas.openxmlformats.org/officeDocument/2006/relationships/table" Target="../tables/table10.xml"/><Relationship Id="rId77" Type="http://schemas.openxmlformats.org/officeDocument/2006/relationships/table" Target="../tables/table32.xml"/><Relationship Id="rId54" Type="http://schemas.openxmlformats.org/officeDocument/2006/relationships/table" Target="../tables/table9.xml"/><Relationship Id="rId76" Type="http://schemas.openxmlformats.org/officeDocument/2006/relationships/table" Target="../tables/table31.xml"/><Relationship Id="rId57" Type="http://schemas.openxmlformats.org/officeDocument/2006/relationships/table" Target="../tables/table12.xml"/><Relationship Id="rId79" Type="http://schemas.openxmlformats.org/officeDocument/2006/relationships/table" Target="../tables/table34.xml"/><Relationship Id="rId56" Type="http://schemas.openxmlformats.org/officeDocument/2006/relationships/table" Target="../tables/table11.xml"/><Relationship Id="rId78" Type="http://schemas.openxmlformats.org/officeDocument/2006/relationships/table" Target="../tables/table33.xml"/><Relationship Id="rId71" Type="http://schemas.openxmlformats.org/officeDocument/2006/relationships/table" Target="../tables/table26.xml"/><Relationship Id="rId70" Type="http://schemas.openxmlformats.org/officeDocument/2006/relationships/table" Target="../tables/table25.xml"/><Relationship Id="rId59" Type="http://schemas.openxmlformats.org/officeDocument/2006/relationships/table" Target="../tables/table14.xml"/><Relationship Id="rId58" Type="http://schemas.openxmlformats.org/officeDocument/2006/relationships/table" Target="../tables/table1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9" Type="http://schemas.openxmlformats.org/officeDocument/2006/relationships/table" Target="../tables/table46.xml"/><Relationship Id="rId8" Type="http://schemas.openxmlformats.org/officeDocument/2006/relationships/table" Target="../tables/table45.xml"/><Relationship Id="rId11" Type="http://schemas.openxmlformats.org/officeDocument/2006/relationships/table" Target="../tables/table48.xml"/><Relationship Id="rId10" Type="http://schemas.openxmlformats.org/officeDocument/2006/relationships/table" Target="../tables/table47.xml"/><Relationship Id="rId13" Type="http://schemas.openxmlformats.org/officeDocument/2006/relationships/table" Target="../tables/table50.xml"/><Relationship Id="rId12" Type="http://schemas.openxmlformats.org/officeDocument/2006/relationships/table" Target="../tables/table49.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4ammedia.zendesk.com/agent/tickets/243111" TargetMode="External"/><Relationship Id="rId190" Type="http://schemas.openxmlformats.org/officeDocument/2006/relationships/hyperlink" Target="https://4ammedia.zendesk.com/agent/tickets/403769" TargetMode="External"/><Relationship Id="rId42" Type="http://schemas.openxmlformats.org/officeDocument/2006/relationships/hyperlink" Target="https://4ammedia.zendesk.com/agent/tickets/243211" TargetMode="External"/><Relationship Id="rId41" Type="http://schemas.openxmlformats.org/officeDocument/2006/relationships/hyperlink" Target="https://4ammedia.zendesk.com/agent/tickets/243182" TargetMode="External"/><Relationship Id="rId44" Type="http://schemas.openxmlformats.org/officeDocument/2006/relationships/hyperlink" Target="https://4ammedia.zendesk.com/agent/tickets/245639" TargetMode="External"/><Relationship Id="rId194" Type="http://schemas.openxmlformats.org/officeDocument/2006/relationships/hyperlink" Target="https://4ammedia.zendesk.com/agent/tickets/412803" TargetMode="External"/><Relationship Id="rId43" Type="http://schemas.openxmlformats.org/officeDocument/2006/relationships/hyperlink" Target="https://4ammedia.zendesk.com/agent/tickets/245506" TargetMode="External"/><Relationship Id="rId193" Type="http://schemas.openxmlformats.org/officeDocument/2006/relationships/hyperlink" Target="https://4ammedia.zendesk.com/agent/tickets/412454" TargetMode="External"/><Relationship Id="rId46" Type="http://schemas.openxmlformats.org/officeDocument/2006/relationships/hyperlink" Target="https://4ammedia.zendesk.com/agent/tickets/250346" TargetMode="External"/><Relationship Id="rId192" Type="http://schemas.openxmlformats.org/officeDocument/2006/relationships/hyperlink" Target="https://4ammedia.zendesk.com/agent/tickets/403945" TargetMode="External"/><Relationship Id="rId45" Type="http://schemas.openxmlformats.org/officeDocument/2006/relationships/hyperlink" Target="https://4ammedia.zendesk.com/agent/tickets/245709" TargetMode="External"/><Relationship Id="rId191" Type="http://schemas.openxmlformats.org/officeDocument/2006/relationships/hyperlink" Target="https://4ammedia.zendesk.com/agent/tickets/403864" TargetMode="External"/><Relationship Id="rId48" Type="http://schemas.openxmlformats.org/officeDocument/2006/relationships/hyperlink" Target="https://4ammedia.zendesk.com/agent/tickets/252375" TargetMode="External"/><Relationship Id="rId187" Type="http://schemas.openxmlformats.org/officeDocument/2006/relationships/hyperlink" Target="https://4ammedia.zendesk.com/agent/tickets/399590" TargetMode="External"/><Relationship Id="rId47" Type="http://schemas.openxmlformats.org/officeDocument/2006/relationships/hyperlink" Target="https://4ammedia.zendesk.com/agent/tickets/250375" TargetMode="External"/><Relationship Id="rId186" Type="http://schemas.openxmlformats.org/officeDocument/2006/relationships/hyperlink" Target="https://4ammedia.zendesk.com/agent/tickets/396739" TargetMode="External"/><Relationship Id="rId185" Type="http://schemas.openxmlformats.org/officeDocument/2006/relationships/hyperlink" Target="https://4ammedia.zendesk.com/agent/tickets/396522" TargetMode="External"/><Relationship Id="rId49" Type="http://schemas.openxmlformats.org/officeDocument/2006/relationships/hyperlink" Target="https://4ammedia.zendesk.com/agent/tickets/252480" TargetMode="External"/><Relationship Id="rId184" Type="http://schemas.openxmlformats.org/officeDocument/2006/relationships/hyperlink" Target="https://4ammedia.zendesk.com/agent/tickets/396036" TargetMode="External"/><Relationship Id="rId189" Type="http://schemas.openxmlformats.org/officeDocument/2006/relationships/hyperlink" Target="https://4ammedia.zendesk.com/agent/tickets/402649" TargetMode="External"/><Relationship Id="rId188" Type="http://schemas.openxmlformats.org/officeDocument/2006/relationships/hyperlink" Target="https://4ammedia.zendesk.com/agent/tickets/400272" TargetMode="External"/><Relationship Id="rId31" Type="http://schemas.openxmlformats.org/officeDocument/2006/relationships/hyperlink" Target="https://4ammedia.zendesk.com/agent/tickets/237008" TargetMode="External"/><Relationship Id="rId30" Type="http://schemas.openxmlformats.org/officeDocument/2006/relationships/hyperlink" Target="https://4ammedia.zendesk.com/agent/tickets/232550" TargetMode="External"/><Relationship Id="rId33" Type="http://schemas.openxmlformats.org/officeDocument/2006/relationships/hyperlink" Target="https://4ammedia.zendesk.com/agent/tickets/237280" TargetMode="External"/><Relationship Id="rId183" Type="http://schemas.openxmlformats.org/officeDocument/2006/relationships/hyperlink" Target="https://4ammedia.zendesk.com/agent/tickets/393620" TargetMode="External"/><Relationship Id="rId32" Type="http://schemas.openxmlformats.org/officeDocument/2006/relationships/hyperlink" Target="https://4ammedia.zendesk.com/agent/tickets/237202" TargetMode="External"/><Relationship Id="rId182" Type="http://schemas.openxmlformats.org/officeDocument/2006/relationships/hyperlink" Target="https://4ammedia.zendesk.com/agent/tickets/393541" TargetMode="External"/><Relationship Id="rId35" Type="http://schemas.openxmlformats.org/officeDocument/2006/relationships/hyperlink" Target="https://4ammedia.zendesk.com/agent/tickets/239679" TargetMode="External"/><Relationship Id="rId181" Type="http://schemas.openxmlformats.org/officeDocument/2006/relationships/hyperlink" Target="https://4ammedia.zendesk.com/agent/tickets/393284" TargetMode="External"/><Relationship Id="rId34" Type="http://schemas.openxmlformats.org/officeDocument/2006/relationships/hyperlink" Target="https://4ammedia.zendesk.com/agent/tickets/239606" TargetMode="External"/><Relationship Id="rId180" Type="http://schemas.openxmlformats.org/officeDocument/2006/relationships/hyperlink" Target="https://4ammedia.zendesk.com/agent/tickets/390155" TargetMode="External"/><Relationship Id="rId37" Type="http://schemas.openxmlformats.org/officeDocument/2006/relationships/hyperlink" Target="https://4ammedia.zendesk.com/agent/tickets/241183" TargetMode="External"/><Relationship Id="rId176" Type="http://schemas.openxmlformats.org/officeDocument/2006/relationships/hyperlink" Target="https://4ammedia.zendesk.com/agent/tickets/382730" TargetMode="External"/><Relationship Id="rId36" Type="http://schemas.openxmlformats.org/officeDocument/2006/relationships/hyperlink" Target="https://4ammedia.zendesk.com/agent/tickets/239705" TargetMode="External"/><Relationship Id="rId175" Type="http://schemas.openxmlformats.org/officeDocument/2006/relationships/hyperlink" Target="https://4ammedia.zendesk.com/agent/tickets/382569" TargetMode="External"/><Relationship Id="rId39" Type="http://schemas.openxmlformats.org/officeDocument/2006/relationships/hyperlink" Target="https://4ammedia.zendesk.com/agent/tickets/241382" TargetMode="External"/><Relationship Id="rId174" Type="http://schemas.openxmlformats.org/officeDocument/2006/relationships/hyperlink" Target="https://4ammedia.zendesk.com/agent/tickets/379780" TargetMode="External"/><Relationship Id="rId38" Type="http://schemas.openxmlformats.org/officeDocument/2006/relationships/hyperlink" Target="https://4ammedia.zendesk.com/agent/tickets/241251" TargetMode="External"/><Relationship Id="rId173" Type="http://schemas.openxmlformats.org/officeDocument/2006/relationships/hyperlink" Target="https://4ammedia.zendesk.com/agent/tickets/379628" TargetMode="External"/><Relationship Id="rId179" Type="http://schemas.openxmlformats.org/officeDocument/2006/relationships/hyperlink" Target="https://4ammedia.zendesk.com/agent/tickets/390067" TargetMode="External"/><Relationship Id="rId178" Type="http://schemas.openxmlformats.org/officeDocument/2006/relationships/hyperlink" Target="https://4ammedia.zendesk.com/agent/tickets/389769" TargetMode="External"/><Relationship Id="rId177" Type="http://schemas.openxmlformats.org/officeDocument/2006/relationships/hyperlink" Target="https://4ammedia.zendesk.com/agent/tickets/382765" TargetMode="External"/><Relationship Id="rId20" Type="http://schemas.openxmlformats.org/officeDocument/2006/relationships/hyperlink" Target="https://4ammedia.zendesk.com/agent/tickets/227026" TargetMode="External"/><Relationship Id="rId22" Type="http://schemas.openxmlformats.org/officeDocument/2006/relationships/hyperlink" Target="https://4ammedia.zendesk.com/agent/tickets/228642" TargetMode="External"/><Relationship Id="rId21" Type="http://schemas.openxmlformats.org/officeDocument/2006/relationships/hyperlink" Target="https://4ammedia.zendesk.com/agent/tickets/227041" TargetMode="External"/><Relationship Id="rId24" Type="http://schemas.openxmlformats.org/officeDocument/2006/relationships/hyperlink" Target="https://4ammedia.zendesk.com/agent/tickets/228944" TargetMode="External"/><Relationship Id="rId23" Type="http://schemas.openxmlformats.org/officeDocument/2006/relationships/hyperlink" Target="https://4ammedia.zendesk.com/agent/tickets/228813" TargetMode="External"/><Relationship Id="rId26" Type="http://schemas.openxmlformats.org/officeDocument/2006/relationships/hyperlink" Target="https://4ammedia.zendesk.com/agent/tickets/230808" TargetMode="External"/><Relationship Id="rId25" Type="http://schemas.openxmlformats.org/officeDocument/2006/relationships/hyperlink" Target="https://4ammedia.zendesk.com/agent/tickets/230672" TargetMode="External"/><Relationship Id="rId28" Type="http://schemas.openxmlformats.org/officeDocument/2006/relationships/hyperlink" Target="https://4ammedia.zendesk.com/agent/tickets/232294" TargetMode="External"/><Relationship Id="rId27" Type="http://schemas.openxmlformats.org/officeDocument/2006/relationships/hyperlink" Target="https://4ammedia.zendesk.com/agent/tickets/230885" TargetMode="External"/><Relationship Id="rId29" Type="http://schemas.openxmlformats.org/officeDocument/2006/relationships/hyperlink" Target="https://4ammedia.zendesk.com/agent/tickets/232416" TargetMode="External"/><Relationship Id="rId11" Type="http://schemas.openxmlformats.org/officeDocument/2006/relationships/hyperlink" Target="https://4ammedia.zendesk.com/agent/tickets/217908" TargetMode="External"/><Relationship Id="rId10" Type="http://schemas.openxmlformats.org/officeDocument/2006/relationships/hyperlink" Target="https://4ammedia.zendesk.com/agent/tickets/217776" TargetMode="External"/><Relationship Id="rId13" Type="http://schemas.openxmlformats.org/officeDocument/2006/relationships/hyperlink" Target="https://4ammedia.zendesk.com/agent/tickets/219526" TargetMode="External"/><Relationship Id="rId12" Type="http://schemas.openxmlformats.org/officeDocument/2006/relationships/hyperlink" Target="https://4ammedia.zendesk.com/agent/tickets/218017" TargetMode="External"/><Relationship Id="rId15" Type="http://schemas.openxmlformats.org/officeDocument/2006/relationships/hyperlink" Target="https://4ammedia.zendesk.com/agent/tickets/219749" TargetMode="External"/><Relationship Id="rId198" Type="http://schemas.openxmlformats.org/officeDocument/2006/relationships/hyperlink" Target="https://4ammedia.zendesk.com/agent/tickets/416124" TargetMode="External"/><Relationship Id="rId14" Type="http://schemas.openxmlformats.org/officeDocument/2006/relationships/hyperlink" Target="https://4ammedia.zendesk.com/agent/tickets/219612" TargetMode="External"/><Relationship Id="rId197" Type="http://schemas.openxmlformats.org/officeDocument/2006/relationships/hyperlink" Target="https://4ammedia.zendesk.com/agent/tickets/415991" TargetMode="External"/><Relationship Id="rId17" Type="http://schemas.openxmlformats.org/officeDocument/2006/relationships/hyperlink" Target="https://4ammedia.zendesk.com/agent/tickets/224667" TargetMode="External"/><Relationship Id="rId196" Type="http://schemas.openxmlformats.org/officeDocument/2006/relationships/hyperlink" Target="https://4ammedia.zendesk.com/agent/tickets/415903" TargetMode="External"/><Relationship Id="rId16" Type="http://schemas.openxmlformats.org/officeDocument/2006/relationships/hyperlink" Target="https://4ammedia.zendesk.com/agent/tickets/224286" TargetMode="External"/><Relationship Id="rId195" Type="http://schemas.openxmlformats.org/officeDocument/2006/relationships/hyperlink" Target="https://4ammedia.zendesk.com/agent/tickets/413081" TargetMode="External"/><Relationship Id="rId19" Type="http://schemas.openxmlformats.org/officeDocument/2006/relationships/hyperlink" Target="https://4ammedia.zendesk.com/agent/tickets/227009" TargetMode="External"/><Relationship Id="rId18" Type="http://schemas.openxmlformats.org/officeDocument/2006/relationships/hyperlink" Target="https://4ammedia.zendesk.com/agent/tickets/224692" TargetMode="External"/><Relationship Id="rId199" Type="http://schemas.openxmlformats.org/officeDocument/2006/relationships/hyperlink" Target="https://4ammedia.zendesk.com/agent/tickets/419457" TargetMode="External"/><Relationship Id="rId84" Type="http://schemas.openxmlformats.org/officeDocument/2006/relationships/hyperlink" Target="https://4ammedia.zendesk.com/agent/tickets/282712" TargetMode="External"/><Relationship Id="rId83" Type="http://schemas.openxmlformats.org/officeDocument/2006/relationships/hyperlink" Target="https://4ammedia.zendesk.com/agent/tickets/282613" TargetMode="External"/><Relationship Id="rId86" Type="http://schemas.openxmlformats.org/officeDocument/2006/relationships/hyperlink" Target="https://4ammedia.zendesk.com/agent/tickets/284155" TargetMode="External"/><Relationship Id="rId85" Type="http://schemas.openxmlformats.org/officeDocument/2006/relationships/hyperlink" Target="https://4ammedia.zendesk.com/agent/tickets/282803" TargetMode="External"/><Relationship Id="rId88" Type="http://schemas.openxmlformats.org/officeDocument/2006/relationships/hyperlink" Target="https://4ammedia.zendesk.com/agent/tickets/284348" TargetMode="External"/><Relationship Id="rId150" Type="http://schemas.openxmlformats.org/officeDocument/2006/relationships/hyperlink" Target="https://4ammedia.zendesk.com/agent/tickets/351389" TargetMode="External"/><Relationship Id="rId87" Type="http://schemas.openxmlformats.org/officeDocument/2006/relationships/hyperlink" Target="https://4ammedia.zendesk.com/agent/tickets/284331" TargetMode="External"/><Relationship Id="rId89" Type="http://schemas.openxmlformats.org/officeDocument/2006/relationships/hyperlink" Target="https://4ammedia.zendesk.com/agent/tickets/289277" TargetMode="External"/><Relationship Id="rId80" Type="http://schemas.openxmlformats.org/officeDocument/2006/relationships/hyperlink" Target="https://4ammedia.zendesk.com/agent/tickets/278946" TargetMode="External"/><Relationship Id="rId82" Type="http://schemas.openxmlformats.org/officeDocument/2006/relationships/hyperlink" Target="https://4ammedia.zendesk.com/agent/tickets/280670" TargetMode="External"/><Relationship Id="rId81" Type="http://schemas.openxmlformats.org/officeDocument/2006/relationships/hyperlink" Target="https://4ammedia.zendesk.com/agent/tickets/280603" TargetMode="External"/><Relationship Id="rId1" Type="http://schemas.openxmlformats.org/officeDocument/2006/relationships/hyperlink" Target="https://4ammedia.zendesk.com/agent/tickets/211886" TargetMode="External"/><Relationship Id="rId2" Type="http://schemas.openxmlformats.org/officeDocument/2006/relationships/hyperlink" Target="https://4ammedia.zendesk.com/agent/tickets/212102" TargetMode="External"/><Relationship Id="rId3" Type="http://schemas.openxmlformats.org/officeDocument/2006/relationships/hyperlink" Target="https://4ammedia.zendesk.com/agent/tickets/212359" TargetMode="External"/><Relationship Id="rId149" Type="http://schemas.openxmlformats.org/officeDocument/2006/relationships/hyperlink" Target="https://4ammedia.zendesk.com/agent/tickets/351355" TargetMode="External"/><Relationship Id="rId4" Type="http://schemas.openxmlformats.org/officeDocument/2006/relationships/hyperlink" Target="https://4ammedia.zendesk.com/agent/tickets/213864" TargetMode="External"/><Relationship Id="rId148" Type="http://schemas.openxmlformats.org/officeDocument/2006/relationships/hyperlink" Target="https://4ammedia.zendesk.com/agent/tickets/350708" TargetMode="External"/><Relationship Id="rId9" Type="http://schemas.openxmlformats.org/officeDocument/2006/relationships/hyperlink" Target="https://4ammedia.zendesk.com/agent/tickets/215976" TargetMode="External"/><Relationship Id="rId143" Type="http://schemas.openxmlformats.org/officeDocument/2006/relationships/hyperlink" Target="https://4ammedia.zendesk.com/agent/tickets/337900" TargetMode="External"/><Relationship Id="rId142" Type="http://schemas.openxmlformats.org/officeDocument/2006/relationships/hyperlink" Target="https://4ammedia.zendesk.com/agent/tickets/337634" TargetMode="External"/><Relationship Id="rId141" Type="http://schemas.openxmlformats.org/officeDocument/2006/relationships/hyperlink" Target="https://4ammedia.zendesk.com/agent/tickets/334748" TargetMode="External"/><Relationship Id="rId140" Type="http://schemas.openxmlformats.org/officeDocument/2006/relationships/hyperlink" Target="https://4ammedia.zendesk.com/agent/tickets/334479" TargetMode="External"/><Relationship Id="rId5" Type="http://schemas.openxmlformats.org/officeDocument/2006/relationships/hyperlink" Target="https://4ammedia.zendesk.com/agent/tickets/213999" TargetMode="External"/><Relationship Id="rId147" Type="http://schemas.openxmlformats.org/officeDocument/2006/relationships/hyperlink" Target="https://4ammedia.zendesk.com/agent/tickets/341604" TargetMode="External"/><Relationship Id="rId6" Type="http://schemas.openxmlformats.org/officeDocument/2006/relationships/hyperlink" Target="https://4ammedia.zendesk.com/agent/tickets/214389" TargetMode="External"/><Relationship Id="rId146" Type="http://schemas.openxmlformats.org/officeDocument/2006/relationships/hyperlink" Target="https://4ammedia.zendesk.com/agent/tickets/341327" TargetMode="External"/><Relationship Id="rId7" Type="http://schemas.openxmlformats.org/officeDocument/2006/relationships/hyperlink" Target="https://4ammedia.zendesk.com/agent/tickets/215731" TargetMode="External"/><Relationship Id="rId145" Type="http://schemas.openxmlformats.org/officeDocument/2006/relationships/hyperlink" Target="https://4ammedia.zendesk.com/agent/tickets/341073" TargetMode="External"/><Relationship Id="rId8" Type="http://schemas.openxmlformats.org/officeDocument/2006/relationships/hyperlink" Target="https://4ammedia.zendesk.com/agent/tickets/215937" TargetMode="External"/><Relationship Id="rId144" Type="http://schemas.openxmlformats.org/officeDocument/2006/relationships/hyperlink" Target="https://4ammedia.zendesk.com/agent/tickets/338093" TargetMode="External"/><Relationship Id="rId73" Type="http://schemas.openxmlformats.org/officeDocument/2006/relationships/hyperlink" Target="https://4ammedia.zendesk.com/agent/tickets/271192" TargetMode="External"/><Relationship Id="rId72" Type="http://schemas.openxmlformats.org/officeDocument/2006/relationships/hyperlink" Target="https://4ammedia.zendesk.com/agent/tickets/271080" TargetMode="External"/><Relationship Id="rId75" Type="http://schemas.openxmlformats.org/officeDocument/2006/relationships/hyperlink" Target="https://4ammedia.zendesk.com/agent/tickets/276138" TargetMode="External"/><Relationship Id="rId74" Type="http://schemas.openxmlformats.org/officeDocument/2006/relationships/hyperlink" Target="https://4ammedia.zendesk.com/agent/tickets/271253" TargetMode="External"/><Relationship Id="rId77" Type="http://schemas.openxmlformats.org/officeDocument/2006/relationships/hyperlink" Target="https://4ammedia.zendesk.com/agent/tickets/276705" TargetMode="External"/><Relationship Id="rId76" Type="http://schemas.openxmlformats.org/officeDocument/2006/relationships/hyperlink" Target="https://4ammedia.zendesk.com/agent/tickets/276508" TargetMode="External"/><Relationship Id="rId79" Type="http://schemas.openxmlformats.org/officeDocument/2006/relationships/hyperlink" Target="https://4ammedia.zendesk.com/agent/tickets/278758" TargetMode="External"/><Relationship Id="rId78" Type="http://schemas.openxmlformats.org/officeDocument/2006/relationships/hyperlink" Target="https://4ammedia.zendesk.com/agent/tickets/278659" TargetMode="External"/><Relationship Id="rId71" Type="http://schemas.openxmlformats.org/officeDocument/2006/relationships/hyperlink" Target="https://4ammedia.zendesk.com/agent/tickets/270176" TargetMode="External"/><Relationship Id="rId70" Type="http://schemas.openxmlformats.org/officeDocument/2006/relationships/hyperlink" Target="https://4ammedia.zendesk.com/agent/tickets/270169" TargetMode="External"/><Relationship Id="rId139" Type="http://schemas.openxmlformats.org/officeDocument/2006/relationships/hyperlink" Target="https://4ammedia.zendesk.com/agent/tickets/331705" TargetMode="External"/><Relationship Id="rId138" Type="http://schemas.openxmlformats.org/officeDocument/2006/relationships/hyperlink" Target="https://4ammedia.zendesk.com/agent/tickets/331507" TargetMode="External"/><Relationship Id="rId137" Type="http://schemas.openxmlformats.org/officeDocument/2006/relationships/hyperlink" Target="https://4ammedia.zendesk.com/agent/tickets/331457" TargetMode="External"/><Relationship Id="rId132" Type="http://schemas.openxmlformats.org/officeDocument/2006/relationships/hyperlink" Target="https://4ammedia.zendesk.com/agent/tickets/318291" TargetMode="External"/><Relationship Id="rId131" Type="http://schemas.openxmlformats.org/officeDocument/2006/relationships/hyperlink" Target="https://4ammedia.zendesk.com/agent/tickets/318208" TargetMode="External"/><Relationship Id="rId130" Type="http://schemas.openxmlformats.org/officeDocument/2006/relationships/hyperlink" Target="https://4ammedia.zendesk.com/agent/tickets/325283" TargetMode="External"/><Relationship Id="rId136" Type="http://schemas.openxmlformats.org/officeDocument/2006/relationships/hyperlink" Target="https://4ammedia.zendesk.com/agent/tickets/329930" TargetMode="External"/><Relationship Id="rId135" Type="http://schemas.openxmlformats.org/officeDocument/2006/relationships/hyperlink" Target="https://4ammedia.zendesk.com/agent/tickets/329898" TargetMode="External"/><Relationship Id="rId134" Type="http://schemas.openxmlformats.org/officeDocument/2006/relationships/hyperlink" Target="https://4ammedia.zendesk.com/agent/tickets/329586" TargetMode="External"/><Relationship Id="rId133" Type="http://schemas.openxmlformats.org/officeDocument/2006/relationships/hyperlink" Target="https://4ammedia.zendesk.com/agent/tickets/318644" TargetMode="External"/><Relationship Id="rId62" Type="http://schemas.openxmlformats.org/officeDocument/2006/relationships/hyperlink" Target="https://4ammedia.zendesk.com/agent/tickets/264061" TargetMode="External"/><Relationship Id="rId61" Type="http://schemas.openxmlformats.org/officeDocument/2006/relationships/hyperlink" Target="https://4ammedia.zendesk.com/agent/tickets/263960" TargetMode="External"/><Relationship Id="rId64" Type="http://schemas.openxmlformats.org/officeDocument/2006/relationships/hyperlink" Target="https://4ammedia.zendesk.com/agent/tickets/266363" TargetMode="External"/><Relationship Id="rId63" Type="http://schemas.openxmlformats.org/officeDocument/2006/relationships/hyperlink" Target="https://4ammedia.zendesk.com/agent/tickets/266030" TargetMode="External"/><Relationship Id="rId66" Type="http://schemas.openxmlformats.org/officeDocument/2006/relationships/hyperlink" Target="https://4ammedia.zendesk.com/agent/tickets/267920" TargetMode="External"/><Relationship Id="rId172" Type="http://schemas.openxmlformats.org/officeDocument/2006/relationships/hyperlink" Target="https://4ammedia.zendesk.com/agent/tickets/379587" TargetMode="External"/><Relationship Id="rId65" Type="http://schemas.openxmlformats.org/officeDocument/2006/relationships/hyperlink" Target="https://4ammedia.zendesk.com/agent/tickets/266418" TargetMode="External"/><Relationship Id="rId171" Type="http://schemas.openxmlformats.org/officeDocument/2006/relationships/hyperlink" Target="https://4ammedia.zendesk.com/agent/tickets/376604" TargetMode="External"/><Relationship Id="rId68" Type="http://schemas.openxmlformats.org/officeDocument/2006/relationships/hyperlink" Target="https://4ammedia.zendesk.com/agent/tickets/268066" TargetMode="External"/><Relationship Id="rId170" Type="http://schemas.openxmlformats.org/officeDocument/2006/relationships/hyperlink" Target="https://4ammedia.zendesk.com/agent/tickets/376347" TargetMode="External"/><Relationship Id="rId67" Type="http://schemas.openxmlformats.org/officeDocument/2006/relationships/hyperlink" Target="https://4ammedia.zendesk.com/agent/tickets/268016" TargetMode="External"/><Relationship Id="rId60" Type="http://schemas.openxmlformats.org/officeDocument/2006/relationships/hyperlink" Target="https://4ammedia.zendesk.com/agent/tickets/263704" TargetMode="External"/><Relationship Id="rId165" Type="http://schemas.openxmlformats.org/officeDocument/2006/relationships/hyperlink" Target="https://4ammedia.zendesk.com/agent/tickets/370616" TargetMode="External"/><Relationship Id="rId69" Type="http://schemas.openxmlformats.org/officeDocument/2006/relationships/hyperlink" Target="https://4ammedia.zendesk.com/agent/tickets/270012" TargetMode="External"/><Relationship Id="rId164" Type="http://schemas.openxmlformats.org/officeDocument/2006/relationships/hyperlink" Target="https://4ammedia.zendesk.com/agent/tickets/370109" TargetMode="External"/><Relationship Id="rId163" Type="http://schemas.openxmlformats.org/officeDocument/2006/relationships/hyperlink" Target="https://4ammedia.zendesk.com/agent/tickets/369509" TargetMode="External"/><Relationship Id="rId162" Type="http://schemas.openxmlformats.org/officeDocument/2006/relationships/hyperlink" Target="https://4ammedia.zendesk.com/agent/tickets/361912" TargetMode="External"/><Relationship Id="rId169" Type="http://schemas.openxmlformats.org/officeDocument/2006/relationships/hyperlink" Target="https://4ammedia.zendesk.com/agent/tickets/376154" TargetMode="External"/><Relationship Id="rId168" Type="http://schemas.openxmlformats.org/officeDocument/2006/relationships/hyperlink" Target="https://4ammedia.zendesk.com/agent/tickets/374208" TargetMode="External"/><Relationship Id="rId167" Type="http://schemas.openxmlformats.org/officeDocument/2006/relationships/hyperlink" Target="https://4ammedia.zendesk.com/agent/tickets/373957" TargetMode="External"/><Relationship Id="rId166" Type="http://schemas.openxmlformats.org/officeDocument/2006/relationships/hyperlink" Target="https://4ammedia.zendesk.com/agent/tickets/373716" TargetMode="External"/><Relationship Id="rId51" Type="http://schemas.openxmlformats.org/officeDocument/2006/relationships/hyperlink" Target="https://4ammedia.zendesk.com/agent/tickets/254509" TargetMode="External"/><Relationship Id="rId50" Type="http://schemas.openxmlformats.org/officeDocument/2006/relationships/hyperlink" Target="https://4ammedia.zendesk.com/agent/tickets/252489" TargetMode="External"/><Relationship Id="rId53" Type="http://schemas.openxmlformats.org/officeDocument/2006/relationships/hyperlink" Target="https://4ammedia.zendesk.com/agent/tickets/254848" TargetMode="External"/><Relationship Id="rId52" Type="http://schemas.openxmlformats.org/officeDocument/2006/relationships/hyperlink" Target="https://4ammedia.zendesk.com/agent/tickets/254705" TargetMode="External"/><Relationship Id="rId55" Type="http://schemas.openxmlformats.org/officeDocument/2006/relationships/hyperlink" Target="https://4ammedia.zendesk.com/agent/tickets/256208" TargetMode="External"/><Relationship Id="rId161" Type="http://schemas.openxmlformats.org/officeDocument/2006/relationships/hyperlink" Target="https://4ammedia.zendesk.com/agent/tickets/361631" TargetMode="External"/><Relationship Id="rId54" Type="http://schemas.openxmlformats.org/officeDocument/2006/relationships/hyperlink" Target="https://4ammedia.zendesk.com/agent/tickets/256155" TargetMode="External"/><Relationship Id="rId160" Type="http://schemas.openxmlformats.org/officeDocument/2006/relationships/hyperlink" Target="https://4ammedia.zendesk.com/agent/tickets/361290" TargetMode="External"/><Relationship Id="rId57" Type="http://schemas.openxmlformats.org/officeDocument/2006/relationships/hyperlink" Target="https://4ammedia.zendesk.com/agent/tickets/258703" TargetMode="External"/><Relationship Id="rId56" Type="http://schemas.openxmlformats.org/officeDocument/2006/relationships/hyperlink" Target="https://4ammedia.zendesk.com/agent/tickets/256468" TargetMode="External"/><Relationship Id="rId159" Type="http://schemas.openxmlformats.org/officeDocument/2006/relationships/hyperlink" Target="https://4ammedia.zendesk.com/agent/tickets/358908" TargetMode="External"/><Relationship Id="rId59" Type="http://schemas.openxmlformats.org/officeDocument/2006/relationships/hyperlink" Target="https://4ammedia.zendesk.com/agent/tickets/258778" TargetMode="External"/><Relationship Id="rId154" Type="http://schemas.openxmlformats.org/officeDocument/2006/relationships/hyperlink" Target="https://4ammedia.zendesk.com/agent/tickets/355771" TargetMode="External"/><Relationship Id="rId58" Type="http://schemas.openxmlformats.org/officeDocument/2006/relationships/hyperlink" Target="https://4ammedia.zendesk.com/agent/tickets/258745" TargetMode="External"/><Relationship Id="rId153" Type="http://schemas.openxmlformats.org/officeDocument/2006/relationships/hyperlink" Target="https://4ammedia.zendesk.com/agent/tickets/353686" TargetMode="External"/><Relationship Id="rId152" Type="http://schemas.openxmlformats.org/officeDocument/2006/relationships/hyperlink" Target="https://4ammedia.zendesk.com/agent/tickets/353414" TargetMode="External"/><Relationship Id="rId151" Type="http://schemas.openxmlformats.org/officeDocument/2006/relationships/hyperlink" Target="https://4ammedia.zendesk.com/agent/tickets/353337" TargetMode="External"/><Relationship Id="rId158" Type="http://schemas.openxmlformats.org/officeDocument/2006/relationships/hyperlink" Target="https://4ammedia.zendesk.com/agent/tickets/358855" TargetMode="External"/><Relationship Id="rId157" Type="http://schemas.openxmlformats.org/officeDocument/2006/relationships/hyperlink" Target="https://4ammedia.zendesk.com/agent/tickets/358587" TargetMode="External"/><Relationship Id="rId156" Type="http://schemas.openxmlformats.org/officeDocument/2006/relationships/hyperlink" Target="https://4ammedia.zendesk.com/agent/tickets/355991" TargetMode="External"/><Relationship Id="rId155" Type="http://schemas.openxmlformats.org/officeDocument/2006/relationships/hyperlink" Target="https://4ammedia.zendesk.com/agent/tickets/355873" TargetMode="External"/><Relationship Id="rId107" Type="http://schemas.openxmlformats.org/officeDocument/2006/relationships/hyperlink" Target="https://4ammedia.zendesk.com/agent/tickets/304626" TargetMode="External"/><Relationship Id="rId106" Type="http://schemas.openxmlformats.org/officeDocument/2006/relationships/hyperlink" Target="https://4ammedia.zendesk.com/agent/tickets/302157" TargetMode="External"/><Relationship Id="rId105" Type="http://schemas.openxmlformats.org/officeDocument/2006/relationships/hyperlink" Target="https://4ammedia.zendesk.com/agent/tickets/301939" TargetMode="External"/><Relationship Id="rId104" Type="http://schemas.openxmlformats.org/officeDocument/2006/relationships/hyperlink" Target="https://4ammedia.zendesk.com/agent/tickets/301859" TargetMode="External"/><Relationship Id="rId109" Type="http://schemas.openxmlformats.org/officeDocument/2006/relationships/hyperlink" Target="https://4ammedia.zendesk.com/agent/tickets/304903" TargetMode="External"/><Relationship Id="rId108" Type="http://schemas.openxmlformats.org/officeDocument/2006/relationships/hyperlink" Target="https://4ammedia.zendesk.com/agent/tickets/304823" TargetMode="External"/><Relationship Id="rId103" Type="http://schemas.openxmlformats.org/officeDocument/2006/relationships/hyperlink" Target="https://4ammedia.zendesk.com/agent/tickets/299595" TargetMode="External"/><Relationship Id="rId102" Type="http://schemas.openxmlformats.org/officeDocument/2006/relationships/hyperlink" Target="https://4ammedia.zendesk.com/agent/tickets/299521" TargetMode="External"/><Relationship Id="rId101" Type="http://schemas.openxmlformats.org/officeDocument/2006/relationships/hyperlink" Target="https://4ammedia.zendesk.com/agent/tickets/299236" TargetMode="External"/><Relationship Id="rId100" Type="http://schemas.openxmlformats.org/officeDocument/2006/relationships/hyperlink" Target="https://4ammedia.zendesk.com/agent/tickets/295644" TargetMode="External"/><Relationship Id="rId129" Type="http://schemas.openxmlformats.org/officeDocument/2006/relationships/hyperlink" Target="https://4ammedia.zendesk.com/agent/tickets/325204" TargetMode="External"/><Relationship Id="rId128" Type="http://schemas.openxmlformats.org/officeDocument/2006/relationships/hyperlink" Target="https://4ammedia.zendesk.com/agent/tickets/325111" TargetMode="External"/><Relationship Id="rId127" Type="http://schemas.openxmlformats.org/officeDocument/2006/relationships/hyperlink" Target="https://4ammedia.zendesk.com/agent/tickets/323083" TargetMode="External"/><Relationship Id="rId126" Type="http://schemas.openxmlformats.org/officeDocument/2006/relationships/hyperlink" Target="https://4ammedia.zendesk.com/agent/tickets/323048" TargetMode="External"/><Relationship Id="rId121" Type="http://schemas.openxmlformats.org/officeDocument/2006/relationships/hyperlink" Target="https://4ammedia.zendesk.com/agent/tickets/316138" TargetMode="External"/><Relationship Id="rId120" Type="http://schemas.openxmlformats.org/officeDocument/2006/relationships/hyperlink" Target="https://4ammedia.zendesk.com/agent/tickets/316015" TargetMode="External"/><Relationship Id="rId125" Type="http://schemas.openxmlformats.org/officeDocument/2006/relationships/hyperlink" Target="https://4ammedia.zendesk.com/agent/tickets/322912" TargetMode="External"/><Relationship Id="rId124" Type="http://schemas.openxmlformats.org/officeDocument/2006/relationships/hyperlink" Target="https://4ammedia.zendesk.com/agent/tickets/320712" TargetMode="External"/><Relationship Id="rId123" Type="http://schemas.openxmlformats.org/officeDocument/2006/relationships/hyperlink" Target="https://4ammedia.zendesk.com/agent/tickets/320512" TargetMode="External"/><Relationship Id="rId122" Type="http://schemas.openxmlformats.org/officeDocument/2006/relationships/hyperlink" Target="https://4ammedia.zendesk.com/agent/tickets/320398" TargetMode="External"/><Relationship Id="rId95" Type="http://schemas.openxmlformats.org/officeDocument/2006/relationships/hyperlink" Target="https://4ammedia.zendesk.com/agent/tickets/293778" TargetMode="External"/><Relationship Id="rId94" Type="http://schemas.openxmlformats.org/officeDocument/2006/relationships/hyperlink" Target="https://4ammedia.zendesk.com/agent/tickets/291701" TargetMode="External"/><Relationship Id="rId97" Type="http://schemas.openxmlformats.org/officeDocument/2006/relationships/hyperlink" Target="https://4ammedia.zendesk.com/agent/tickets/293964" TargetMode="External"/><Relationship Id="rId96" Type="http://schemas.openxmlformats.org/officeDocument/2006/relationships/hyperlink" Target="https://4ammedia.zendesk.com/agent/tickets/293947" TargetMode="External"/><Relationship Id="rId99" Type="http://schemas.openxmlformats.org/officeDocument/2006/relationships/hyperlink" Target="https://4ammedia.zendesk.com/agent/tickets/295615" TargetMode="External"/><Relationship Id="rId98" Type="http://schemas.openxmlformats.org/officeDocument/2006/relationships/hyperlink" Target="https://4ammedia.zendesk.com/agent/tickets/295514" TargetMode="External"/><Relationship Id="rId91" Type="http://schemas.openxmlformats.org/officeDocument/2006/relationships/hyperlink" Target="https://4ammedia.zendesk.com/agent/tickets/289716" TargetMode="External"/><Relationship Id="rId90" Type="http://schemas.openxmlformats.org/officeDocument/2006/relationships/hyperlink" Target="https://4ammedia.zendesk.com/agent/tickets/289679" TargetMode="External"/><Relationship Id="rId93" Type="http://schemas.openxmlformats.org/officeDocument/2006/relationships/hyperlink" Target="https://4ammedia.zendesk.com/agent/tickets/291653" TargetMode="External"/><Relationship Id="rId92" Type="http://schemas.openxmlformats.org/officeDocument/2006/relationships/hyperlink" Target="https://4ammedia.zendesk.com/agent/tickets/291481" TargetMode="External"/><Relationship Id="rId118" Type="http://schemas.openxmlformats.org/officeDocument/2006/relationships/hyperlink" Target="https://4ammedia.zendesk.com/agent/tickets/314072" TargetMode="External"/><Relationship Id="rId117" Type="http://schemas.openxmlformats.org/officeDocument/2006/relationships/hyperlink" Target="https://4ammedia.zendesk.com/agent/tickets/313929" TargetMode="External"/><Relationship Id="rId116" Type="http://schemas.openxmlformats.org/officeDocument/2006/relationships/hyperlink" Target="https://4ammedia.zendesk.com/agent/tickets/313899" TargetMode="External"/><Relationship Id="rId115" Type="http://schemas.openxmlformats.org/officeDocument/2006/relationships/hyperlink" Target="https://4ammedia.zendesk.com/agent/tickets/308659" TargetMode="External"/><Relationship Id="rId119" Type="http://schemas.openxmlformats.org/officeDocument/2006/relationships/hyperlink" Target="https://4ammedia.zendesk.com/agent/tickets/315782" TargetMode="External"/><Relationship Id="rId110" Type="http://schemas.openxmlformats.org/officeDocument/2006/relationships/hyperlink" Target="https://4ammedia.zendesk.com/agent/tickets/306732" TargetMode="External"/><Relationship Id="rId114" Type="http://schemas.openxmlformats.org/officeDocument/2006/relationships/hyperlink" Target="https://4ammedia.zendesk.com/agent/tickets/308609" TargetMode="External"/><Relationship Id="rId113" Type="http://schemas.openxmlformats.org/officeDocument/2006/relationships/hyperlink" Target="https://4ammedia.zendesk.com/agent/tickets/308465" TargetMode="External"/><Relationship Id="rId112" Type="http://schemas.openxmlformats.org/officeDocument/2006/relationships/hyperlink" Target="https://4ammedia.zendesk.com/agent/tickets/306892" TargetMode="External"/><Relationship Id="rId111" Type="http://schemas.openxmlformats.org/officeDocument/2006/relationships/hyperlink" Target="https://4ammedia.zendesk.com/agent/tickets/306864" TargetMode="External"/><Relationship Id="rId206" Type="http://schemas.openxmlformats.org/officeDocument/2006/relationships/hyperlink" Target="https://4ammedia.zendesk.com/agent/tickets/427197" TargetMode="External"/><Relationship Id="rId205" Type="http://schemas.openxmlformats.org/officeDocument/2006/relationships/hyperlink" Target="https://4ammedia.zendesk.com/agent/tickets/426803" TargetMode="External"/><Relationship Id="rId204" Type="http://schemas.openxmlformats.org/officeDocument/2006/relationships/hyperlink" Target="https://4ammedia.zendesk.com/agent/tickets/423409" TargetMode="External"/><Relationship Id="rId203" Type="http://schemas.openxmlformats.org/officeDocument/2006/relationships/hyperlink" Target="https://4ammedia.zendesk.com/agent/tickets/423392" TargetMode="External"/><Relationship Id="rId208" Type="http://schemas.openxmlformats.org/officeDocument/2006/relationships/drawing" Target="../drawings/drawing6.xml"/><Relationship Id="rId207" Type="http://schemas.openxmlformats.org/officeDocument/2006/relationships/hyperlink" Target="https://4ammedia.zendesk.com/agent/tickets/427267" TargetMode="External"/><Relationship Id="rId202" Type="http://schemas.openxmlformats.org/officeDocument/2006/relationships/hyperlink" Target="https://4ammedia.zendesk.com/agent/tickets/422955" TargetMode="External"/><Relationship Id="rId201" Type="http://schemas.openxmlformats.org/officeDocument/2006/relationships/hyperlink" Target="https://4ammedia.zendesk.com/agent/tickets/419934" TargetMode="External"/><Relationship Id="rId200" Type="http://schemas.openxmlformats.org/officeDocument/2006/relationships/hyperlink" Target="https://4ammedia.zendesk.com/agent/tickets/419765"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4ammedia.zendesk.com/agent/tickets/256360" TargetMode="External"/><Relationship Id="rId42" Type="http://schemas.openxmlformats.org/officeDocument/2006/relationships/hyperlink" Target="https://4ammedia.zendesk.com/agent/tickets/256580" TargetMode="External"/><Relationship Id="rId41" Type="http://schemas.openxmlformats.org/officeDocument/2006/relationships/hyperlink" Target="https://4ammedia.zendesk.com/agent/tickets/256474" TargetMode="External"/><Relationship Id="rId44" Type="http://schemas.openxmlformats.org/officeDocument/2006/relationships/hyperlink" Target="https://4ammedia.zendesk.com/agent/tickets/262604" TargetMode="External"/><Relationship Id="rId43" Type="http://schemas.openxmlformats.org/officeDocument/2006/relationships/hyperlink" Target="https://4ammedia.zendesk.com/agent/tickets/262381" TargetMode="External"/><Relationship Id="rId46" Type="http://schemas.openxmlformats.org/officeDocument/2006/relationships/hyperlink" Target="https://4ammedia.zendesk.com/agent/tickets/265328" TargetMode="External"/><Relationship Id="rId45" Type="http://schemas.openxmlformats.org/officeDocument/2006/relationships/hyperlink" Target="https://4ammedia.zendesk.com/agent/tickets/262925" TargetMode="External"/><Relationship Id="rId48" Type="http://schemas.openxmlformats.org/officeDocument/2006/relationships/hyperlink" Target="https://4ammedia.zendesk.com/agent/tickets/265930" TargetMode="External"/><Relationship Id="rId47" Type="http://schemas.openxmlformats.org/officeDocument/2006/relationships/hyperlink" Target="https://4ammedia.zendesk.com/agent/tickets/265718" TargetMode="External"/><Relationship Id="rId49" Type="http://schemas.openxmlformats.org/officeDocument/2006/relationships/hyperlink" Target="https://4ammedia.zendesk.com/agent/tickets/267443" TargetMode="External"/><Relationship Id="rId31" Type="http://schemas.openxmlformats.org/officeDocument/2006/relationships/hyperlink" Target="https://4ammedia.zendesk.com/agent/tickets/247831" TargetMode="External"/><Relationship Id="rId30" Type="http://schemas.openxmlformats.org/officeDocument/2006/relationships/hyperlink" Target="https://4ammedia.zendesk.com/agent/tickets/245726" TargetMode="External"/><Relationship Id="rId33" Type="http://schemas.openxmlformats.org/officeDocument/2006/relationships/hyperlink" Target="https://4ammedia.zendesk.com/agent/tickets/249531" TargetMode="External"/><Relationship Id="rId32" Type="http://schemas.openxmlformats.org/officeDocument/2006/relationships/hyperlink" Target="https://4ammedia.zendesk.com/agent/tickets/249356" TargetMode="External"/><Relationship Id="rId35" Type="http://schemas.openxmlformats.org/officeDocument/2006/relationships/hyperlink" Target="https://4ammedia.zendesk.com/agent/tickets/252411" TargetMode="External"/><Relationship Id="rId34" Type="http://schemas.openxmlformats.org/officeDocument/2006/relationships/hyperlink" Target="https://4ammedia.zendesk.com/agent/tickets/251980" TargetMode="External"/><Relationship Id="rId37" Type="http://schemas.openxmlformats.org/officeDocument/2006/relationships/hyperlink" Target="https://4ammedia.zendesk.com/agent/tickets/253885" TargetMode="External"/><Relationship Id="rId176" Type="http://schemas.openxmlformats.org/officeDocument/2006/relationships/hyperlink" Target="https://4ammedia.zendesk.com/agent/tickets/425629" TargetMode="External"/><Relationship Id="rId36" Type="http://schemas.openxmlformats.org/officeDocument/2006/relationships/hyperlink" Target="https://4ammedia.zendesk.com/agent/tickets/252497" TargetMode="External"/><Relationship Id="rId175" Type="http://schemas.openxmlformats.org/officeDocument/2006/relationships/hyperlink" Target="https://4ammedia.zendesk.com/agent/tickets/425582" TargetMode="External"/><Relationship Id="rId39" Type="http://schemas.openxmlformats.org/officeDocument/2006/relationships/hyperlink" Target="https://4ammedia.zendesk.com/agent/tickets/254145" TargetMode="External"/><Relationship Id="rId174" Type="http://schemas.openxmlformats.org/officeDocument/2006/relationships/hyperlink" Target="https://4ammedia.zendesk.com/agent/tickets/425263" TargetMode="External"/><Relationship Id="rId38" Type="http://schemas.openxmlformats.org/officeDocument/2006/relationships/hyperlink" Target="https://4ammedia.zendesk.com/agent/tickets/254070" TargetMode="External"/><Relationship Id="rId173" Type="http://schemas.openxmlformats.org/officeDocument/2006/relationships/hyperlink" Target="https://4ammedia.zendesk.com/agent/tickets/422767" TargetMode="External"/><Relationship Id="rId177" Type="http://schemas.openxmlformats.org/officeDocument/2006/relationships/drawing" Target="../drawings/drawing7.xml"/><Relationship Id="rId20" Type="http://schemas.openxmlformats.org/officeDocument/2006/relationships/hyperlink" Target="https://4ammedia.zendesk.com/agent/tickets/238524" TargetMode="External"/><Relationship Id="rId22" Type="http://schemas.openxmlformats.org/officeDocument/2006/relationships/hyperlink" Target="https://4ammedia.zendesk.com/agent/tickets/241119" TargetMode="External"/><Relationship Id="rId21" Type="http://schemas.openxmlformats.org/officeDocument/2006/relationships/hyperlink" Target="https://4ammedia.zendesk.com/agent/tickets/238723" TargetMode="External"/><Relationship Id="rId24" Type="http://schemas.openxmlformats.org/officeDocument/2006/relationships/hyperlink" Target="https://4ammedia.zendesk.com/agent/tickets/241481" TargetMode="External"/><Relationship Id="rId23" Type="http://schemas.openxmlformats.org/officeDocument/2006/relationships/hyperlink" Target="https://4ammedia.zendesk.com/agent/tickets/241250" TargetMode="External"/><Relationship Id="rId26" Type="http://schemas.openxmlformats.org/officeDocument/2006/relationships/hyperlink" Target="https://4ammedia.zendesk.com/agent/tickets/243358" TargetMode="External"/><Relationship Id="rId25" Type="http://schemas.openxmlformats.org/officeDocument/2006/relationships/hyperlink" Target="https://4ammedia.zendesk.com/agent/tickets/243006" TargetMode="External"/><Relationship Id="rId28" Type="http://schemas.openxmlformats.org/officeDocument/2006/relationships/hyperlink" Target="https://4ammedia.zendesk.com/agent/tickets/245585" TargetMode="External"/><Relationship Id="rId27" Type="http://schemas.openxmlformats.org/officeDocument/2006/relationships/hyperlink" Target="https://4ammedia.zendesk.com/agent/tickets/243437" TargetMode="External"/><Relationship Id="rId29" Type="http://schemas.openxmlformats.org/officeDocument/2006/relationships/hyperlink" Target="https://4ammedia.zendesk.com/agent/tickets/245653" TargetMode="External"/><Relationship Id="rId11" Type="http://schemas.openxmlformats.org/officeDocument/2006/relationships/hyperlink" Target="https://4ammedia.zendesk.com/agent/tickets/230130" TargetMode="External"/><Relationship Id="rId10" Type="http://schemas.openxmlformats.org/officeDocument/2006/relationships/hyperlink" Target="https://4ammedia.zendesk.com/agent/tickets/229821" TargetMode="External"/><Relationship Id="rId13" Type="http://schemas.openxmlformats.org/officeDocument/2006/relationships/hyperlink" Target="https://4ammedia.zendesk.com/agent/tickets/232134" TargetMode="External"/><Relationship Id="rId12" Type="http://schemas.openxmlformats.org/officeDocument/2006/relationships/hyperlink" Target="https://4ammedia.zendesk.com/agent/tickets/230168" TargetMode="External"/><Relationship Id="rId15" Type="http://schemas.openxmlformats.org/officeDocument/2006/relationships/hyperlink" Target="https://4ammedia.zendesk.com/agent/tickets/232457" TargetMode="External"/><Relationship Id="rId14" Type="http://schemas.openxmlformats.org/officeDocument/2006/relationships/hyperlink" Target="https://4ammedia.zendesk.com/agent/tickets/232323" TargetMode="External"/><Relationship Id="rId17" Type="http://schemas.openxmlformats.org/officeDocument/2006/relationships/hyperlink" Target="https://4ammedia.zendesk.com/agent/tickets/236317" TargetMode="External"/><Relationship Id="rId16" Type="http://schemas.openxmlformats.org/officeDocument/2006/relationships/hyperlink" Target="https://4ammedia.zendesk.com/agent/tickets/236232" TargetMode="External"/><Relationship Id="rId19" Type="http://schemas.openxmlformats.org/officeDocument/2006/relationships/hyperlink" Target="https://4ammedia.zendesk.com/agent/tickets/238404" TargetMode="External"/><Relationship Id="rId18" Type="http://schemas.openxmlformats.org/officeDocument/2006/relationships/hyperlink" Target="https://4ammedia.zendesk.com/agent/tickets/236484" TargetMode="External"/><Relationship Id="rId84" Type="http://schemas.openxmlformats.org/officeDocument/2006/relationships/hyperlink" Target="https://4ammedia.zendesk.com/agent/tickets/295536" TargetMode="External"/><Relationship Id="rId83" Type="http://schemas.openxmlformats.org/officeDocument/2006/relationships/hyperlink" Target="https://4ammedia.zendesk.com/agent/tickets/295491" TargetMode="External"/><Relationship Id="rId86" Type="http://schemas.openxmlformats.org/officeDocument/2006/relationships/hyperlink" Target="https://4ammedia.zendesk.com/agent/tickets/296971" TargetMode="External"/><Relationship Id="rId85" Type="http://schemas.openxmlformats.org/officeDocument/2006/relationships/hyperlink" Target="https://4ammedia.zendesk.com/agent/tickets/296819" TargetMode="External"/><Relationship Id="rId88" Type="http://schemas.openxmlformats.org/officeDocument/2006/relationships/hyperlink" Target="https://4ammedia.zendesk.com/agent/tickets/301974" TargetMode="External"/><Relationship Id="rId150" Type="http://schemas.openxmlformats.org/officeDocument/2006/relationships/hyperlink" Target="https://4ammedia.zendesk.com/agent/tickets/368590" TargetMode="External"/><Relationship Id="rId87" Type="http://schemas.openxmlformats.org/officeDocument/2006/relationships/hyperlink" Target="https://4ammedia.zendesk.com/agent/tickets/297034" TargetMode="External"/><Relationship Id="rId89" Type="http://schemas.openxmlformats.org/officeDocument/2006/relationships/hyperlink" Target="https://4ammedia.zendesk.com/agent/tickets/302085" TargetMode="External"/><Relationship Id="rId80" Type="http://schemas.openxmlformats.org/officeDocument/2006/relationships/hyperlink" Target="https://4ammedia.zendesk.com/agent/tickets/293616" TargetMode="External"/><Relationship Id="rId82" Type="http://schemas.openxmlformats.org/officeDocument/2006/relationships/hyperlink" Target="https://4ammedia.zendesk.com/agent/tickets/295178" TargetMode="External"/><Relationship Id="rId81" Type="http://schemas.openxmlformats.org/officeDocument/2006/relationships/hyperlink" Target="https://4ammedia.zendesk.com/agent/tickets/293805" TargetMode="External"/><Relationship Id="rId1" Type="http://schemas.openxmlformats.org/officeDocument/2006/relationships/hyperlink" Target="https://4ammedia.zendesk.com/agent/tickets/223595" TargetMode="External"/><Relationship Id="rId2" Type="http://schemas.openxmlformats.org/officeDocument/2006/relationships/hyperlink" Target="https://4ammedia.zendesk.com/agent/tickets/224343" TargetMode="External"/><Relationship Id="rId3" Type="http://schemas.openxmlformats.org/officeDocument/2006/relationships/hyperlink" Target="https://4ammedia.zendesk.com/agent/tickets/224486" TargetMode="External"/><Relationship Id="rId149" Type="http://schemas.openxmlformats.org/officeDocument/2006/relationships/hyperlink" Target="https://4ammedia.zendesk.com/agent/tickets/368448" TargetMode="External"/><Relationship Id="rId4" Type="http://schemas.openxmlformats.org/officeDocument/2006/relationships/hyperlink" Target="https://4ammedia.zendesk.com/agent/tickets/226136" TargetMode="External"/><Relationship Id="rId148" Type="http://schemas.openxmlformats.org/officeDocument/2006/relationships/hyperlink" Target="https://4ammedia.zendesk.com/agent/tickets/368271" TargetMode="External"/><Relationship Id="rId9" Type="http://schemas.openxmlformats.org/officeDocument/2006/relationships/hyperlink" Target="https://4ammedia.zendesk.com/agent/tickets/228441" TargetMode="External"/><Relationship Id="rId143" Type="http://schemas.openxmlformats.org/officeDocument/2006/relationships/hyperlink" Target="https://4ammedia.zendesk.com/agent/tickets/358100" TargetMode="External"/><Relationship Id="rId142" Type="http://schemas.openxmlformats.org/officeDocument/2006/relationships/hyperlink" Target="https://4ammedia.zendesk.com/agent/tickets/357665" TargetMode="External"/><Relationship Id="rId141" Type="http://schemas.openxmlformats.org/officeDocument/2006/relationships/hyperlink" Target="https://4ammedia.zendesk.com/agent/tickets/356036" TargetMode="External"/><Relationship Id="rId140" Type="http://schemas.openxmlformats.org/officeDocument/2006/relationships/hyperlink" Target="https://4ammedia.zendesk.com/agent/tickets/355825" TargetMode="External"/><Relationship Id="rId5" Type="http://schemas.openxmlformats.org/officeDocument/2006/relationships/hyperlink" Target="https://4ammedia.zendesk.com/agent/tickets/226291" TargetMode="External"/><Relationship Id="rId147" Type="http://schemas.openxmlformats.org/officeDocument/2006/relationships/hyperlink" Target="https://4ammedia.zendesk.com/agent/tickets/361557" TargetMode="External"/><Relationship Id="rId6" Type="http://schemas.openxmlformats.org/officeDocument/2006/relationships/hyperlink" Target="https://4ammedia.zendesk.com/agent/tickets/226607" TargetMode="External"/><Relationship Id="rId146" Type="http://schemas.openxmlformats.org/officeDocument/2006/relationships/hyperlink" Target="https://4ammedia.zendesk.com/agent/tickets/361289" TargetMode="External"/><Relationship Id="rId7" Type="http://schemas.openxmlformats.org/officeDocument/2006/relationships/hyperlink" Target="https://4ammedia.zendesk.com/agent/tickets/228198" TargetMode="External"/><Relationship Id="rId145" Type="http://schemas.openxmlformats.org/officeDocument/2006/relationships/hyperlink" Target="https://4ammedia.zendesk.com/agent/tickets/360938" TargetMode="External"/><Relationship Id="rId8" Type="http://schemas.openxmlformats.org/officeDocument/2006/relationships/hyperlink" Target="https://4ammedia.zendesk.com/agent/tickets/228419" TargetMode="External"/><Relationship Id="rId144" Type="http://schemas.openxmlformats.org/officeDocument/2006/relationships/hyperlink" Target="https://4ammedia.zendesk.com/agent/tickets/358184" TargetMode="External"/><Relationship Id="rId73" Type="http://schemas.openxmlformats.org/officeDocument/2006/relationships/hyperlink" Target="https://4ammedia.zendesk.com/agent/tickets/288671" TargetMode="External"/><Relationship Id="rId72" Type="http://schemas.openxmlformats.org/officeDocument/2006/relationships/hyperlink" Target="https://4ammedia.zendesk.com/agent/tickets/284590" TargetMode="External"/><Relationship Id="rId75" Type="http://schemas.openxmlformats.org/officeDocument/2006/relationships/hyperlink" Target="https://4ammedia.zendesk.com/agent/tickets/288947" TargetMode="External"/><Relationship Id="rId74" Type="http://schemas.openxmlformats.org/officeDocument/2006/relationships/hyperlink" Target="https://4ammedia.zendesk.com/agent/tickets/288745" TargetMode="External"/><Relationship Id="rId77" Type="http://schemas.openxmlformats.org/officeDocument/2006/relationships/hyperlink" Target="https://4ammedia.zendesk.com/agent/tickets/291209" TargetMode="External"/><Relationship Id="rId76" Type="http://schemas.openxmlformats.org/officeDocument/2006/relationships/hyperlink" Target="https://4ammedia.zendesk.com/agent/tickets/291083" TargetMode="External"/><Relationship Id="rId79" Type="http://schemas.openxmlformats.org/officeDocument/2006/relationships/hyperlink" Target="https://4ammedia.zendesk.com/agent/tickets/293555" TargetMode="External"/><Relationship Id="rId78" Type="http://schemas.openxmlformats.org/officeDocument/2006/relationships/hyperlink" Target="https://4ammedia.zendesk.com/agent/tickets/291253" TargetMode="External"/><Relationship Id="rId71" Type="http://schemas.openxmlformats.org/officeDocument/2006/relationships/hyperlink" Target="https://4ammedia.zendesk.com/agent/tickets/284382" TargetMode="External"/><Relationship Id="rId70" Type="http://schemas.openxmlformats.org/officeDocument/2006/relationships/hyperlink" Target="https://4ammedia.zendesk.com/agent/tickets/283988" TargetMode="External"/><Relationship Id="rId139" Type="http://schemas.openxmlformats.org/officeDocument/2006/relationships/hyperlink" Target="https://4ammedia.zendesk.com/agent/tickets/355739" TargetMode="External"/><Relationship Id="rId138" Type="http://schemas.openxmlformats.org/officeDocument/2006/relationships/hyperlink" Target="https://4ammedia.zendesk.com/agent/tickets/353477" TargetMode="External"/><Relationship Id="rId137" Type="http://schemas.openxmlformats.org/officeDocument/2006/relationships/hyperlink" Target="https://4ammedia.zendesk.com/agent/tickets/353359" TargetMode="External"/><Relationship Id="rId132" Type="http://schemas.openxmlformats.org/officeDocument/2006/relationships/hyperlink" Target="https://4ammedia.zendesk.com/agent/tickets/341321" TargetMode="External"/><Relationship Id="rId131" Type="http://schemas.openxmlformats.org/officeDocument/2006/relationships/hyperlink" Target="https://4ammedia.zendesk.com/agent/tickets/341031" TargetMode="External"/><Relationship Id="rId130" Type="http://schemas.openxmlformats.org/officeDocument/2006/relationships/hyperlink" Target="https://4ammedia.zendesk.com/agent/tickets/340836" TargetMode="External"/><Relationship Id="rId136" Type="http://schemas.openxmlformats.org/officeDocument/2006/relationships/hyperlink" Target="https://4ammedia.zendesk.com/agent/tickets/352999" TargetMode="External"/><Relationship Id="rId135" Type="http://schemas.openxmlformats.org/officeDocument/2006/relationships/hyperlink" Target="https://4ammedia.zendesk.com/agent/tickets/350880" TargetMode="External"/><Relationship Id="rId134" Type="http://schemas.openxmlformats.org/officeDocument/2006/relationships/hyperlink" Target="https://4ammedia.zendesk.com/agent/tickets/350744" TargetMode="External"/><Relationship Id="rId133" Type="http://schemas.openxmlformats.org/officeDocument/2006/relationships/hyperlink" Target="https://4ammedia.zendesk.com/agent/tickets/349279" TargetMode="External"/><Relationship Id="rId62" Type="http://schemas.openxmlformats.org/officeDocument/2006/relationships/hyperlink" Target="https://4ammedia.zendesk.com/agent/tickets/278245" TargetMode="External"/><Relationship Id="rId61" Type="http://schemas.openxmlformats.org/officeDocument/2006/relationships/hyperlink" Target="https://4ammedia.zendesk.com/agent/tickets/278094" TargetMode="External"/><Relationship Id="rId64" Type="http://schemas.openxmlformats.org/officeDocument/2006/relationships/hyperlink" Target="https://4ammedia.zendesk.com/agent/tickets/280410" TargetMode="External"/><Relationship Id="rId63" Type="http://schemas.openxmlformats.org/officeDocument/2006/relationships/hyperlink" Target="https://4ammedia.zendesk.com/agent/tickets/278640" TargetMode="External"/><Relationship Id="rId66" Type="http://schemas.openxmlformats.org/officeDocument/2006/relationships/hyperlink" Target="https://4ammedia.zendesk.com/agent/tickets/280914" TargetMode="External"/><Relationship Id="rId172" Type="http://schemas.openxmlformats.org/officeDocument/2006/relationships/hyperlink" Target="https://4ammedia.zendesk.com/agent/tickets/422670" TargetMode="External"/><Relationship Id="rId65" Type="http://schemas.openxmlformats.org/officeDocument/2006/relationships/hyperlink" Target="https://4ammedia.zendesk.com/agent/tickets/280676" TargetMode="External"/><Relationship Id="rId171" Type="http://schemas.openxmlformats.org/officeDocument/2006/relationships/hyperlink" Target="https://4ammedia.zendesk.com/agent/tickets/422332" TargetMode="External"/><Relationship Id="rId68" Type="http://schemas.openxmlformats.org/officeDocument/2006/relationships/hyperlink" Target="https://4ammedia.zendesk.com/agent/tickets/282158" TargetMode="External"/><Relationship Id="rId170" Type="http://schemas.openxmlformats.org/officeDocument/2006/relationships/hyperlink" Target="https://4ammedia.zendesk.com/agent/tickets/419570" TargetMode="External"/><Relationship Id="rId67" Type="http://schemas.openxmlformats.org/officeDocument/2006/relationships/hyperlink" Target="https://4ammedia.zendesk.com/agent/tickets/282002" TargetMode="External"/><Relationship Id="rId60" Type="http://schemas.openxmlformats.org/officeDocument/2006/relationships/hyperlink" Target="https://4ammedia.zendesk.com/agent/tickets/276302" TargetMode="External"/><Relationship Id="rId165" Type="http://schemas.openxmlformats.org/officeDocument/2006/relationships/hyperlink" Target="https://4ammedia.zendesk.com/agent/tickets/415273" TargetMode="External"/><Relationship Id="rId69" Type="http://schemas.openxmlformats.org/officeDocument/2006/relationships/hyperlink" Target="https://4ammedia.zendesk.com/agent/tickets/282278" TargetMode="External"/><Relationship Id="rId164" Type="http://schemas.openxmlformats.org/officeDocument/2006/relationships/hyperlink" Target="https://4ammedia.zendesk.com/agent/tickets/412020" TargetMode="External"/><Relationship Id="rId163" Type="http://schemas.openxmlformats.org/officeDocument/2006/relationships/hyperlink" Target="https://4ammedia.zendesk.com/agent/tickets/411921" TargetMode="External"/><Relationship Id="rId162" Type="http://schemas.openxmlformats.org/officeDocument/2006/relationships/hyperlink" Target="https://4ammedia.zendesk.com/agent/tickets/411649" TargetMode="External"/><Relationship Id="rId169" Type="http://schemas.openxmlformats.org/officeDocument/2006/relationships/hyperlink" Target="https://4ammedia.zendesk.com/agent/tickets/419493" TargetMode="External"/><Relationship Id="rId168" Type="http://schemas.openxmlformats.org/officeDocument/2006/relationships/hyperlink" Target="https://4ammedia.zendesk.com/agent/tickets/419197" TargetMode="External"/><Relationship Id="rId167" Type="http://schemas.openxmlformats.org/officeDocument/2006/relationships/hyperlink" Target="https://4ammedia.zendesk.com/agent/tickets/415551" TargetMode="External"/><Relationship Id="rId166" Type="http://schemas.openxmlformats.org/officeDocument/2006/relationships/hyperlink" Target="https://4ammedia.zendesk.com/agent/tickets/415441" TargetMode="External"/><Relationship Id="rId51" Type="http://schemas.openxmlformats.org/officeDocument/2006/relationships/hyperlink" Target="https://4ammedia.zendesk.com/agent/tickets/267888" TargetMode="External"/><Relationship Id="rId50" Type="http://schemas.openxmlformats.org/officeDocument/2006/relationships/hyperlink" Target="https://4ammedia.zendesk.com/agent/tickets/267753" TargetMode="External"/><Relationship Id="rId53" Type="http://schemas.openxmlformats.org/officeDocument/2006/relationships/hyperlink" Target="https://4ammedia.zendesk.com/agent/tickets/269233" TargetMode="External"/><Relationship Id="rId52" Type="http://schemas.openxmlformats.org/officeDocument/2006/relationships/hyperlink" Target="https://4ammedia.zendesk.com/agent/tickets/269172" TargetMode="External"/><Relationship Id="rId55" Type="http://schemas.openxmlformats.org/officeDocument/2006/relationships/hyperlink" Target="https://4ammedia.zendesk.com/agent/tickets/271578" TargetMode="External"/><Relationship Id="rId161" Type="http://schemas.openxmlformats.org/officeDocument/2006/relationships/hyperlink" Target="https://4ammedia.zendesk.com/agent/tickets/382423" TargetMode="External"/><Relationship Id="rId54" Type="http://schemas.openxmlformats.org/officeDocument/2006/relationships/hyperlink" Target="https://4ammedia.zendesk.com/agent/tickets/269399" TargetMode="External"/><Relationship Id="rId160" Type="http://schemas.openxmlformats.org/officeDocument/2006/relationships/hyperlink" Target="https://4ammedia.zendesk.com/agent/tickets/382147" TargetMode="External"/><Relationship Id="rId57" Type="http://schemas.openxmlformats.org/officeDocument/2006/relationships/hyperlink" Target="https://4ammedia.zendesk.com/agent/tickets/271870" TargetMode="External"/><Relationship Id="rId56" Type="http://schemas.openxmlformats.org/officeDocument/2006/relationships/hyperlink" Target="https://4ammedia.zendesk.com/agent/tickets/271790" TargetMode="External"/><Relationship Id="rId159" Type="http://schemas.openxmlformats.org/officeDocument/2006/relationships/hyperlink" Target="https://4ammedia.zendesk.com/agent/tickets/379677" TargetMode="External"/><Relationship Id="rId59" Type="http://schemas.openxmlformats.org/officeDocument/2006/relationships/hyperlink" Target="https://4ammedia.zendesk.com/agent/tickets/275985" TargetMode="External"/><Relationship Id="rId154" Type="http://schemas.openxmlformats.org/officeDocument/2006/relationships/hyperlink" Target="https://4ammedia.zendesk.com/agent/tickets/376620" TargetMode="External"/><Relationship Id="rId58" Type="http://schemas.openxmlformats.org/officeDocument/2006/relationships/hyperlink" Target="https://4ammedia.zendesk.com/agent/tickets/275579" TargetMode="External"/><Relationship Id="rId153" Type="http://schemas.openxmlformats.org/officeDocument/2006/relationships/hyperlink" Target="https://4ammedia.zendesk.com/agent/tickets/373068" TargetMode="External"/><Relationship Id="rId152" Type="http://schemas.openxmlformats.org/officeDocument/2006/relationships/hyperlink" Target="https://4ammedia.zendesk.com/agent/tickets/372979" TargetMode="External"/><Relationship Id="rId151" Type="http://schemas.openxmlformats.org/officeDocument/2006/relationships/hyperlink" Target="https://4ammedia.zendesk.com/agent/tickets/372498" TargetMode="External"/><Relationship Id="rId158" Type="http://schemas.openxmlformats.org/officeDocument/2006/relationships/hyperlink" Target="https://4ammedia.zendesk.com/agent/tickets/379646" TargetMode="External"/><Relationship Id="rId157" Type="http://schemas.openxmlformats.org/officeDocument/2006/relationships/hyperlink" Target="https://4ammedia.zendesk.com/agent/tickets/379527" TargetMode="External"/><Relationship Id="rId156" Type="http://schemas.openxmlformats.org/officeDocument/2006/relationships/hyperlink" Target="https://4ammedia.zendesk.com/agent/tickets/377105" TargetMode="External"/><Relationship Id="rId155" Type="http://schemas.openxmlformats.org/officeDocument/2006/relationships/hyperlink" Target="https://4ammedia.zendesk.com/agent/tickets/376943" TargetMode="External"/><Relationship Id="rId107" Type="http://schemas.openxmlformats.org/officeDocument/2006/relationships/hyperlink" Target="https://4ammedia.zendesk.com/agent/tickets/321788" TargetMode="External"/><Relationship Id="rId106" Type="http://schemas.openxmlformats.org/officeDocument/2006/relationships/hyperlink" Target="https://4ammedia.zendesk.com/agent/tickets/321651" TargetMode="External"/><Relationship Id="rId105" Type="http://schemas.openxmlformats.org/officeDocument/2006/relationships/hyperlink" Target="https://4ammedia.zendesk.com/agent/tickets/315496" TargetMode="External"/><Relationship Id="rId104" Type="http://schemas.openxmlformats.org/officeDocument/2006/relationships/hyperlink" Target="https://4ammedia.zendesk.com/agent/tickets/315348" TargetMode="External"/><Relationship Id="rId109" Type="http://schemas.openxmlformats.org/officeDocument/2006/relationships/hyperlink" Target="https://4ammedia.zendesk.com/agent/tickets/320208" TargetMode="External"/><Relationship Id="rId108" Type="http://schemas.openxmlformats.org/officeDocument/2006/relationships/hyperlink" Target="https://4ammedia.zendesk.com/agent/tickets/321886" TargetMode="External"/><Relationship Id="rId103" Type="http://schemas.openxmlformats.org/officeDocument/2006/relationships/hyperlink" Target="https://4ammedia.zendesk.com/agent/tickets/315087" TargetMode="External"/><Relationship Id="rId102" Type="http://schemas.openxmlformats.org/officeDocument/2006/relationships/hyperlink" Target="https://4ammedia.zendesk.com/agent/tickets/310780" TargetMode="External"/><Relationship Id="rId101" Type="http://schemas.openxmlformats.org/officeDocument/2006/relationships/hyperlink" Target="https://4ammedia.zendesk.com/agent/tickets/310683" TargetMode="External"/><Relationship Id="rId100" Type="http://schemas.openxmlformats.org/officeDocument/2006/relationships/hyperlink" Target="https://4ammedia.zendesk.com/agent/tickets/310247" TargetMode="External"/><Relationship Id="rId129" Type="http://schemas.openxmlformats.org/officeDocument/2006/relationships/hyperlink" Target="https://4ammedia.zendesk.com/agent/tickets/337631" TargetMode="External"/><Relationship Id="rId128" Type="http://schemas.openxmlformats.org/officeDocument/2006/relationships/hyperlink" Target="https://4ammedia.zendesk.com/agent/tickets/337122" TargetMode="External"/><Relationship Id="rId127" Type="http://schemas.openxmlformats.org/officeDocument/2006/relationships/hyperlink" Target="https://4ammedia.zendesk.com/agent/tickets/336776" TargetMode="External"/><Relationship Id="rId126" Type="http://schemas.openxmlformats.org/officeDocument/2006/relationships/hyperlink" Target="https://4ammedia.zendesk.com/agent/tickets/334487" TargetMode="External"/><Relationship Id="rId121" Type="http://schemas.openxmlformats.org/officeDocument/2006/relationships/hyperlink" Target="https://4ammedia.zendesk.com/agent/tickets/330947" TargetMode="External"/><Relationship Id="rId120" Type="http://schemas.openxmlformats.org/officeDocument/2006/relationships/hyperlink" Target="https://4ammedia.zendesk.com/agent/tickets/329150" TargetMode="External"/><Relationship Id="rId125" Type="http://schemas.openxmlformats.org/officeDocument/2006/relationships/hyperlink" Target="https://4ammedia.zendesk.com/agent/tickets/334330" TargetMode="External"/><Relationship Id="rId124" Type="http://schemas.openxmlformats.org/officeDocument/2006/relationships/hyperlink" Target="https://4ammedia.zendesk.com/agent/tickets/334086" TargetMode="External"/><Relationship Id="rId123" Type="http://schemas.openxmlformats.org/officeDocument/2006/relationships/hyperlink" Target="https://4ammedia.zendesk.com/agent/tickets/331314" TargetMode="External"/><Relationship Id="rId122" Type="http://schemas.openxmlformats.org/officeDocument/2006/relationships/hyperlink" Target="https://4ammedia.zendesk.com/agent/tickets/331169" TargetMode="External"/><Relationship Id="rId95" Type="http://schemas.openxmlformats.org/officeDocument/2006/relationships/hyperlink" Target="https://4ammedia.zendesk.com/agent/tickets/306992" TargetMode="External"/><Relationship Id="rId94" Type="http://schemas.openxmlformats.org/officeDocument/2006/relationships/hyperlink" Target="https://4ammedia.zendesk.com/agent/tickets/306725" TargetMode="External"/><Relationship Id="rId97" Type="http://schemas.openxmlformats.org/officeDocument/2006/relationships/hyperlink" Target="https://4ammedia.zendesk.com/agent/tickets/308468" TargetMode="External"/><Relationship Id="rId96" Type="http://schemas.openxmlformats.org/officeDocument/2006/relationships/hyperlink" Target="https://4ammedia.zendesk.com/agent/tickets/307050" TargetMode="External"/><Relationship Id="rId99" Type="http://schemas.openxmlformats.org/officeDocument/2006/relationships/hyperlink" Target="https://4ammedia.zendesk.com/agent/tickets/308918" TargetMode="External"/><Relationship Id="rId98" Type="http://schemas.openxmlformats.org/officeDocument/2006/relationships/hyperlink" Target="https://4ammedia.zendesk.com/agent/tickets/308774" TargetMode="External"/><Relationship Id="rId91" Type="http://schemas.openxmlformats.org/officeDocument/2006/relationships/hyperlink" Target="https://4ammedia.zendesk.com/agent/tickets/303890" TargetMode="External"/><Relationship Id="rId90" Type="http://schemas.openxmlformats.org/officeDocument/2006/relationships/hyperlink" Target="https://4ammedia.zendesk.com/agent/tickets/302394" TargetMode="External"/><Relationship Id="rId93" Type="http://schemas.openxmlformats.org/officeDocument/2006/relationships/hyperlink" Target="https://4ammedia.zendesk.com/agent/tickets/304143" TargetMode="External"/><Relationship Id="rId92" Type="http://schemas.openxmlformats.org/officeDocument/2006/relationships/hyperlink" Target="https://4ammedia.zendesk.com/agent/tickets/303957" TargetMode="External"/><Relationship Id="rId118" Type="http://schemas.openxmlformats.org/officeDocument/2006/relationships/hyperlink" Target="https://4ammedia.zendesk.com/agent/tickets/328971" TargetMode="External"/><Relationship Id="rId117" Type="http://schemas.openxmlformats.org/officeDocument/2006/relationships/hyperlink" Target="https://4ammedia.zendesk.com/agent/tickets/318535" TargetMode="External"/><Relationship Id="rId116" Type="http://schemas.openxmlformats.org/officeDocument/2006/relationships/hyperlink" Target="https://4ammedia.zendesk.com/agent/tickets/318258" TargetMode="External"/><Relationship Id="rId115" Type="http://schemas.openxmlformats.org/officeDocument/2006/relationships/hyperlink" Target="https://4ammedia.zendesk.com/agent/tickets/318115" TargetMode="External"/><Relationship Id="rId119" Type="http://schemas.openxmlformats.org/officeDocument/2006/relationships/hyperlink" Target="https://4ammedia.zendesk.com/agent/tickets/329020" TargetMode="External"/><Relationship Id="rId110" Type="http://schemas.openxmlformats.org/officeDocument/2006/relationships/hyperlink" Target="https://4ammedia.zendesk.com/agent/tickets/320494" TargetMode="External"/><Relationship Id="rId114" Type="http://schemas.openxmlformats.org/officeDocument/2006/relationships/hyperlink" Target="https://4ammedia.zendesk.com/agent/tickets/325133" TargetMode="External"/><Relationship Id="rId113" Type="http://schemas.openxmlformats.org/officeDocument/2006/relationships/hyperlink" Target="https://4ammedia.zendesk.com/agent/tickets/324834" TargetMode="External"/><Relationship Id="rId112" Type="http://schemas.openxmlformats.org/officeDocument/2006/relationships/hyperlink" Target="https://4ammedia.zendesk.com/agent/tickets/324574" TargetMode="External"/><Relationship Id="rId111" Type="http://schemas.openxmlformats.org/officeDocument/2006/relationships/hyperlink" Target="https://4ammedia.zendesk.com/agent/tickets/320791"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4ammedia.zendesk.com/agent/tickets/259447" TargetMode="External"/><Relationship Id="rId42" Type="http://schemas.openxmlformats.org/officeDocument/2006/relationships/hyperlink" Target="https://4ammedia.zendesk.com/agent/tickets/259666" TargetMode="External"/><Relationship Id="rId41" Type="http://schemas.openxmlformats.org/officeDocument/2006/relationships/hyperlink" Target="https://4ammedia.zendesk.com/agent/tickets/259598" TargetMode="External"/><Relationship Id="rId44" Type="http://schemas.openxmlformats.org/officeDocument/2006/relationships/hyperlink" Target="https://4ammedia.zendesk.com/agent/tickets/263090" TargetMode="External"/><Relationship Id="rId43" Type="http://schemas.openxmlformats.org/officeDocument/2006/relationships/hyperlink" Target="https://4ammedia.zendesk.com/agent/tickets/262621" TargetMode="External"/><Relationship Id="rId46" Type="http://schemas.openxmlformats.org/officeDocument/2006/relationships/hyperlink" Target="https://4ammedia.zendesk.com/agent/tickets/265709" TargetMode="External"/><Relationship Id="rId45" Type="http://schemas.openxmlformats.org/officeDocument/2006/relationships/hyperlink" Target="https://4ammedia.zendesk.com/agent/tickets/263327" TargetMode="External"/><Relationship Id="rId48" Type="http://schemas.openxmlformats.org/officeDocument/2006/relationships/hyperlink" Target="https://4ammedia.zendesk.com/agent/tickets/266324" TargetMode="External"/><Relationship Id="rId187" Type="http://schemas.openxmlformats.org/officeDocument/2006/relationships/drawing" Target="../drawings/drawing8.xml"/><Relationship Id="rId47" Type="http://schemas.openxmlformats.org/officeDocument/2006/relationships/hyperlink" Target="https://4ammedia.zendesk.com/agent/tickets/266101" TargetMode="External"/><Relationship Id="rId186" Type="http://schemas.openxmlformats.org/officeDocument/2006/relationships/hyperlink" Target="https://4ammedia.zendesk.com/agent/tickets/430213" TargetMode="External"/><Relationship Id="rId185" Type="http://schemas.openxmlformats.org/officeDocument/2006/relationships/hyperlink" Target="https://4ammedia.zendesk.com/agent/tickets/429693" TargetMode="External"/><Relationship Id="rId49" Type="http://schemas.openxmlformats.org/officeDocument/2006/relationships/hyperlink" Target="https://4ammedia.zendesk.com/agent/tickets/269106" TargetMode="External"/><Relationship Id="rId184" Type="http://schemas.openxmlformats.org/officeDocument/2006/relationships/hyperlink" Target="https://4ammedia.zendesk.com/agent/tickets/429219" TargetMode="External"/><Relationship Id="rId31" Type="http://schemas.openxmlformats.org/officeDocument/2006/relationships/hyperlink" Target="https://4ammedia.zendesk.com/agent/tickets/251635" TargetMode="External"/><Relationship Id="rId30" Type="http://schemas.openxmlformats.org/officeDocument/2006/relationships/hyperlink" Target="https://4ammedia.zendesk.com/agent/tickets/250486" TargetMode="External"/><Relationship Id="rId33" Type="http://schemas.openxmlformats.org/officeDocument/2006/relationships/hyperlink" Target="https://4ammedia.zendesk.com/agent/tickets/251811" TargetMode="External"/><Relationship Id="rId183" Type="http://schemas.openxmlformats.org/officeDocument/2006/relationships/hyperlink" Target="https://4ammedia.zendesk.com/agent/tickets/423248" TargetMode="External"/><Relationship Id="rId32" Type="http://schemas.openxmlformats.org/officeDocument/2006/relationships/hyperlink" Target="https://4ammedia.zendesk.com/agent/tickets/251778" TargetMode="External"/><Relationship Id="rId182" Type="http://schemas.openxmlformats.org/officeDocument/2006/relationships/hyperlink" Target="https://4ammedia.zendesk.com/agent/tickets/423039" TargetMode="External"/><Relationship Id="rId35" Type="http://schemas.openxmlformats.org/officeDocument/2006/relationships/hyperlink" Target="https://4ammedia.zendesk.com/agent/tickets/256357" TargetMode="External"/><Relationship Id="rId181" Type="http://schemas.openxmlformats.org/officeDocument/2006/relationships/hyperlink" Target="https://4ammedia.zendesk.com/agent/tickets/422765" TargetMode="External"/><Relationship Id="rId34" Type="http://schemas.openxmlformats.org/officeDocument/2006/relationships/hyperlink" Target="https://4ammedia.zendesk.com/agent/tickets/256053" TargetMode="External"/><Relationship Id="rId180" Type="http://schemas.openxmlformats.org/officeDocument/2006/relationships/hyperlink" Target="https://4ammedia.zendesk.com/agent/tickets/416125" TargetMode="External"/><Relationship Id="rId37" Type="http://schemas.openxmlformats.org/officeDocument/2006/relationships/hyperlink" Target="https://4ammedia.zendesk.com/agent/tickets/258177" TargetMode="External"/><Relationship Id="rId176" Type="http://schemas.openxmlformats.org/officeDocument/2006/relationships/hyperlink" Target="https://4ammedia.zendesk.com/agent/tickets/411470" TargetMode="External"/><Relationship Id="rId36" Type="http://schemas.openxmlformats.org/officeDocument/2006/relationships/hyperlink" Target="https://4ammedia.zendesk.com/agent/tickets/256430" TargetMode="External"/><Relationship Id="rId175" Type="http://schemas.openxmlformats.org/officeDocument/2006/relationships/hyperlink" Target="https://4ammedia.zendesk.com/agent/tickets/411125" TargetMode="External"/><Relationship Id="rId39" Type="http://schemas.openxmlformats.org/officeDocument/2006/relationships/hyperlink" Target="https://4ammedia.zendesk.com/agent/tickets/258549" TargetMode="External"/><Relationship Id="rId174" Type="http://schemas.openxmlformats.org/officeDocument/2006/relationships/hyperlink" Target="https://4ammedia.zendesk.com/agent/tickets/403302" TargetMode="External"/><Relationship Id="rId38" Type="http://schemas.openxmlformats.org/officeDocument/2006/relationships/hyperlink" Target="https://4ammedia.zendesk.com/agent/tickets/258315" TargetMode="External"/><Relationship Id="rId173" Type="http://schemas.openxmlformats.org/officeDocument/2006/relationships/hyperlink" Target="https://4ammedia.zendesk.com/agent/tickets/402857" TargetMode="External"/><Relationship Id="rId179" Type="http://schemas.openxmlformats.org/officeDocument/2006/relationships/hyperlink" Target="https://4ammedia.zendesk.com/agent/tickets/415981" TargetMode="External"/><Relationship Id="rId178" Type="http://schemas.openxmlformats.org/officeDocument/2006/relationships/hyperlink" Target="https://4ammedia.zendesk.com/agent/tickets/415663" TargetMode="External"/><Relationship Id="rId177" Type="http://schemas.openxmlformats.org/officeDocument/2006/relationships/hyperlink" Target="https://4ammedia.zendesk.com/agent/tickets/411538" TargetMode="External"/><Relationship Id="rId20" Type="http://schemas.openxmlformats.org/officeDocument/2006/relationships/hyperlink" Target="https://4ammedia.zendesk.com/agent/tickets/238840" TargetMode="External"/><Relationship Id="rId22" Type="http://schemas.openxmlformats.org/officeDocument/2006/relationships/hyperlink" Target="https://4ammedia.zendesk.com/agent/tickets/243327" TargetMode="External"/><Relationship Id="rId21" Type="http://schemas.openxmlformats.org/officeDocument/2006/relationships/hyperlink" Target="https://4ammedia.zendesk.com/agent/tickets/238931" TargetMode="External"/><Relationship Id="rId24" Type="http://schemas.openxmlformats.org/officeDocument/2006/relationships/hyperlink" Target="https://4ammedia.zendesk.com/agent/tickets/243575" TargetMode="External"/><Relationship Id="rId23" Type="http://schemas.openxmlformats.org/officeDocument/2006/relationships/hyperlink" Target="https://4ammedia.zendesk.com/agent/tickets/243512" TargetMode="External"/><Relationship Id="rId26" Type="http://schemas.openxmlformats.org/officeDocument/2006/relationships/hyperlink" Target="https://4ammedia.zendesk.com/agent/tickets/245393" TargetMode="External"/><Relationship Id="rId25" Type="http://schemas.openxmlformats.org/officeDocument/2006/relationships/hyperlink" Target="https://4ammedia.zendesk.com/agent/tickets/245259" TargetMode="External"/><Relationship Id="rId28" Type="http://schemas.openxmlformats.org/officeDocument/2006/relationships/hyperlink" Target="https://4ammedia.zendesk.com/agent/tickets/249958" TargetMode="External"/><Relationship Id="rId27" Type="http://schemas.openxmlformats.org/officeDocument/2006/relationships/hyperlink" Target="https://4ammedia.zendesk.com/agent/tickets/245522" TargetMode="External"/><Relationship Id="rId29" Type="http://schemas.openxmlformats.org/officeDocument/2006/relationships/hyperlink" Target="https://4ammedia.zendesk.com/agent/tickets/250188" TargetMode="External"/><Relationship Id="rId11" Type="http://schemas.openxmlformats.org/officeDocument/2006/relationships/hyperlink" Target="https://4ammedia.zendesk.com/agent/tickets/232580" TargetMode="External"/><Relationship Id="rId10" Type="http://schemas.openxmlformats.org/officeDocument/2006/relationships/hyperlink" Target="https://4ammedia.zendesk.com/agent/tickets/232305" TargetMode="External"/><Relationship Id="rId13" Type="http://schemas.openxmlformats.org/officeDocument/2006/relationships/hyperlink" Target="https://4ammedia.zendesk.com/agent/tickets/233703" TargetMode="External"/><Relationship Id="rId12" Type="http://schemas.openxmlformats.org/officeDocument/2006/relationships/hyperlink" Target="https://4ammedia.zendesk.com/agent/tickets/232772" TargetMode="External"/><Relationship Id="rId15" Type="http://schemas.openxmlformats.org/officeDocument/2006/relationships/hyperlink" Target="https://4ammedia.zendesk.com/agent/tickets/233878" TargetMode="External"/><Relationship Id="rId14" Type="http://schemas.openxmlformats.org/officeDocument/2006/relationships/hyperlink" Target="https://4ammedia.zendesk.com/agent/tickets/233776" TargetMode="External"/><Relationship Id="rId17" Type="http://schemas.openxmlformats.org/officeDocument/2006/relationships/hyperlink" Target="https://4ammedia.zendesk.com/agent/tickets/236819" TargetMode="External"/><Relationship Id="rId16" Type="http://schemas.openxmlformats.org/officeDocument/2006/relationships/hyperlink" Target="https://4ammedia.zendesk.com/agent/tickets/236767" TargetMode="External"/><Relationship Id="rId19" Type="http://schemas.openxmlformats.org/officeDocument/2006/relationships/hyperlink" Target="https://4ammedia.zendesk.com/agent/tickets/238482" TargetMode="External"/><Relationship Id="rId18" Type="http://schemas.openxmlformats.org/officeDocument/2006/relationships/hyperlink" Target="https://4ammedia.zendesk.com/agent/tickets/236994" TargetMode="External"/><Relationship Id="rId84" Type="http://schemas.openxmlformats.org/officeDocument/2006/relationships/hyperlink" Target="https://4ammedia.zendesk.com/agent/tickets/297739" TargetMode="External"/><Relationship Id="rId83" Type="http://schemas.openxmlformats.org/officeDocument/2006/relationships/hyperlink" Target="https://4ammedia.zendesk.com/agent/tickets/297362" TargetMode="External"/><Relationship Id="rId86" Type="http://schemas.openxmlformats.org/officeDocument/2006/relationships/hyperlink" Target="https://4ammedia.zendesk.com/agent/tickets/299043" TargetMode="External"/><Relationship Id="rId85" Type="http://schemas.openxmlformats.org/officeDocument/2006/relationships/hyperlink" Target="https://4ammedia.zendesk.com/agent/tickets/298934" TargetMode="External"/><Relationship Id="rId88" Type="http://schemas.openxmlformats.org/officeDocument/2006/relationships/hyperlink" Target="https://4ammedia.zendesk.com/agent/tickets/301938" TargetMode="External"/><Relationship Id="rId150" Type="http://schemas.openxmlformats.org/officeDocument/2006/relationships/hyperlink" Target="https://4ammedia.zendesk.com/agent/tickets/370778" TargetMode="External"/><Relationship Id="rId87" Type="http://schemas.openxmlformats.org/officeDocument/2006/relationships/hyperlink" Target="https://4ammedia.zendesk.com/agent/tickets/299131" TargetMode="External"/><Relationship Id="rId89" Type="http://schemas.openxmlformats.org/officeDocument/2006/relationships/hyperlink" Target="https://4ammedia.zendesk.com/agent/tickets/302078" TargetMode="External"/><Relationship Id="rId80" Type="http://schemas.openxmlformats.org/officeDocument/2006/relationships/hyperlink" Target="https://4ammedia.zendesk.com/agent/tickets/295543" TargetMode="External"/><Relationship Id="rId82" Type="http://schemas.openxmlformats.org/officeDocument/2006/relationships/hyperlink" Target="https://4ammedia.zendesk.com/agent/tickets/297139" TargetMode="External"/><Relationship Id="rId81" Type="http://schemas.openxmlformats.org/officeDocument/2006/relationships/hyperlink" Target="https://4ammedia.zendesk.com/agent/tickets/295746" TargetMode="External"/><Relationship Id="rId1" Type="http://schemas.openxmlformats.org/officeDocument/2006/relationships/hyperlink" Target="https://4ammedia.zendesk.com/agent/tickets/224171" TargetMode="External"/><Relationship Id="rId2" Type="http://schemas.openxmlformats.org/officeDocument/2006/relationships/hyperlink" Target="https://4ammedia.zendesk.com/agent/tickets/224395" TargetMode="External"/><Relationship Id="rId3" Type="http://schemas.openxmlformats.org/officeDocument/2006/relationships/hyperlink" Target="https://4ammedia.zendesk.com/agent/tickets/224688" TargetMode="External"/><Relationship Id="rId149" Type="http://schemas.openxmlformats.org/officeDocument/2006/relationships/hyperlink" Target="https://4ammedia.zendesk.com/agent/tickets/370590" TargetMode="External"/><Relationship Id="rId4" Type="http://schemas.openxmlformats.org/officeDocument/2006/relationships/hyperlink" Target="https://4ammedia.zendesk.com/agent/tickets/226879" TargetMode="External"/><Relationship Id="rId148" Type="http://schemas.openxmlformats.org/officeDocument/2006/relationships/hyperlink" Target="https://4ammedia.zendesk.com/agent/tickets/368997" TargetMode="External"/><Relationship Id="rId9" Type="http://schemas.openxmlformats.org/officeDocument/2006/relationships/hyperlink" Target="https://4ammedia.zendesk.com/agent/tickets/230022" TargetMode="External"/><Relationship Id="rId143" Type="http://schemas.openxmlformats.org/officeDocument/2006/relationships/hyperlink" Target="https://4ammedia.zendesk.com/agent/tickets/361001" TargetMode="External"/><Relationship Id="rId142" Type="http://schemas.openxmlformats.org/officeDocument/2006/relationships/hyperlink" Target="https://4ammedia.zendesk.com/agent/tickets/360781" TargetMode="External"/><Relationship Id="rId141" Type="http://schemas.openxmlformats.org/officeDocument/2006/relationships/hyperlink" Target="https://4ammedia.zendesk.com/agent/tickets/358701" TargetMode="External"/><Relationship Id="rId140" Type="http://schemas.openxmlformats.org/officeDocument/2006/relationships/hyperlink" Target="https://4ammedia.zendesk.com/agent/tickets/358549" TargetMode="External"/><Relationship Id="rId5" Type="http://schemas.openxmlformats.org/officeDocument/2006/relationships/hyperlink" Target="https://4ammedia.zendesk.com/agent/tickets/226958" TargetMode="External"/><Relationship Id="rId147" Type="http://schemas.openxmlformats.org/officeDocument/2006/relationships/hyperlink" Target="https://4ammedia.zendesk.com/agent/tickets/366337" TargetMode="External"/><Relationship Id="rId6" Type="http://schemas.openxmlformats.org/officeDocument/2006/relationships/hyperlink" Target="https://4ammedia.zendesk.com/agent/tickets/226976" TargetMode="External"/><Relationship Id="rId146" Type="http://schemas.openxmlformats.org/officeDocument/2006/relationships/hyperlink" Target="https://4ammedia.zendesk.com/agent/tickets/364344" TargetMode="External"/><Relationship Id="rId7" Type="http://schemas.openxmlformats.org/officeDocument/2006/relationships/hyperlink" Target="https://4ammedia.zendesk.com/agent/tickets/229944" TargetMode="External"/><Relationship Id="rId145" Type="http://schemas.openxmlformats.org/officeDocument/2006/relationships/hyperlink" Target="https://4ammedia.zendesk.com/agent/tickets/363641" TargetMode="External"/><Relationship Id="rId8" Type="http://schemas.openxmlformats.org/officeDocument/2006/relationships/hyperlink" Target="https://4ammedia.zendesk.com/agent/tickets/229987" TargetMode="External"/><Relationship Id="rId144" Type="http://schemas.openxmlformats.org/officeDocument/2006/relationships/hyperlink" Target="https://4ammedia.zendesk.com/agent/tickets/361131" TargetMode="External"/><Relationship Id="rId73" Type="http://schemas.openxmlformats.org/officeDocument/2006/relationships/hyperlink" Target="https://4ammedia.zendesk.com/agent/tickets/288606" TargetMode="External"/><Relationship Id="rId72" Type="http://schemas.openxmlformats.org/officeDocument/2006/relationships/hyperlink" Target="https://4ammedia.zendesk.com/agent/tickets/286316" TargetMode="External"/><Relationship Id="rId75" Type="http://schemas.openxmlformats.org/officeDocument/2006/relationships/hyperlink" Target="https://4ammedia.zendesk.com/agent/tickets/288807" TargetMode="External"/><Relationship Id="rId74" Type="http://schemas.openxmlformats.org/officeDocument/2006/relationships/hyperlink" Target="https://4ammedia.zendesk.com/agent/tickets/288757" TargetMode="External"/><Relationship Id="rId77" Type="http://schemas.openxmlformats.org/officeDocument/2006/relationships/hyperlink" Target="https://4ammedia.zendesk.com/agent/tickets/291719" TargetMode="External"/><Relationship Id="rId76" Type="http://schemas.openxmlformats.org/officeDocument/2006/relationships/hyperlink" Target="https://4ammedia.zendesk.com/agent/tickets/291489" TargetMode="External"/><Relationship Id="rId79" Type="http://schemas.openxmlformats.org/officeDocument/2006/relationships/hyperlink" Target="https://4ammedia.zendesk.com/agent/tickets/295275" TargetMode="External"/><Relationship Id="rId78" Type="http://schemas.openxmlformats.org/officeDocument/2006/relationships/hyperlink" Target="https://4ammedia.zendesk.com/agent/tickets/291814" TargetMode="External"/><Relationship Id="rId71" Type="http://schemas.openxmlformats.org/officeDocument/2006/relationships/hyperlink" Target="https://4ammedia.zendesk.com/agent/tickets/286269" TargetMode="External"/><Relationship Id="rId70" Type="http://schemas.openxmlformats.org/officeDocument/2006/relationships/hyperlink" Target="https://4ammedia.zendesk.com/agent/tickets/285999" TargetMode="External"/><Relationship Id="rId139" Type="http://schemas.openxmlformats.org/officeDocument/2006/relationships/hyperlink" Target="https://4ammedia.zendesk.com/agent/tickets/358008" TargetMode="External"/><Relationship Id="rId138" Type="http://schemas.openxmlformats.org/officeDocument/2006/relationships/hyperlink" Target="https://4ammedia.zendesk.com/agent/tickets/353823" TargetMode="External"/><Relationship Id="rId137" Type="http://schemas.openxmlformats.org/officeDocument/2006/relationships/hyperlink" Target="https://4ammedia.zendesk.com/agent/tickets/353696" TargetMode="External"/><Relationship Id="rId132" Type="http://schemas.openxmlformats.org/officeDocument/2006/relationships/hyperlink" Target="https://4ammedia.zendesk.com/agent/tickets/347003" TargetMode="External"/><Relationship Id="rId131" Type="http://schemas.openxmlformats.org/officeDocument/2006/relationships/hyperlink" Target="https://4ammedia.zendesk.com/agent/tickets/346875" TargetMode="External"/><Relationship Id="rId130" Type="http://schemas.openxmlformats.org/officeDocument/2006/relationships/hyperlink" Target="https://4ammedia.zendesk.com/agent/tickets/346736" TargetMode="External"/><Relationship Id="rId136" Type="http://schemas.openxmlformats.org/officeDocument/2006/relationships/hyperlink" Target="https://4ammedia.zendesk.com/agent/tickets/353070" TargetMode="External"/><Relationship Id="rId135" Type="http://schemas.openxmlformats.org/officeDocument/2006/relationships/hyperlink" Target="https://4ammedia.zendesk.com/agent/tickets/350759" TargetMode="External"/><Relationship Id="rId134" Type="http://schemas.openxmlformats.org/officeDocument/2006/relationships/hyperlink" Target="https://4ammedia.zendesk.com/agent/tickets/350420" TargetMode="External"/><Relationship Id="rId133" Type="http://schemas.openxmlformats.org/officeDocument/2006/relationships/hyperlink" Target="https://4ammedia.zendesk.com/agent/tickets/349891" TargetMode="External"/><Relationship Id="rId62" Type="http://schemas.openxmlformats.org/officeDocument/2006/relationships/hyperlink" Target="https://4ammedia.zendesk.com/agent/tickets/278597" TargetMode="External"/><Relationship Id="rId61" Type="http://schemas.openxmlformats.org/officeDocument/2006/relationships/hyperlink" Target="https://4ammedia.zendesk.com/agent/tickets/278402" TargetMode="External"/><Relationship Id="rId64" Type="http://schemas.openxmlformats.org/officeDocument/2006/relationships/hyperlink" Target="https://4ammedia.zendesk.com/agent/tickets/281910" TargetMode="External"/><Relationship Id="rId63" Type="http://schemas.openxmlformats.org/officeDocument/2006/relationships/hyperlink" Target="https://4ammedia.zendesk.com/agent/tickets/278961" TargetMode="External"/><Relationship Id="rId66" Type="http://schemas.openxmlformats.org/officeDocument/2006/relationships/hyperlink" Target="https://4ammedia.zendesk.com/agent/tickets/282520" TargetMode="External"/><Relationship Id="rId172" Type="http://schemas.openxmlformats.org/officeDocument/2006/relationships/hyperlink" Target="https://4ammedia.zendesk.com/agent/tickets/402499" TargetMode="External"/><Relationship Id="rId65" Type="http://schemas.openxmlformats.org/officeDocument/2006/relationships/hyperlink" Target="https://4ammedia.zendesk.com/agent/tickets/282437" TargetMode="External"/><Relationship Id="rId171" Type="http://schemas.openxmlformats.org/officeDocument/2006/relationships/hyperlink" Target="https://4ammedia.zendesk.com/agent/tickets/399891" TargetMode="External"/><Relationship Id="rId68" Type="http://schemas.openxmlformats.org/officeDocument/2006/relationships/hyperlink" Target="https://4ammedia.zendesk.com/agent/tickets/284724" TargetMode="External"/><Relationship Id="rId170" Type="http://schemas.openxmlformats.org/officeDocument/2006/relationships/hyperlink" Target="https://4ammedia.zendesk.com/agent/tickets/399165" TargetMode="External"/><Relationship Id="rId67" Type="http://schemas.openxmlformats.org/officeDocument/2006/relationships/hyperlink" Target="https://4ammedia.zendesk.com/agent/tickets/284451" TargetMode="External"/><Relationship Id="rId60" Type="http://schemas.openxmlformats.org/officeDocument/2006/relationships/hyperlink" Target="https://4ammedia.zendesk.com/agent/tickets/276747" TargetMode="External"/><Relationship Id="rId165" Type="http://schemas.openxmlformats.org/officeDocument/2006/relationships/hyperlink" Target="https://4ammedia.zendesk.com/agent/tickets/390658" TargetMode="External"/><Relationship Id="rId69" Type="http://schemas.openxmlformats.org/officeDocument/2006/relationships/hyperlink" Target="https://4ammedia.zendesk.com/agent/tickets/284785" TargetMode="External"/><Relationship Id="rId164" Type="http://schemas.openxmlformats.org/officeDocument/2006/relationships/hyperlink" Target="https://4ammedia.zendesk.com/agent/tickets/389825" TargetMode="External"/><Relationship Id="rId163" Type="http://schemas.openxmlformats.org/officeDocument/2006/relationships/hyperlink" Target="https://4ammedia.zendesk.com/agent/tickets/389227" TargetMode="External"/><Relationship Id="rId162" Type="http://schemas.openxmlformats.org/officeDocument/2006/relationships/hyperlink" Target="https://4ammedia.zendesk.com/agent/tickets/381679" TargetMode="External"/><Relationship Id="rId169" Type="http://schemas.openxmlformats.org/officeDocument/2006/relationships/hyperlink" Target="https://4ammedia.zendesk.com/agent/tickets/398741" TargetMode="External"/><Relationship Id="rId168" Type="http://schemas.openxmlformats.org/officeDocument/2006/relationships/hyperlink" Target="https://4ammedia.zendesk.com/agent/tickets/392808" TargetMode="External"/><Relationship Id="rId167" Type="http://schemas.openxmlformats.org/officeDocument/2006/relationships/hyperlink" Target="https://4ammedia.zendesk.com/agent/tickets/392665" TargetMode="External"/><Relationship Id="rId166" Type="http://schemas.openxmlformats.org/officeDocument/2006/relationships/hyperlink" Target="https://4ammedia.zendesk.com/agent/tickets/392322" TargetMode="External"/><Relationship Id="rId51" Type="http://schemas.openxmlformats.org/officeDocument/2006/relationships/hyperlink" Target="https://4ammedia.zendesk.com/agent/tickets/269390" TargetMode="External"/><Relationship Id="rId50" Type="http://schemas.openxmlformats.org/officeDocument/2006/relationships/hyperlink" Target="https://4ammedia.zendesk.com/agent/tickets/269318" TargetMode="External"/><Relationship Id="rId53" Type="http://schemas.openxmlformats.org/officeDocument/2006/relationships/hyperlink" Target="https://4ammedia.zendesk.com/agent/tickets/271439" TargetMode="External"/><Relationship Id="rId52" Type="http://schemas.openxmlformats.org/officeDocument/2006/relationships/hyperlink" Target="https://4ammedia.zendesk.com/agent/tickets/271300" TargetMode="External"/><Relationship Id="rId55" Type="http://schemas.openxmlformats.org/officeDocument/2006/relationships/hyperlink" Target="https://4ammedia.zendesk.com/agent/tickets/272918" TargetMode="External"/><Relationship Id="rId161" Type="http://schemas.openxmlformats.org/officeDocument/2006/relationships/hyperlink" Target="https://4ammedia.zendesk.com/agent/tickets/381509" TargetMode="External"/><Relationship Id="rId54" Type="http://schemas.openxmlformats.org/officeDocument/2006/relationships/hyperlink" Target="https://4ammedia.zendesk.com/agent/tickets/271410" TargetMode="External"/><Relationship Id="rId160" Type="http://schemas.openxmlformats.org/officeDocument/2006/relationships/hyperlink" Target="https://4ammedia.zendesk.com/agent/tickets/381348" TargetMode="External"/><Relationship Id="rId57" Type="http://schemas.openxmlformats.org/officeDocument/2006/relationships/hyperlink" Target="https://4ammedia.zendesk.com/agent/tickets/273268" TargetMode="External"/><Relationship Id="rId56" Type="http://schemas.openxmlformats.org/officeDocument/2006/relationships/hyperlink" Target="https://4ammedia.zendesk.com/agent/tickets/273100" TargetMode="External"/><Relationship Id="rId159" Type="http://schemas.openxmlformats.org/officeDocument/2006/relationships/hyperlink" Target="https://4ammedia.zendesk.com/agent/tickets/379794" TargetMode="External"/><Relationship Id="rId59" Type="http://schemas.openxmlformats.org/officeDocument/2006/relationships/hyperlink" Target="https://4ammedia.zendesk.com/agent/tickets/276332" TargetMode="External"/><Relationship Id="rId154" Type="http://schemas.openxmlformats.org/officeDocument/2006/relationships/hyperlink" Target="https://4ammedia.zendesk.com/agent/tickets/376214" TargetMode="External"/><Relationship Id="rId58" Type="http://schemas.openxmlformats.org/officeDocument/2006/relationships/hyperlink" Target="https://4ammedia.zendesk.com/agent/tickets/275986" TargetMode="External"/><Relationship Id="rId153" Type="http://schemas.openxmlformats.org/officeDocument/2006/relationships/hyperlink" Target="https://4ammedia.zendesk.com/agent/tickets/373982" TargetMode="External"/><Relationship Id="rId152" Type="http://schemas.openxmlformats.org/officeDocument/2006/relationships/hyperlink" Target="https://4ammedia.zendesk.com/agent/tickets/373972" TargetMode="External"/><Relationship Id="rId151" Type="http://schemas.openxmlformats.org/officeDocument/2006/relationships/hyperlink" Target="https://4ammedia.zendesk.com/agent/tickets/373409" TargetMode="External"/><Relationship Id="rId158" Type="http://schemas.openxmlformats.org/officeDocument/2006/relationships/hyperlink" Target="https://4ammedia.zendesk.com/agent/tickets/379716" TargetMode="External"/><Relationship Id="rId157" Type="http://schemas.openxmlformats.org/officeDocument/2006/relationships/hyperlink" Target="https://4ammedia.zendesk.com/agent/tickets/379314" TargetMode="External"/><Relationship Id="rId156" Type="http://schemas.openxmlformats.org/officeDocument/2006/relationships/hyperlink" Target="https://4ammedia.zendesk.com/agent/tickets/376893" TargetMode="External"/><Relationship Id="rId155" Type="http://schemas.openxmlformats.org/officeDocument/2006/relationships/hyperlink" Target="https://4ammedia.zendesk.com/agent/tickets/376563" TargetMode="External"/><Relationship Id="rId107" Type="http://schemas.openxmlformats.org/officeDocument/2006/relationships/hyperlink" Target="https://4ammedia.zendesk.com/agent/tickets/322477" TargetMode="External"/><Relationship Id="rId106" Type="http://schemas.openxmlformats.org/officeDocument/2006/relationships/hyperlink" Target="https://4ammedia.zendesk.com/agent/tickets/322393" TargetMode="External"/><Relationship Id="rId105" Type="http://schemas.openxmlformats.org/officeDocument/2006/relationships/hyperlink" Target="https://4ammedia.zendesk.com/agent/tickets/315482" TargetMode="External"/><Relationship Id="rId104" Type="http://schemas.openxmlformats.org/officeDocument/2006/relationships/hyperlink" Target="https://4ammedia.zendesk.com/agent/tickets/315318" TargetMode="External"/><Relationship Id="rId109" Type="http://schemas.openxmlformats.org/officeDocument/2006/relationships/hyperlink" Target="https://4ammedia.zendesk.com/agent/tickets/324967" TargetMode="External"/><Relationship Id="rId108" Type="http://schemas.openxmlformats.org/officeDocument/2006/relationships/hyperlink" Target="https://4ammedia.zendesk.com/agent/tickets/322572" TargetMode="External"/><Relationship Id="rId103" Type="http://schemas.openxmlformats.org/officeDocument/2006/relationships/hyperlink" Target="https://4ammedia.zendesk.com/agent/tickets/314945" TargetMode="External"/><Relationship Id="rId102" Type="http://schemas.openxmlformats.org/officeDocument/2006/relationships/hyperlink" Target="https://4ammedia.zendesk.com/agent/tickets/312609" TargetMode="External"/><Relationship Id="rId101" Type="http://schemas.openxmlformats.org/officeDocument/2006/relationships/hyperlink" Target="https://4ammedia.zendesk.com/agent/tickets/312431" TargetMode="External"/><Relationship Id="rId100" Type="http://schemas.openxmlformats.org/officeDocument/2006/relationships/hyperlink" Target="https://4ammedia.zendesk.com/agent/tickets/312336" TargetMode="External"/><Relationship Id="rId129" Type="http://schemas.openxmlformats.org/officeDocument/2006/relationships/hyperlink" Target="https://4ammedia.zendesk.com/agent/tickets/343366" TargetMode="External"/><Relationship Id="rId128" Type="http://schemas.openxmlformats.org/officeDocument/2006/relationships/hyperlink" Target="https://4ammedia.zendesk.com/agent/tickets/343294" TargetMode="External"/><Relationship Id="rId127" Type="http://schemas.openxmlformats.org/officeDocument/2006/relationships/hyperlink" Target="https://4ammedia.zendesk.com/agent/tickets/343205" TargetMode="External"/><Relationship Id="rId126" Type="http://schemas.openxmlformats.org/officeDocument/2006/relationships/hyperlink" Target="https://4ammedia.zendesk.com/agent/tickets/337811" TargetMode="External"/><Relationship Id="rId121" Type="http://schemas.openxmlformats.org/officeDocument/2006/relationships/hyperlink" Target="https://4ammedia.zendesk.com/agent/tickets/330832" TargetMode="External"/><Relationship Id="rId120" Type="http://schemas.openxmlformats.org/officeDocument/2006/relationships/hyperlink" Target="https://4ammedia.zendesk.com/agent/tickets/329597" TargetMode="External"/><Relationship Id="rId125" Type="http://schemas.openxmlformats.org/officeDocument/2006/relationships/hyperlink" Target="https://4ammedia.zendesk.com/agent/tickets/337605" TargetMode="External"/><Relationship Id="rId124" Type="http://schemas.openxmlformats.org/officeDocument/2006/relationships/hyperlink" Target="https://4ammedia.zendesk.com/agent/tickets/337042" TargetMode="External"/><Relationship Id="rId123" Type="http://schemas.openxmlformats.org/officeDocument/2006/relationships/hyperlink" Target="https://4ammedia.zendesk.com/agent/tickets/331058" TargetMode="External"/><Relationship Id="rId122" Type="http://schemas.openxmlformats.org/officeDocument/2006/relationships/hyperlink" Target="https://4ammedia.zendesk.com/agent/tickets/330893" TargetMode="External"/><Relationship Id="rId95" Type="http://schemas.openxmlformats.org/officeDocument/2006/relationships/hyperlink" Target="https://4ammedia.zendesk.com/agent/tickets/309048" TargetMode="External"/><Relationship Id="rId94" Type="http://schemas.openxmlformats.org/officeDocument/2006/relationships/hyperlink" Target="https://4ammedia.zendesk.com/agent/tickets/308953" TargetMode="External"/><Relationship Id="rId97" Type="http://schemas.openxmlformats.org/officeDocument/2006/relationships/hyperlink" Target="https://4ammedia.zendesk.com/agent/tickets/310516" TargetMode="External"/><Relationship Id="rId96" Type="http://schemas.openxmlformats.org/officeDocument/2006/relationships/hyperlink" Target="https://4ammedia.zendesk.com/agent/tickets/309139" TargetMode="External"/><Relationship Id="rId99" Type="http://schemas.openxmlformats.org/officeDocument/2006/relationships/hyperlink" Target="https://4ammedia.zendesk.com/agent/tickets/311096" TargetMode="External"/><Relationship Id="rId98" Type="http://schemas.openxmlformats.org/officeDocument/2006/relationships/hyperlink" Target="https://4ammedia.zendesk.com/agent/tickets/310887" TargetMode="External"/><Relationship Id="rId91" Type="http://schemas.openxmlformats.org/officeDocument/2006/relationships/hyperlink" Target="https://4ammedia.zendesk.com/agent/tickets/304511" TargetMode="External"/><Relationship Id="rId90" Type="http://schemas.openxmlformats.org/officeDocument/2006/relationships/hyperlink" Target="https://4ammedia.zendesk.com/agent/tickets/302433" TargetMode="External"/><Relationship Id="rId93" Type="http://schemas.openxmlformats.org/officeDocument/2006/relationships/hyperlink" Target="https://4ammedia.zendesk.com/agent/tickets/304934" TargetMode="External"/><Relationship Id="rId92" Type="http://schemas.openxmlformats.org/officeDocument/2006/relationships/hyperlink" Target="https://4ammedia.zendesk.com/agent/tickets/304650" TargetMode="External"/><Relationship Id="rId118" Type="http://schemas.openxmlformats.org/officeDocument/2006/relationships/hyperlink" Target="https://4ammedia.zendesk.com/agent/tickets/329338" TargetMode="External"/><Relationship Id="rId117" Type="http://schemas.openxmlformats.org/officeDocument/2006/relationships/hyperlink" Target="https://4ammedia.zendesk.com/agent/tickets/328037" TargetMode="External"/><Relationship Id="rId116" Type="http://schemas.openxmlformats.org/officeDocument/2006/relationships/hyperlink" Target="https://4ammedia.zendesk.com/agent/tickets/327922" TargetMode="External"/><Relationship Id="rId115" Type="http://schemas.openxmlformats.org/officeDocument/2006/relationships/hyperlink" Target="https://4ammedia.zendesk.com/agent/tickets/327190" TargetMode="External"/><Relationship Id="rId119" Type="http://schemas.openxmlformats.org/officeDocument/2006/relationships/hyperlink" Target="https://4ammedia.zendesk.com/agent/tickets/329395" TargetMode="External"/><Relationship Id="rId110" Type="http://schemas.openxmlformats.org/officeDocument/2006/relationships/hyperlink" Target="https://4ammedia.zendesk.com/agent/tickets/325057" TargetMode="External"/><Relationship Id="rId114" Type="http://schemas.openxmlformats.org/officeDocument/2006/relationships/hyperlink" Target="https://4ammedia.zendesk.com/agent/tickets/318543" TargetMode="External"/><Relationship Id="rId113" Type="http://schemas.openxmlformats.org/officeDocument/2006/relationships/hyperlink" Target="https://4ammedia.zendesk.com/agent/tickets/317940" TargetMode="External"/><Relationship Id="rId112" Type="http://schemas.openxmlformats.org/officeDocument/2006/relationships/hyperlink" Target="https://4ammedia.zendesk.com/agent/tickets/317754" TargetMode="External"/><Relationship Id="rId111" Type="http://schemas.openxmlformats.org/officeDocument/2006/relationships/hyperlink" Target="https://4ammedia.zendesk.com/agent/tickets/325086"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4ammedia.zendesk.com/agent/tickets/269513" TargetMode="External"/><Relationship Id="rId42" Type="http://schemas.openxmlformats.org/officeDocument/2006/relationships/hyperlink" Target="https://4ammedia.zendesk.com/agent/tickets/269697" TargetMode="External"/><Relationship Id="rId41" Type="http://schemas.openxmlformats.org/officeDocument/2006/relationships/hyperlink" Target="https://4ammedia.zendesk.com/agent/tickets/269672" TargetMode="External"/><Relationship Id="rId44" Type="http://schemas.openxmlformats.org/officeDocument/2006/relationships/hyperlink" Target="https://4ammedia.zendesk.com/agent/tickets/273327" TargetMode="External"/><Relationship Id="rId43" Type="http://schemas.openxmlformats.org/officeDocument/2006/relationships/hyperlink" Target="https://4ammedia.zendesk.com/agent/tickets/273172" TargetMode="External"/><Relationship Id="rId46" Type="http://schemas.openxmlformats.org/officeDocument/2006/relationships/hyperlink" Target="https://4ammedia.zendesk.com/agent/tickets/276368" TargetMode="External"/><Relationship Id="rId45" Type="http://schemas.openxmlformats.org/officeDocument/2006/relationships/hyperlink" Target="https://4ammedia.zendesk.com/agent/tickets/273459" TargetMode="External"/><Relationship Id="rId48" Type="http://schemas.openxmlformats.org/officeDocument/2006/relationships/hyperlink" Target="https://4ammedia.zendesk.com/agent/tickets/276656" TargetMode="External"/><Relationship Id="rId47" Type="http://schemas.openxmlformats.org/officeDocument/2006/relationships/hyperlink" Target="https://4ammedia.zendesk.com/agent/tickets/276462" TargetMode="External"/><Relationship Id="rId49" Type="http://schemas.openxmlformats.org/officeDocument/2006/relationships/hyperlink" Target="https://4ammedia.zendesk.com/agent/tickets/278079" TargetMode="External"/><Relationship Id="rId31" Type="http://schemas.openxmlformats.org/officeDocument/2006/relationships/hyperlink" Target="https://4ammedia.zendesk.com/agent/tickets/262991" TargetMode="External"/><Relationship Id="rId30" Type="http://schemas.openxmlformats.org/officeDocument/2006/relationships/hyperlink" Target="https://4ammedia.zendesk.com/agent/tickets/261660" TargetMode="External"/><Relationship Id="rId33" Type="http://schemas.openxmlformats.org/officeDocument/2006/relationships/hyperlink" Target="https://4ammedia.zendesk.com/agent/tickets/263653" TargetMode="External"/><Relationship Id="rId32" Type="http://schemas.openxmlformats.org/officeDocument/2006/relationships/hyperlink" Target="https://4ammedia.zendesk.com/agent/tickets/263282" TargetMode="External"/><Relationship Id="rId35" Type="http://schemas.openxmlformats.org/officeDocument/2006/relationships/hyperlink" Target="https://4ammedia.zendesk.com/agent/tickets/265403" TargetMode="External"/><Relationship Id="rId34" Type="http://schemas.openxmlformats.org/officeDocument/2006/relationships/hyperlink" Target="https://4ammedia.zendesk.com/agent/tickets/265337" TargetMode="External"/><Relationship Id="rId37" Type="http://schemas.openxmlformats.org/officeDocument/2006/relationships/hyperlink" Target="https://4ammedia.zendesk.com/agent/tickets/267801" TargetMode="External"/><Relationship Id="rId36" Type="http://schemas.openxmlformats.org/officeDocument/2006/relationships/hyperlink" Target="https://4ammedia.zendesk.com/agent/tickets/265441" TargetMode="External"/><Relationship Id="rId175" Type="http://schemas.openxmlformats.org/officeDocument/2006/relationships/drawing" Target="../drawings/drawing9.xml"/><Relationship Id="rId39" Type="http://schemas.openxmlformats.org/officeDocument/2006/relationships/hyperlink" Target="https://4ammedia.zendesk.com/agent/tickets/268102" TargetMode="External"/><Relationship Id="rId174" Type="http://schemas.openxmlformats.org/officeDocument/2006/relationships/hyperlink" Target="https://4ammedia.zendesk.com/agent/tickets/419848" TargetMode="External"/><Relationship Id="rId38" Type="http://schemas.openxmlformats.org/officeDocument/2006/relationships/hyperlink" Target="https://4ammedia.zendesk.com/agent/tickets/267944" TargetMode="External"/><Relationship Id="rId173" Type="http://schemas.openxmlformats.org/officeDocument/2006/relationships/hyperlink" Target="https://4ammedia.zendesk.com/agent/tickets/419688" TargetMode="External"/><Relationship Id="rId20" Type="http://schemas.openxmlformats.org/officeDocument/2006/relationships/hyperlink" Target="https://4ammedia.zendesk.com/agent/tickets/252276" TargetMode="External"/><Relationship Id="rId22" Type="http://schemas.openxmlformats.org/officeDocument/2006/relationships/hyperlink" Target="https://4ammedia.zendesk.com/agent/tickets/254686" TargetMode="External"/><Relationship Id="rId21" Type="http://schemas.openxmlformats.org/officeDocument/2006/relationships/hyperlink" Target="https://4ammedia.zendesk.com/agent/tickets/251918" TargetMode="External"/><Relationship Id="rId24" Type="http://schemas.openxmlformats.org/officeDocument/2006/relationships/hyperlink" Target="https://4ammedia.zendesk.com/agent/tickets/255022" TargetMode="External"/><Relationship Id="rId23" Type="http://schemas.openxmlformats.org/officeDocument/2006/relationships/hyperlink" Target="https://4ammedia.zendesk.com/agent/tickets/254960" TargetMode="External"/><Relationship Id="rId26" Type="http://schemas.openxmlformats.org/officeDocument/2006/relationships/hyperlink" Target="https://4ammedia.zendesk.com/agent/tickets/260160" TargetMode="External"/><Relationship Id="rId25" Type="http://schemas.openxmlformats.org/officeDocument/2006/relationships/hyperlink" Target="https://4ammedia.zendesk.com/agent/tickets/260104" TargetMode="External"/><Relationship Id="rId28" Type="http://schemas.openxmlformats.org/officeDocument/2006/relationships/hyperlink" Target="https://4ammedia.zendesk.com/agent/tickets/261437" TargetMode="External"/><Relationship Id="rId27" Type="http://schemas.openxmlformats.org/officeDocument/2006/relationships/hyperlink" Target="https://4ammedia.zendesk.com/agent/tickets/260193" TargetMode="External"/><Relationship Id="rId29" Type="http://schemas.openxmlformats.org/officeDocument/2006/relationships/hyperlink" Target="https://4ammedia.zendesk.com/agent/tickets/261529" TargetMode="External"/><Relationship Id="rId11" Type="http://schemas.openxmlformats.org/officeDocument/2006/relationships/hyperlink" Target="https://4ammedia.zendesk.com/agent/tickets/243386" TargetMode="External"/><Relationship Id="rId10" Type="http://schemas.openxmlformats.org/officeDocument/2006/relationships/hyperlink" Target="https://4ammedia.zendesk.com/agent/tickets/243296" TargetMode="External"/><Relationship Id="rId13" Type="http://schemas.openxmlformats.org/officeDocument/2006/relationships/hyperlink" Target="https://4ammedia.zendesk.com/agent/tickets/248355" TargetMode="External"/><Relationship Id="rId12" Type="http://schemas.openxmlformats.org/officeDocument/2006/relationships/hyperlink" Target="https://4ammedia.zendesk.com/agent/tickets/243544" TargetMode="External"/><Relationship Id="rId15" Type="http://schemas.openxmlformats.org/officeDocument/2006/relationships/hyperlink" Target="https://4ammedia.zendesk.com/agent/tickets/248481" TargetMode="External"/><Relationship Id="rId14" Type="http://schemas.openxmlformats.org/officeDocument/2006/relationships/hyperlink" Target="https://4ammedia.zendesk.com/agent/tickets/248429" TargetMode="External"/><Relationship Id="rId17" Type="http://schemas.openxmlformats.org/officeDocument/2006/relationships/hyperlink" Target="https://4ammedia.zendesk.com/agent/tickets/250378" TargetMode="External"/><Relationship Id="rId16" Type="http://schemas.openxmlformats.org/officeDocument/2006/relationships/hyperlink" Target="https://4ammedia.zendesk.com/agent/tickets/250325" TargetMode="External"/><Relationship Id="rId19" Type="http://schemas.openxmlformats.org/officeDocument/2006/relationships/hyperlink" Target="https://4ammedia.zendesk.com/agent/tickets/251780" TargetMode="External"/><Relationship Id="rId18" Type="http://schemas.openxmlformats.org/officeDocument/2006/relationships/hyperlink" Target="https://4ammedia.zendesk.com/agent/tickets/250680" TargetMode="External"/><Relationship Id="rId84" Type="http://schemas.openxmlformats.org/officeDocument/2006/relationships/hyperlink" Target="https://4ammedia.zendesk.com/agent/tickets/306921" TargetMode="External"/><Relationship Id="rId83" Type="http://schemas.openxmlformats.org/officeDocument/2006/relationships/hyperlink" Target="https://4ammedia.zendesk.com/agent/tickets/306877" TargetMode="External"/><Relationship Id="rId86" Type="http://schemas.openxmlformats.org/officeDocument/2006/relationships/hyperlink" Target="https://4ammedia.zendesk.com/agent/tickets/308822" TargetMode="External"/><Relationship Id="rId85" Type="http://schemas.openxmlformats.org/officeDocument/2006/relationships/hyperlink" Target="https://4ammedia.zendesk.com/agent/tickets/308578" TargetMode="External"/><Relationship Id="rId88" Type="http://schemas.openxmlformats.org/officeDocument/2006/relationships/hyperlink" Target="https://4ammedia.zendesk.com/agent/tickets/313829" TargetMode="External"/><Relationship Id="rId150" Type="http://schemas.openxmlformats.org/officeDocument/2006/relationships/hyperlink" Target="https://4ammedia.zendesk.com/agent/tickets/387123" TargetMode="External"/><Relationship Id="rId87" Type="http://schemas.openxmlformats.org/officeDocument/2006/relationships/hyperlink" Target="https://4ammedia.zendesk.com/agent/tickets/308896" TargetMode="External"/><Relationship Id="rId89" Type="http://schemas.openxmlformats.org/officeDocument/2006/relationships/hyperlink" Target="https://4ammedia.zendesk.com/agent/tickets/313967" TargetMode="External"/><Relationship Id="rId80" Type="http://schemas.openxmlformats.org/officeDocument/2006/relationships/hyperlink" Target="https://4ammedia.zendesk.com/agent/tickets/304558" TargetMode="External"/><Relationship Id="rId82" Type="http://schemas.openxmlformats.org/officeDocument/2006/relationships/hyperlink" Target="https://4ammedia.zendesk.com/agent/tickets/306715" TargetMode="External"/><Relationship Id="rId81" Type="http://schemas.openxmlformats.org/officeDocument/2006/relationships/hyperlink" Target="https://4ammedia.zendesk.com/agent/tickets/304633" TargetMode="External"/><Relationship Id="rId1" Type="http://schemas.openxmlformats.org/officeDocument/2006/relationships/hyperlink" Target="https://4ammedia.zendesk.com/agent/tickets/236913" TargetMode="External"/><Relationship Id="rId2" Type="http://schemas.openxmlformats.org/officeDocument/2006/relationships/hyperlink" Target="https://4ammedia.zendesk.com/agent/tickets/236968" TargetMode="External"/><Relationship Id="rId3" Type="http://schemas.openxmlformats.org/officeDocument/2006/relationships/hyperlink" Target="https://4ammedia.zendesk.com/agent/tickets/237096" TargetMode="External"/><Relationship Id="rId149" Type="http://schemas.openxmlformats.org/officeDocument/2006/relationships/hyperlink" Target="https://4ammedia.zendesk.com/agent/tickets/386667" TargetMode="External"/><Relationship Id="rId4" Type="http://schemas.openxmlformats.org/officeDocument/2006/relationships/hyperlink" Target="https://4ammedia.zendesk.com/agent/tickets/238882" TargetMode="External"/><Relationship Id="rId148" Type="http://schemas.openxmlformats.org/officeDocument/2006/relationships/hyperlink" Target="https://4ammedia.zendesk.com/agent/tickets/384800" TargetMode="External"/><Relationship Id="rId9" Type="http://schemas.openxmlformats.org/officeDocument/2006/relationships/hyperlink" Target="https://4ammedia.zendesk.com/agent/tickets/241441" TargetMode="External"/><Relationship Id="rId143" Type="http://schemas.openxmlformats.org/officeDocument/2006/relationships/hyperlink" Target="https://4ammedia.zendesk.com/agent/tickets/377007" TargetMode="External"/><Relationship Id="rId142" Type="http://schemas.openxmlformats.org/officeDocument/2006/relationships/hyperlink" Target="https://4ammedia.zendesk.com/agent/tickets/376860" TargetMode="External"/><Relationship Id="rId141" Type="http://schemas.openxmlformats.org/officeDocument/2006/relationships/hyperlink" Target="https://4ammedia.zendesk.com/agent/tickets/374296" TargetMode="External"/><Relationship Id="rId140" Type="http://schemas.openxmlformats.org/officeDocument/2006/relationships/hyperlink" Target="https://4ammedia.zendesk.com/agent/tickets/374036" TargetMode="External"/><Relationship Id="rId5" Type="http://schemas.openxmlformats.org/officeDocument/2006/relationships/hyperlink" Target="https://4ammedia.zendesk.com/agent/tickets/239043" TargetMode="External"/><Relationship Id="rId147" Type="http://schemas.openxmlformats.org/officeDocument/2006/relationships/hyperlink" Target="https://4ammedia.zendesk.com/agent/tickets/384621" TargetMode="External"/><Relationship Id="rId6" Type="http://schemas.openxmlformats.org/officeDocument/2006/relationships/hyperlink" Target="https://4ammedia.zendesk.com/agent/tickets/239140" TargetMode="External"/><Relationship Id="rId146" Type="http://schemas.openxmlformats.org/officeDocument/2006/relationships/hyperlink" Target="https://4ammedia.zendesk.com/agent/tickets/384499" TargetMode="External"/><Relationship Id="rId7" Type="http://schemas.openxmlformats.org/officeDocument/2006/relationships/hyperlink" Target="https://4ammedia.zendesk.com/agent/tickets/241082" TargetMode="External"/><Relationship Id="rId145" Type="http://schemas.openxmlformats.org/officeDocument/2006/relationships/hyperlink" Target="https://4ammedia.zendesk.com/agent/tickets/384266" TargetMode="External"/><Relationship Id="rId8" Type="http://schemas.openxmlformats.org/officeDocument/2006/relationships/hyperlink" Target="https://4ammedia.zendesk.com/agent/tickets/241283" TargetMode="External"/><Relationship Id="rId144" Type="http://schemas.openxmlformats.org/officeDocument/2006/relationships/hyperlink" Target="https://4ammedia.zendesk.com/agent/tickets/377130" TargetMode="External"/><Relationship Id="rId73" Type="http://schemas.openxmlformats.org/officeDocument/2006/relationships/hyperlink" Target="https://4ammedia.zendesk.com/agent/tickets/299503" TargetMode="External"/><Relationship Id="rId72" Type="http://schemas.openxmlformats.org/officeDocument/2006/relationships/hyperlink" Target="https://4ammedia.zendesk.com/agent/tickets/295445" TargetMode="External"/><Relationship Id="rId75" Type="http://schemas.openxmlformats.org/officeDocument/2006/relationships/hyperlink" Target="https://4ammedia.zendesk.com/agent/tickets/300665" TargetMode="External"/><Relationship Id="rId74" Type="http://schemas.openxmlformats.org/officeDocument/2006/relationships/hyperlink" Target="https://4ammedia.zendesk.com/agent/tickets/300548" TargetMode="External"/><Relationship Id="rId77" Type="http://schemas.openxmlformats.org/officeDocument/2006/relationships/hyperlink" Target="https://4ammedia.zendesk.com/agent/tickets/302462" TargetMode="External"/><Relationship Id="rId76" Type="http://schemas.openxmlformats.org/officeDocument/2006/relationships/hyperlink" Target="https://4ammedia.zendesk.com/agent/tickets/302040" TargetMode="External"/><Relationship Id="rId79" Type="http://schemas.openxmlformats.org/officeDocument/2006/relationships/hyperlink" Target="https://4ammedia.zendesk.com/agent/tickets/304478" TargetMode="External"/><Relationship Id="rId78" Type="http://schemas.openxmlformats.org/officeDocument/2006/relationships/hyperlink" Target="https://4ammedia.zendesk.com/agent/tickets/302539" TargetMode="External"/><Relationship Id="rId71" Type="http://schemas.openxmlformats.org/officeDocument/2006/relationships/hyperlink" Target="https://4ammedia.zendesk.com/agent/tickets/295418" TargetMode="External"/><Relationship Id="rId70" Type="http://schemas.openxmlformats.org/officeDocument/2006/relationships/hyperlink" Target="https://4ammedia.zendesk.com/agent/tickets/295266" TargetMode="External"/><Relationship Id="rId139" Type="http://schemas.openxmlformats.org/officeDocument/2006/relationships/hyperlink" Target="https://4ammedia.zendesk.com/agent/tickets/373684" TargetMode="External"/><Relationship Id="rId138" Type="http://schemas.openxmlformats.org/officeDocument/2006/relationships/hyperlink" Target="https://4ammedia.zendesk.com/agent/tickets/369882" TargetMode="External"/><Relationship Id="rId137" Type="http://schemas.openxmlformats.org/officeDocument/2006/relationships/hyperlink" Target="https://4ammedia.zendesk.com/agent/tickets/369611" TargetMode="External"/><Relationship Id="rId132" Type="http://schemas.openxmlformats.org/officeDocument/2006/relationships/hyperlink" Target="https://4ammedia.zendesk.com/agent/tickets/364033" TargetMode="External"/><Relationship Id="rId131" Type="http://schemas.openxmlformats.org/officeDocument/2006/relationships/hyperlink" Target="https://4ammedia.zendesk.com/agent/tickets/364009" TargetMode="External"/><Relationship Id="rId130" Type="http://schemas.openxmlformats.org/officeDocument/2006/relationships/hyperlink" Target="https://4ammedia.zendesk.com/agent/tickets/363923" TargetMode="External"/><Relationship Id="rId136" Type="http://schemas.openxmlformats.org/officeDocument/2006/relationships/hyperlink" Target="https://4ammedia.zendesk.com/agent/tickets/369134" TargetMode="External"/><Relationship Id="rId135" Type="http://schemas.openxmlformats.org/officeDocument/2006/relationships/hyperlink" Target="https://4ammedia.zendesk.com/agent/tickets/366745" TargetMode="External"/><Relationship Id="rId134" Type="http://schemas.openxmlformats.org/officeDocument/2006/relationships/hyperlink" Target="https://4ammedia.zendesk.com/agent/tickets/366508" TargetMode="External"/><Relationship Id="rId133" Type="http://schemas.openxmlformats.org/officeDocument/2006/relationships/hyperlink" Target="https://4ammedia.zendesk.com/agent/tickets/366302" TargetMode="External"/><Relationship Id="rId62" Type="http://schemas.openxmlformats.org/officeDocument/2006/relationships/hyperlink" Target="https://4ammedia.zendesk.com/agent/tickets/289180" TargetMode="External"/><Relationship Id="rId61" Type="http://schemas.openxmlformats.org/officeDocument/2006/relationships/hyperlink" Target="https://4ammedia.zendesk.com/agent/tickets/288971" TargetMode="External"/><Relationship Id="rId64" Type="http://schemas.openxmlformats.org/officeDocument/2006/relationships/hyperlink" Target="https://4ammedia.zendesk.com/agent/tickets/291419" TargetMode="External"/><Relationship Id="rId63" Type="http://schemas.openxmlformats.org/officeDocument/2006/relationships/hyperlink" Target="https://4ammedia.zendesk.com/agent/tickets/289271" TargetMode="External"/><Relationship Id="rId66" Type="http://schemas.openxmlformats.org/officeDocument/2006/relationships/hyperlink" Target="https://4ammedia.zendesk.com/agent/tickets/291663" TargetMode="External"/><Relationship Id="rId172" Type="http://schemas.openxmlformats.org/officeDocument/2006/relationships/hyperlink" Target="https://4ammedia.zendesk.com/agent/tickets/419499" TargetMode="External"/><Relationship Id="rId65" Type="http://schemas.openxmlformats.org/officeDocument/2006/relationships/hyperlink" Target="https://4ammedia.zendesk.com/agent/tickets/291571" TargetMode="External"/><Relationship Id="rId171" Type="http://schemas.openxmlformats.org/officeDocument/2006/relationships/hyperlink" Target="https://4ammedia.zendesk.com/agent/tickets/416515" TargetMode="External"/><Relationship Id="rId68" Type="http://schemas.openxmlformats.org/officeDocument/2006/relationships/hyperlink" Target="https://4ammedia.zendesk.com/agent/tickets/293757" TargetMode="External"/><Relationship Id="rId170" Type="http://schemas.openxmlformats.org/officeDocument/2006/relationships/hyperlink" Target="https://4ammedia.zendesk.com/agent/tickets/416249" TargetMode="External"/><Relationship Id="rId67" Type="http://schemas.openxmlformats.org/officeDocument/2006/relationships/hyperlink" Target="https://4ammedia.zendesk.com/agent/tickets/293706" TargetMode="External"/><Relationship Id="rId60" Type="http://schemas.openxmlformats.org/officeDocument/2006/relationships/hyperlink" Target="https://4ammedia.zendesk.com/agent/tickets/286245" TargetMode="External"/><Relationship Id="rId165" Type="http://schemas.openxmlformats.org/officeDocument/2006/relationships/hyperlink" Target="https://4ammedia.zendesk.com/agent/tickets/409386" TargetMode="External"/><Relationship Id="rId69" Type="http://schemas.openxmlformats.org/officeDocument/2006/relationships/hyperlink" Target="https://4ammedia.zendesk.com/agent/tickets/293839" TargetMode="External"/><Relationship Id="rId164" Type="http://schemas.openxmlformats.org/officeDocument/2006/relationships/hyperlink" Target="https://4ammedia.zendesk.com/agent/tickets/409288" TargetMode="External"/><Relationship Id="rId163" Type="http://schemas.openxmlformats.org/officeDocument/2006/relationships/hyperlink" Target="https://4ammedia.zendesk.com/agent/tickets/408861" TargetMode="External"/><Relationship Id="rId162" Type="http://schemas.openxmlformats.org/officeDocument/2006/relationships/hyperlink" Target="https://4ammedia.zendesk.com/agent/tickets/399848" TargetMode="External"/><Relationship Id="rId169" Type="http://schemas.openxmlformats.org/officeDocument/2006/relationships/hyperlink" Target="https://4ammedia.zendesk.com/agent/tickets/415579" TargetMode="External"/><Relationship Id="rId168" Type="http://schemas.openxmlformats.org/officeDocument/2006/relationships/hyperlink" Target="https://4ammedia.zendesk.com/agent/tickets/412754" TargetMode="External"/><Relationship Id="rId167" Type="http://schemas.openxmlformats.org/officeDocument/2006/relationships/hyperlink" Target="https://4ammedia.zendesk.com/agent/tickets/412570" TargetMode="External"/><Relationship Id="rId166" Type="http://schemas.openxmlformats.org/officeDocument/2006/relationships/hyperlink" Target="https://4ammedia.zendesk.com/agent/tickets/412341" TargetMode="External"/><Relationship Id="rId51" Type="http://schemas.openxmlformats.org/officeDocument/2006/relationships/hyperlink" Target="https://4ammedia.zendesk.com/agent/tickets/278210" TargetMode="External"/><Relationship Id="rId50" Type="http://schemas.openxmlformats.org/officeDocument/2006/relationships/hyperlink" Target="https://4ammedia.zendesk.com/agent/tickets/278137" TargetMode="External"/><Relationship Id="rId53" Type="http://schemas.openxmlformats.org/officeDocument/2006/relationships/hyperlink" Target="https://4ammedia.zendesk.com/agent/tickets/280829" TargetMode="External"/><Relationship Id="rId52" Type="http://schemas.openxmlformats.org/officeDocument/2006/relationships/hyperlink" Target="https://4ammedia.zendesk.com/agent/tickets/280718" TargetMode="External"/><Relationship Id="rId55" Type="http://schemas.openxmlformats.org/officeDocument/2006/relationships/hyperlink" Target="https://4ammedia.zendesk.com/agent/tickets/282179" TargetMode="External"/><Relationship Id="rId161" Type="http://schemas.openxmlformats.org/officeDocument/2006/relationships/hyperlink" Target="https://4ammedia.zendesk.com/agent/tickets/399737" TargetMode="External"/><Relationship Id="rId54" Type="http://schemas.openxmlformats.org/officeDocument/2006/relationships/hyperlink" Target="https://4ammedia.zendesk.com/agent/tickets/280931" TargetMode="External"/><Relationship Id="rId160" Type="http://schemas.openxmlformats.org/officeDocument/2006/relationships/hyperlink" Target="https://4ammedia.zendesk.com/agent/tickets/399398" TargetMode="External"/><Relationship Id="rId57" Type="http://schemas.openxmlformats.org/officeDocument/2006/relationships/hyperlink" Target="https://4ammedia.zendesk.com/agent/tickets/282458" TargetMode="External"/><Relationship Id="rId56" Type="http://schemas.openxmlformats.org/officeDocument/2006/relationships/hyperlink" Target="https://4ammedia.zendesk.com/agent/tickets/282320" TargetMode="External"/><Relationship Id="rId159" Type="http://schemas.openxmlformats.org/officeDocument/2006/relationships/hyperlink" Target="https://4ammedia.zendesk.com/agent/tickets/396509" TargetMode="External"/><Relationship Id="rId59" Type="http://schemas.openxmlformats.org/officeDocument/2006/relationships/hyperlink" Target="https://4ammedia.zendesk.com/agent/tickets/286221" TargetMode="External"/><Relationship Id="rId154" Type="http://schemas.openxmlformats.org/officeDocument/2006/relationships/hyperlink" Target="https://4ammedia.zendesk.com/agent/tickets/393254" TargetMode="External"/><Relationship Id="rId58" Type="http://schemas.openxmlformats.org/officeDocument/2006/relationships/hyperlink" Target="https://4ammedia.zendesk.com/agent/tickets/286126" TargetMode="External"/><Relationship Id="rId153" Type="http://schemas.openxmlformats.org/officeDocument/2006/relationships/hyperlink" Target="https://4ammedia.zendesk.com/agent/tickets/390254" TargetMode="External"/><Relationship Id="rId152" Type="http://schemas.openxmlformats.org/officeDocument/2006/relationships/hyperlink" Target="https://4ammedia.zendesk.com/agent/tickets/389983" TargetMode="External"/><Relationship Id="rId151" Type="http://schemas.openxmlformats.org/officeDocument/2006/relationships/hyperlink" Target="https://4ammedia.zendesk.com/agent/tickets/389827" TargetMode="External"/><Relationship Id="rId158" Type="http://schemas.openxmlformats.org/officeDocument/2006/relationships/hyperlink" Target="https://4ammedia.zendesk.com/agent/tickets/396423" TargetMode="External"/><Relationship Id="rId157" Type="http://schemas.openxmlformats.org/officeDocument/2006/relationships/hyperlink" Target="https://4ammedia.zendesk.com/agent/tickets/396234" TargetMode="External"/><Relationship Id="rId156" Type="http://schemas.openxmlformats.org/officeDocument/2006/relationships/hyperlink" Target="https://4ammedia.zendesk.com/agent/tickets/393408" TargetMode="External"/><Relationship Id="rId155" Type="http://schemas.openxmlformats.org/officeDocument/2006/relationships/hyperlink" Target="https://4ammedia.zendesk.com/agent/tickets/393337" TargetMode="External"/><Relationship Id="rId107" Type="http://schemas.openxmlformats.org/officeDocument/2006/relationships/hyperlink" Target="https://4ammedia.zendesk.com/agent/tickets/329621" TargetMode="External"/><Relationship Id="rId106" Type="http://schemas.openxmlformats.org/officeDocument/2006/relationships/hyperlink" Target="https://4ammedia.zendesk.com/agent/tickets/329493" TargetMode="External"/><Relationship Id="rId105" Type="http://schemas.openxmlformats.org/officeDocument/2006/relationships/hyperlink" Target="https://4ammedia.zendesk.com/agent/tickets/327130" TargetMode="External"/><Relationship Id="rId104" Type="http://schemas.openxmlformats.org/officeDocument/2006/relationships/hyperlink" Target="https://4ammedia.zendesk.com/agent/tickets/327113" TargetMode="External"/><Relationship Id="rId109" Type="http://schemas.openxmlformats.org/officeDocument/2006/relationships/hyperlink" Target="https://4ammedia.zendesk.com/agent/tickets/331202" TargetMode="External"/><Relationship Id="rId108" Type="http://schemas.openxmlformats.org/officeDocument/2006/relationships/hyperlink" Target="https://4ammedia.zendesk.com/agent/tickets/329731" TargetMode="External"/><Relationship Id="rId103" Type="http://schemas.openxmlformats.org/officeDocument/2006/relationships/hyperlink" Target="https://4ammedia.zendesk.com/agent/tickets/327016" TargetMode="External"/><Relationship Id="rId102" Type="http://schemas.openxmlformats.org/officeDocument/2006/relationships/hyperlink" Target="https://4ammedia.zendesk.com/agent/tickets/318742" TargetMode="External"/><Relationship Id="rId101" Type="http://schemas.openxmlformats.org/officeDocument/2006/relationships/hyperlink" Target="https://4ammedia.zendesk.com/agent/tickets/318524" TargetMode="External"/><Relationship Id="rId100" Type="http://schemas.openxmlformats.org/officeDocument/2006/relationships/hyperlink" Target="https://4ammedia.zendesk.com/agent/tickets/318304" TargetMode="External"/><Relationship Id="rId129" Type="http://schemas.openxmlformats.org/officeDocument/2006/relationships/hyperlink" Target="https://4ammedia.zendesk.com/agent/tickets/356108" TargetMode="External"/><Relationship Id="rId128" Type="http://schemas.openxmlformats.org/officeDocument/2006/relationships/hyperlink" Target="https://4ammedia.zendesk.com/agent/tickets/356079" TargetMode="External"/><Relationship Id="rId127" Type="http://schemas.openxmlformats.org/officeDocument/2006/relationships/hyperlink" Target="https://4ammedia.zendesk.com/agent/tickets/355903" TargetMode="External"/><Relationship Id="rId126" Type="http://schemas.openxmlformats.org/officeDocument/2006/relationships/hyperlink" Target="https://4ammedia.zendesk.com/agent/tickets/353801" TargetMode="External"/><Relationship Id="rId121" Type="http://schemas.openxmlformats.org/officeDocument/2006/relationships/hyperlink" Target="https://4ammedia.zendesk.com/agent/tickets/350021" TargetMode="External"/><Relationship Id="rId120" Type="http://schemas.openxmlformats.org/officeDocument/2006/relationships/hyperlink" Target="https://4ammedia.zendesk.com/agent/tickets/347430" TargetMode="External"/><Relationship Id="rId125" Type="http://schemas.openxmlformats.org/officeDocument/2006/relationships/hyperlink" Target="https://4ammedia.zendesk.com/agent/tickets/353710" TargetMode="External"/><Relationship Id="rId124" Type="http://schemas.openxmlformats.org/officeDocument/2006/relationships/hyperlink" Target="https://4ammedia.zendesk.com/agent/tickets/353298" TargetMode="External"/><Relationship Id="rId123" Type="http://schemas.openxmlformats.org/officeDocument/2006/relationships/hyperlink" Target="https://4ammedia.zendesk.com/agent/tickets/350775" TargetMode="External"/><Relationship Id="rId122" Type="http://schemas.openxmlformats.org/officeDocument/2006/relationships/hyperlink" Target="https://4ammedia.zendesk.com/agent/tickets/350608" TargetMode="External"/><Relationship Id="rId95" Type="http://schemas.openxmlformats.org/officeDocument/2006/relationships/hyperlink" Target="https://4ammedia.zendesk.com/agent/tickets/320564" TargetMode="External"/><Relationship Id="rId94" Type="http://schemas.openxmlformats.org/officeDocument/2006/relationships/hyperlink" Target="https://4ammedia.zendesk.com/agent/tickets/320455" TargetMode="External"/><Relationship Id="rId97" Type="http://schemas.openxmlformats.org/officeDocument/2006/relationships/hyperlink" Target="https://4ammedia.zendesk.com/agent/tickets/322808" TargetMode="External"/><Relationship Id="rId96" Type="http://schemas.openxmlformats.org/officeDocument/2006/relationships/hyperlink" Target="https://4ammedia.zendesk.com/agent/tickets/320756" TargetMode="External"/><Relationship Id="rId99" Type="http://schemas.openxmlformats.org/officeDocument/2006/relationships/hyperlink" Target="https://4ammedia.zendesk.com/agent/tickets/323031" TargetMode="External"/><Relationship Id="rId98" Type="http://schemas.openxmlformats.org/officeDocument/2006/relationships/hyperlink" Target="https://4ammedia.zendesk.com/agent/tickets/322933" TargetMode="External"/><Relationship Id="rId91" Type="http://schemas.openxmlformats.org/officeDocument/2006/relationships/hyperlink" Target="https://4ammedia.zendesk.com/agent/tickets/315881" TargetMode="External"/><Relationship Id="rId90" Type="http://schemas.openxmlformats.org/officeDocument/2006/relationships/hyperlink" Target="https://4ammedia.zendesk.com/agent/tickets/314018" TargetMode="External"/><Relationship Id="rId93" Type="http://schemas.openxmlformats.org/officeDocument/2006/relationships/hyperlink" Target="https://4ammedia.zendesk.com/agent/tickets/316331" TargetMode="External"/><Relationship Id="rId92" Type="http://schemas.openxmlformats.org/officeDocument/2006/relationships/hyperlink" Target="https://4ammedia.zendesk.com/agent/tickets/316155" TargetMode="External"/><Relationship Id="rId118" Type="http://schemas.openxmlformats.org/officeDocument/2006/relationships/hyperlink" Target="https://4ammedia.zendesk.com/agent/tickets/347229" TargetMode="External"/><Relationship Id="rId117" Type="http://schemas.openxmlformats.org/officeDocument/2006/relationships/hyperlink" Target="https://4ammedia.zendesk.com/agent/tickets/337485" TargetMode="External"/><Relationship Id="rId116" Type="http://schemas.openxmlformats.org/officeDocument/2006/relationships/hyperlink" Target="https://4ammedia.zendesk.com/agent/tickets/337434" TargetMode="External"/><Relationship Id="rId115" Type="http://schemas.openxmlformats.org/officeDocument/2006/relationships/hyperlink" Target="https://4ammedia.zendesk.com/agent/tickets/337165" TargetMode="External"/><Relationship Id="rId119" Type="http://schemas.openxmlformats.org/officeDocument/2006/relationships/hyperlink" Target="https://4ammedia.zendesk.com/agent/tickets/347384" TargetMode="External"/><Relationship Id="rId110" Type="http://schemas.openxmlformats.org/officeDocument/2006/relationships/hyperlink" Target="https://4ammedia.zendesk.com/agent/tickets/331342" TargetMode="External"/><Relationship Id="rId114" Type="http://schemas.openxmlformats.org/officeDocument/2006/relationships/hyperlink" Target="https://4ammedia.zendesk.com/agent/tickets/334039" TargetMode="External"/><Relationship Id="rId113" Type="http://schemas.openxmlformats.org/officeDocument/2006/relationships/hyperlink" Target="https://4ammedia.zendesk.com/agent/tickets/333834" TargetMode="External"/><Relationship Id="rId112" Type="http://schemas.openxmlformats.org/officeDocument/2006/relationships/hyperlink" Target="https://4ammedia.zendesk.com/agent/tickets/333697" TargetMode="External"/><Relationship Id="rId111" Type="http://schemas.openxmlformats.org/officeDocument/2006/relationships/hyperlink" Target="https://4ammedia.zendesk.com/agent/tickets/331408"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4ammedia.zendesk.com/agent/tickets/273237" TargetMode="External"/><Relationship Id="rId42" Type="http://schemas.openxmlformats.org/officeDocument/2006/relationships/hyperlink" Target="https://4ammedia.zendesk.com/agent/tickets/273516" TargetMode="External"/><Relationship Id="rId41" Type="http://schemas.openxmlformats.org/officeDocument/2006/relationships/hyperlink" Target="https://4ammedia.zendesk.com/agent/tickets/273457" TargetMode="External"/><Relationship Id="rId44" Type="http://schemas.openxmlformats.org/officeDocument/2006/relationships/hyperlink" Target="https://4ammedia.zendesk.com/agent/tickets/274686" TargetMode="External"/><Relationship Id="rId43" Type="http://schemas.openxmlformats.org/officeDocument/2006/relationships/hyperlink" Target="https://4ammedia.zendesk.com/agent/tickets/274602" TargetMode="External"/><Relationship Id="rId46" Type="http://schemas.openxmlformats.org/officeDocument/2006/relationships/hyperlink" Target="https://4ammedia.zendesk.com/agent/tickets/276203" TargetMode="External"/><Relationship Id="rId45" Type="http://schemas.openxmlformats.org/officeDocument/2006/relationships/hyperlink" Target="https://4ammedia.zendesk.com/agent/tickets/274696" TargetMode="External"/><Relationship Id="rId48" Type="http://schemas.openxmlformats.org/officeDocument/2006/relationships/hyperlink" Target="https://4ammedia.zendesk.com/agent/tickets/276709" TargetMode="External"/><Relationship Id="rId47" Type="http://schemas.openxmlformats.org/officeDocument/2006/relationships/hyperlink" Target="https://4ammedia.zendesk.com/agent/tickets/276565" TargetMode="External"/><Relationship Id="rId49" Type="http://schemas.openxmlformats.org/officeDocument/2006/relationships/hyperlink" Target="https://4ammedia.zendesk.com/agent/tickets/278780" TargetMode="External"/><Relationship Id="rId31" Type="http://schemas.openxmlformats.org/officeDocument/2006/relationships/hyperlink" Target="https://4ammedia.zendesk.com/agent/tickets/263082" TargetMode="External"/><Relationship Id="rId30" Type="http://schemas.openxmlformats.org/officeDocument/2006/relationships/hyperlink" Target="https://4ammedia.zendesk.com/agent/tickets/261720" TargetMode="External"/><Relationship Id="rId33" Type="http://schemas.openxmlformats.org/officeDocument/2006/relationships/hyperlink" Target="https://4ammedia.zendesk.com/agent/tickets/263642" TargetMode="External"/><Relationship Id="rId32" Type="http://schemas.openxmlformats.org/officeDocument/2006/relationships/hyperlink" Target="https://4ammedia.zendesk.com/agent/tickets/263348" TargetMode="External"/><Relationship Id="rId35" Type="http://schemas.openxmlformats.org/officeDocument/2006/relationships/hyperlink" Target="https://4ammedia.zendesk.com/agent/tickets/266020" TargetMode="External"/><Relationship Id="rId34" Type="http://schemas.openxmlformats.org/officeDocument/2006/relationships/hyperlink" Target="https://4ammedia.zendesk.com/agent/tickets/265795" TargetMode="External"/><Relationship Id="rId37" Type="http://schemas.openxmlformats.org/officeDocument/2006/relationships/hyperlink" Target="https://4ammedia.zendesk.com/agent/tickets/267938" TargetMode="External"/><Relationship Id="rId176" Type="http://schemas.openxmlformats.org/officeDocument/2006/relationships/hyperlink" Target="https://4ammedia.zendesk.com/agent/tickets/430290" TargetMode="External"/><Relationship Id="rId36" Type="http://schemas.openxmlformats.org/officeDocument/2006/relationships/hyperlink" Target="https://4ammedia.zendesk.com/agent/tickets/266068" TargetMode="External"/><Relationship Id="rId175" Type="http://schemas.openxmlformats.org/officeDocument/2006/relationships/hyperlink" Target="https://4ammedia.zendesk.com/agent/tickets/429894" TargetMode="External"/><Relationship Id="rId39" Type="http://schemas.openxmlformats.org/officeDocument/2006/relationships/hyperlink" Target="https://4ammedia.zendesk.com/agent/tickets/268174" TargetMode="External"/><Relationship Id="rId174" Type="http://schemas.openxmlformats.org/officeDocument/2006/relationships/hyperlink" Target="https://4ammedia.zendesk.com/agent/tickets/422631" TargetMode="External"/><Relationship Id="rId38" Type="http://schemas.openxmlformats.org/officeDocument/2006/relationships/hyperlink" Target="https://4ammedia.zendesk.com/agent/tickets/268090" TargetMode="External"/><Relationship Id="rId173" Type="http://schemas.openxmlformats.org/officeDocument/2006/relationships/hyperlink" Target="https://4ammedia.zendesk.com/agent/tickets/422558" TargetMode="External"/><Relationship Id="rId178" Type="http://schemas.openxmlformats.org/officeDocument/2006/relationships/drawing" Target="../drawings/drawing10.xml"/><Relationship Id="rId177" Type="http://schemas.openxmlformats.org/officeDocument/2006/relationships/hyperlink" Target="https://4ammedia.zendesk.com/agent/tickets/430359" TargetMode="External"/><Relationship Id="rId20" Type="http://schemas.openxmlformats.org/officeDocument/2006/relationships/hyperlink" Target="https://4ammedia.zendesk.com/agent/tickets/252513" TargetMode="External"/><Relationship Id="rId22" Type="http://schemas.openxmlformats.org/officeDocument/2006/relationships/hyperlink" Target="https://4ammedia.zendesk.com/agent/tickets/254610" TargetMode="External"/><Relationship Id="rId21" Type="http://schemas.openxmlformats.org/officeDocument/2006/relationships/hyperlink" Target="https://4ammedia.zendesk.com/agent/tickets/252651" TargetMode="External"/><Relationship Id="rId24" Type="http://schemas.openxmlformats.org/officeDocument/2006/relationships/hyperlink" Target="https://4ammedia.zendesk.com/agent/tickets/254781" TargetMode="External"/><Relationship Id="rId23" Type="http://schemas.openxmlformats.org/officeDocument/2006/relationships/hyperlink" Target="https://4ammedia.zendesk.com/agent/tickets/254716" TargetMode="External"/><Relationship Id="rId26" Type="http://schemas.openxmlformats.org/officeDocument/2006/relationships/hyperlink" Target="https://4ammedia.zendesk.com/agent/tickets/260175" TargetMode="External"/><Relationship Id="rId25" Type="http://schemas.openxmlformats.org/officeDocument/2006/relationships/hyperlink" Target="https://4ammedia.zendesk.com/agent/tickets/259988" TargetMode="External"/><Relationship Id="rId28" Type="http://schemas.openxmlformats.org/officeDocument/2006/relationships/hyperlink" Target="https://4ammedia.zendesk.com/agent/tickets/261653" TargetMode="External"/><Relationship Id="rId27" Type="http://schemas.openxmlformats.org/officeDocument/2006/relationships/hyperlink" Target="https://4ammedia.zendesk.com/agent/tickets/260386" TargetMode="External"/><Relationship Id="rId29" Type="http://schemas.openxmlformats.org/officeDocument/2006/relationships/hyperlink" Target="https://4ammedia.zendesk.com/agent/tickets/261683" TargetMode="External"/><Relationship Id="rId11" Type="http://schemas.openxmlformats.org/officeDocument/2006/relationships/hyperlink" Target="https://4ammedia.zendesk.com/agent/tickets/247210" TargetMode="External"/><Relationship Id="rId10" Type="http://schemas.openxmlformats.org/officeDocument/2006/relationships/hyperlink" Target="https://4ammedia.zendesk.com/agent/tickets/247169" TargetMode="External"/><Relationship Id="rId13" Type="http://schemas.openxmlformats.org/officeDocument/2006/relationships/hyperlink" Target="https://4ammedia.zendesk.com/agent/tickets/248366" TargetMode="External"/><Relationship Id="rId12" Type="http://schemas.openxmlformats.org/officeDocument/2006/relationships/hyperlink" Target="https://4ammedia.zendesk.com/agent/tickets/247300" TargetMode="External"/><Relationship Id="rId15" Type="http://schemas.openxmlformats.org/officeDocument/2006/relationships/hyperlink" Target="https://4ammedia.zendesk.com/agent/tickets/248396" TargetMode="External"/><Relationship Id="rId14" Type="http://schemas.openxmlformats.org/officeDocument/2006/relationships/hyperlink" Target="https://4ammedia.zendesk.com/agent/tickets/248384" TargetMode="External"/><Relationship Id="rId17" Type="http://schemas.openxmlformats.org/officeDocument/2006/relationships/hyperlink" Target="https://4ammedia.zendesk.com/agent/tickets/250538" TargetMode="External"/><Relationship Id="rId16" Type="http://schemas.openxmlformats.org/officeDocument/2006/relationships/hyperlink" Target="https://4ammedia.zendesk.com/agent/tickets/250320" TargetMode="External"/><Relationship Id="rId19" Type="http://schemas.openxmlformats.org/officeDocument/2006/relationships/hyperlink" Target="https://4ammedia.zendesk.com/agent/tickets/252438" TargetMode="External"/><Relationship Id="rId18" Type="http://schemas.openxmlformats.org/officeDocument/2006/relationships/hyperlink" Target="https://4ammedia.zendesk.com/agent/tickets/250767" TargetMode="External"/><Relationship Id="rId84" Type="http://schemas.openxmlformats.org/officeDocument/2006/relationships/hyperlink" Target="https://4ammedia.zendesk.com/agent/tickets/310654" TargetMode="External"/><Relationship Id="rId83" Type="http://schemas.openxmlformats.org/officeDocument/2006/relationships/hyperlink" Target="https://4ammedia.zendesk.com/agent/tickets/310560" TargetMode="External"/><Relationship Id="rId86" Type="http://schemas.openxmlformats.org/officeDocument/2006/relationships/hyperlink" Target="https://4ammedia.zendesk.com/agent/tickets/312523" TargetMode="External"/><Relationship Id="rId85" Type="http://schemas.openxmlformats.org/officeDocument/2006/relationships/hyperlink" Target="https://4ammedia.zendesk.com/agent/tickets/312341" TargetMode="External"/><Relationship Id="rId88" Type="http://schemas.openxmlformats.org/officeDocument/2006/relationships/hyperlink" Target="https://4ammedia.zendesk.com/agent/tickets/315971" TargetMode="External"/><Relationship Id="rId150" Type="http://schemas.openxmlformats.org/officeDocument/2006/relationships/hyperlink" Target="https://4ammedia.zendesk.com/agent/tickets/389746" TargetMode="External"/><Relationship Id="rId87" Type="http://schemas.openxmlformats.org/officeDocument/2006/relationships/hyperlink" Target="https://4ammedia.zendesk.com/agent/tickets/312602" TargetMode="External"/><Relationship Id="rId89" Type="http://schemas.openxmlformats.org/officeDocument/2006/relationships/hyperlink" Target="https://4ammedia.zendesk.com/agent/tickets/316255" TargetMode="External"/><Relationship Id="rId80" Type="http://schemas.openxmlformats.org/officeDocument/2006/relationships/hyperlink" Target="https://4ammedia.zendesk.com/agent/tickets/308604" TargetMode="External"/><Relationship Id="rId82" Type="http://schemas.openxmlformats.org/officeDocument/2006/relationships/hyperlink" Target="https://4ammedia.zendesk.com/agent/tickets/310375" TargetMode="External"/><Relationship Id="rId81" Type="http://schemas.openxmlformats.org/officeDocument/2006/relationships/hyperlink" Target="https://4ammedia.zendesk.com/agent/tickets/308621" TargetMode="External"/><Relationship Id="rId1" Type="http://schemas.openxmlformats.org/officeDocument/2006/relationships/hyperlink" Target="https://4ammedia.zendesk.com/agent/tickets/236969" TargetMode="External"/><Relationship Id="rId2" Type="http://schemas.openxmlformats.org/officeDocument/2006/relationships/hyperlink" Target="https://4ammedia.zendesk.com/agent/tickets/237078" TargetMode="External"/><Relationship Id="rId3" Type="http://schemas.openxmlformats.org/officeDocument/2006/relationships/hyperlink" Target="https://4ammedia.zendesk.com/agent/tickets/237268" TargetMode="External"/><Relationship Id="rId149" Type="http://schemas.openxmlformats.org/officeDocument/2006/relationships/hyperlink" Target="https://4ammedia.zendesk.com/agent/tickets/389517" TargetMode="External"/><Relationship Id="rId4" Type="http://schemas.openxmlformats.org/officeDocument/2006/relationships/hyperlink" Target="https://4ammedia.zendesk.com/agent/tickets/238780" TargetMode="External"/><Relationship Id="rId148" Type="http://schemas.openxmlformats.org/officeDocument/2006/relationships/hyperlink" Target="https://4ammedia.zendesk.com/agent/tickets/389385" TargetMode="External"/><Relationship Id="rId9" Type="http://schemas.openxmlformats.org/officeDocument/2006/relationships/hyperlink" Target="https://4ammedia.zendesk.com/agent/tickets/240949" TargetMode="External"/><Relationship Id="rId143" Type="http://schemas.openxmlformats.org/officeDocument/2006/relationships/hyperlink" Target="https://4ammedia.zendesk.com/agent/tickets/379390" TargetMode="External"/><Relationship Id="rId142" Type="http://schemas.openxmlformats.org/officeDocument/2006/relationships/hyperlink" Target="https://4ammedia.zendesk.com/agent/tickets/378985" TargetMode="External"/><Relationship Id="rId141" Type="http://schemas.openxmlformats.org/officeDocument/2006/relationships/hyperlink" Target="https://4ammedia.zendesk.com/agent/tickets/377142" TargetMode="External"/><Relationship Id="rId140" Type="http://schemas.openxmlformats.org/officeDocument/2006/relationships/hyperlink" Target="https://4ammedia.zendesk.com/agent/tickets/377135" TargetMode="External"/><Relationship Id="rId5" Type="http://schemas.openxmlformats.org/officeDocument/2006/relationships/hyperlink" Target="https://4ammedia.zendesk.com/agent/tickets/239052" TargetMode="External"/><Relationship Id="rId147" Type="http://schemas.openxmlformats.org/officeDocument/2006/relationships/hyperlink" Target="https://4ammedia.zendesk.com/agent/tickets/384989" TargetMode="External"/><Relationship Id="rId6" Type="http://schemas.openxmlformats.org/officeDocument/2006/relationships/hyperlink" Target="https://4ammedia.zendesk.com/agent/tickets/239128" TargetMode="External"/><Relationship Id="rId146" Type="http://schemas.openxmlformats.org/officeDocument/2006/relationships/hyperlink" Target="https://4ammedia.zendesk.com/agent/tickets/384596" TargetMode="External"/><Relationship Id="rId7" Type="http://schemas.openxmlformats.org/officeDocument/2006/relationships/hyperlink" Target="https://4ammedia.zendesk.com/agent/tickets/240800" TargetMode="External"/><Relationship Id="rId145" Type="http://schemas.openxmlformats.org/officeDocument/2006/relationships/hyperlink" Target="https://4ammedia.zendesk.com/agent/tickets/384445" TargetMode="External"/><Relationship Id="rId8" Type="http://schemas.openxmlformats.org/officeDocument/2006/relationships/hyperlink" Target="https://4ammedia.zendesk.com/agent/tickets/240912" TargetMode="External"/><Relationship Id="rId144" Type="http://schemas.openxmlformats.org/officeDocument/2006/relationships/hyperlink" Target="https://4ammedia.zendesk.com/agent/tickets/379445" TargetMode="External"/><Relationship Id="rId73" Type="http://schemas.openxmlformats.org/officeDocument/2006/relationships/hyperlink" Target="https://4ammedia.zendesk.com/agent/tickets/297684" TargetMode="External"/><Relationship Id="rId72" Type="http://schemas.openxmlformats.org/officeDocument/2006/relationships/hyperlink" Target="https://4ammedia.zendesk.com/agent/tickets/295731" TargetMode="External"/><Relationship Id="rId75" Type="http://schemas.openxmlformats.org/officeDocument/2006/relationships/hyperlink" Target="https://4ammedia.zendesk.com/agent/tickets/297813" TargetMode="External"/><Relationship Id="rId74" Type="http://schemas.openxmlformats.org/officeDocument/2006/relationships/hyperlink" Target="https://4ammedia.zendesk.com/agent/tickets/297780" TargetMode="External"/><Relationship Id="rId77" Type="http://schemas.openxmlformats.org/officeDocument/2006/relationships/hyperlink" Target="https://4ammedia.zendesk.com/agent/tickets/306302" TargetMode="External"/><Relationship Id="rId76" Type="http://schemas.openxmlformats.org/officeDocument/2006/relationships/hyperlink" Target="https://4ammedia.zendesk.com/agent/tickets/306242" TargetMode="External"/><Relationship Id="rId79" Type="http://schemas.openxmlformats.org/officeDocument/2006/relationships/hyperlink" Target="https://4ammedia.zendesk.com/agent/tickets/308547" TargetMode="External"/><Relationship Id="rId78" Type="http://schemas.openxmlformats.org/officeDocument/2006/relationships/hyperlink" Target="https://4ammedia.zendesk.com/agent/tickets/306349" TargetMode="External"/><Relationship Id="rId71" Type="http://schemas.openxmlformats.org/officeDocument/2006/relationships/hyperlink" Target="https://4ammedia.zendesk.com/agent/tickets/295552" TargetMode="External"/><Relationship Id="rId70" Type="http://schemas.openxmlformats.org/officeDocument/2006/relationships/hyperlink" Target="https://4ammedia.zendesk.com/agent/tickets/295373" TargetMode="External"/><Relationship Id="rId139" Type="http://schemas.openxmlformats.org/officeDocument/2006/relationships/hyperlink" Target="https://4ammedia.zendesk.com/agent/tickets/376831" TargetMode="External"/><Relationship Id="rId138" Type="http://schemas.openxmlformats.org/officeDocument/2006/relationships/hyperlink" Target="https://4ammedia.zendesk.com/agent/tickets/374149" TargetMode="External"/><Relationship Id="rId137" Type="http://schemas.openxmlformats.org/officeDocument/2006/relationships/hyperlink" Target="https://4ammedia.zendesk.com/agent/tickets/374044" TargetMode="External"/><Relationship Id="rId132" Type="http://schemas.openxmlformats.org/officeDocument/2006/relationships/hyperlink" Target="https://4ammedia.zendesk.com/agent/tickets/366714" TargetMode="External"/><Relationship Id="rId131" Type="http://schemas.openxmlformats.org/officeDocument/2006/relationships/hyperlink" Target="https://4ammedia.zendesk.com/agent/tickets/366460" TargetMode="External"/><Relationship Id="rId130" Type="http://schemas.openxmlformats.org/officeDocument/2006/relationships/hyperlink" Target="https://4ammedia.zendesk.com/agent/tickets/366183" TargetMode="External"/><Relationship Id="rId136" Type="http://schemas.openxmlformats.org/officeDocument/2006/relationships/hyperlink" Target="https://4ammedia.zendesk.com/agent/tickets/373868" TargetMode="External"/><Relationship Id="rId135" Type="http://schemas.openxmlformats.org/officeDocument/2006/relationships/hyperlink" Target="https://4ammedia.zendesk.com/agent/tickets/370135" TargetMode="External"/><Relationship Id="rId134" Type="http://schemas.openxmlformats.org/officeDocument/2006/relationships/hyperlink" Target="https://4ammedia.zendesk.com/agent/tickets/369968" TargetMode="External"/><Relationship Id="rId133" Type="http://schemas.openxmlformats.org/officeDocument/2006/relationships/hyperlink" Target="https://4ammedia.zendesk.com/agent/tickets/369815" TargetMode="External"/><Relationship Id="rId62" Type="http://schemas.openxmlformats.org/officeDocument/2006/relationships/hyperlink" Target="https://4ammedia.zendesk.com/agent/tickets/289294" TargetMode="External"/><Relationship Id="rId61" Type="http://schemas.openxmlformats.org/officeDocument/2006/relationships/hyperlink" Target="https://4ammedia.zendesk.com/agent/tickets/288930" TargetMode="External"/><Relationship Id="rId64" Type="http://schemas.openxmlformats.org/officeDocument/2006/relationships/hyperlink" Target="https://4ammedia.zendesk.com/agent/tickets/291418" TargetMode="External"/><Relationship Id="rId63" Type="http://schemas.openxmlformats.org/officeDocument/2006/relationships/hyperlink" Target="https://4ammedia.zendesk.com/agent/tickets/289396" TargetMode="External"/><Relationship Id="rId66" Type="http://schemas.openxmlformats.org/officeDocument/2006/relationships/hyperlink" Target="https://4ammedia.zendesk.com/agent/tickets/251227" TargetMode="External"/><Relationship Id="rId172" Type="http://schemas.openxmlformats.org/officeDocument/2006/relationships/hyperlink" Target="https://4ammedia.zendesk.com/agent/tickets/422361" TargetMode="External"/><Relationship Id="rId65" Type="http://schemas.openxmlformats.org/officeDocument/2006/relationships/hyperlink" Target="https://4ammedia.zendesk.com/agent/tickets/291521" TargetMode="External"/><Relationship Id="rId171" Type="http://schemas.openxmlformats.org/officeDocument/2006/relationships/hyperlink" Target="https://4ammedia.zendesk.com/agent/tickets/420024" TargetMode="External"/><Relationship Id="rId68" Type="http://schemas.openxmlformats.org/officeDocument/2006/relationships/hyperlink" Target="https://4ammedia.zendesk.com/agent/tickets/293899" TargetMode="External"/><Relationship Id="rId170" Type="http://schemas.openxmlformats.org/officeDocument/2006/relationships/hyperlink" Target="https://4ammedia.zendesk.com/agent/tickets/419925" TargetMode="External"/><Relationship Id="rId67" Type="http://schemas.openxmlformats.org/officeDocument/2006/relationships/hyperlink" Target="https://4ammedia.zendesk.com/agent/tickets/293806" TargetMode="External"/><Relationship Id="rId60" Type="http://schemas.openxmlformats.org/officeDocument/2006/relationships/hyperlink" Target="https://4ammedia.zendesk.com/agent/tickets/286209" TargetMode="External"/><Relationship Id="rId165" Type="http://schemas.openxmlformats.org/officeDocument/2006/relationships/hyperlink" Target="https://4ammedia.zendesk.com/agent/tickets/412915" TargetMode="External"/><Relationship Id="rId69" Type="http://schemas.openxmlformats.org/officeDocument/2006/relationships/hyperlink" Target="https://4ammedia.zendesk.com/agent/tickets/294030" TargetMode="External"/><Relationship Id="rId164" Type="http://schemas.openxmlformats.org/officeDocument/2006/relationships/hyperlink" Target="https://4ammedia.zendesk.com/agent/tickets/412682" TargetMode="External"/><Relationship Id="rId163" Type="http://schemas.openxmlformats.org/officeDocument/2006/relationships/hyperlink" Target="https://4ammedia.zendesk.com/agent/tickets/412475" TargetMode="External"/><Relationship Id="rId162" Type="http://schemas.openxmlformats.org/officeDocument/2006/relationships/hyperlink" Target="https://4ammedia.zendesk.com/agent/tickets/409788" TargetMode="External"/><Relationship Id="rId169" Type="http://schemas.openxmlformats.org/officeDocument/2006/relationships/hyperlink" Target="https://4ammedia.zendesk.com/agent/tickets/419498" TargetMode="External"/><Relationship Id="rId168" Type="http://schemas.openxmlformats.org/officeDocument/2006/relationships/hyperlink" Target="https://4ammedia.zendesk.com/agent/tickets/416588" TargetMode="External"/><Relationship Id="rId167" Type="http://schemas.openxmlformats.org/officeDocument/2006/relationships/hyperlink" Target="https://4ammedia.zendesk.com/agent/tickets/416543" TargetMode="External"/><Relationship Id="rId166" Type="http://schemas.openxmlformats.org/officeDocument/2006/relationships/hyperlink" Target="https://4ammedia.zendesk.com/agent/tickets/416108" TargetMode="External"/><Relationship Id="rId51" Type="http://schemas.openxmlformats.org/officeDocument/2006/relationships/hyperlink" Target="https://4ammedia.zendesk.com/agent/tickets/279083" TargetMode="External"/><Relationship Id="rId50" Type="http://schemas.openxmlformats.org/officeDocument/2006/relationships/hyperlink" Target="https://4ammedia.zendesk.com/agent/tickets/279016" TargetMode="External"/><Relationship Id="rId53" Type="http://schemas.openxmlformats.org/officeDocument/2006/relationships/hyperlink" Target="https://4ammedia.zendesk.com/agent/tickets/280489" TargetMode="External"/><Relationship Id="rId52" Type="http://schemas.openxmlformats.org/officeDocument/2006/relationships/hyperlink" Target="https://4ammedia.zendesk.com/agent/tickets/280296" TargetMode="External"/><Relationship Id="rId55" Type="http://schemas.openxmlformats.org/officeDocument/2006/relationships/hyperlink" Target="https://4ammedia.zendesk.com/agent/tickets/282423" TargetMode="External"/><Relationship Id="rId161" Type="http://schemas.openxmlformats.org/officeDocument/2006/relationships/hyperlink" Target="https://4ammedia.zendesk.com/agent/tickets/409780" TargetMode="External"/><Relationship Id="rId54" Type="http://schemas.openxmlformats.org/officeDocument/2006/relationships/hyperlink" Target="https://4ammedia.zendesk.com/agent/tickets/280560" TargetMode="External"/><Relationship Id="rId160" Type="http://schemas.openxmlformats.org/officeDocument/2006/relationships/hyperlink" Target="https://4ammedia.zendesk.com/agent/tickets/409623" TargetMode="External"/><Relationship Id="rId57" Type="http://schemas.openxmlformats.org/officeDocument/2006/relationships/hyperlink" Target="https://4ammedia.zendesk.com/agent/tickets/282641" TargetMode="External"/><Relationship Id="rId56" Type="http://schemas.openxmlformats.org/officeDocument/2006/relationships/hyperlink" Target="https://4ammedia.zendesk.com/agent/tickets/282585" TargetMode="External"/><Relationship Id="rId159" Type="http://schemas.openxmlformats.org/officeDocument/2006/relationships/hyperlink" Target="https://4ammedia.zendesk.com/agent/tickets/406751" TargetMode="External"/><Relationship Id="rId59" Type="http://schemas.openxmlformats.org/officeDocument/2006/relationships/hyperlink" Target="https://4ammedia.zendesk.com/agent/tickets/286068" TargetMode="External"/><Relationship Id="rId154" Type="http://schemas.openxmlformats.org/officeDocument/2006/relationships/hyperlink" Target="https://4ammedia.zendesk.com/agent/tickets/395757" TargetMode="External"/><Relationship Id="rId58" Type="http://schemas.openxmlformats.org/officeDocument/2006/relationships/hyperlink" Target="https://4ammedia.zendesk.com/agent/tickets/285907" TargetMode="External"/><Relationship Id="rId153" Type="http://schemas.openxmlformats.org/officeDocument/2006/relationships/hyperlink" Target="https://4ammedia.zendesk.com/agent/tickets/393330" TargetMode="External"/><Relationship Id="rId152" Type="http://schemas.openxmlformats.org/officeDocument/2006/relationships/hyperlink" Target="https://4ammedia.zendesk.com/agent/tickets/393041" TargetMode="External"/><Relationship Id="rId151" Type="http://schemas.openxmlformats.org/officeDocument/2006/relationships/hyperlink" Target="https://4ammedia.zendesk.com/agent/tickets/393005" TargetMode="External"/><Relationship Id="rId158" Type="http://schemas.openxmlformats.org/officeDocument/2006/relationships/hyperlink" Target="https://4ammedia.zendesk.com/agent/tickets/406371" TargetMode="External"/><Relationship Id="rId157" Type="http://schemas.openxmlformats.org/officeDocument/2006/relationships/hyperlink" Target="https://4ammedia.zendesk.com/agent/tickets/406192" TargetMode="External"/><Relationship Id="rId156" Type="http://schemas.openxmlformats.org/officeDocument/2006/relationships/hyperlink" Target="https://4ammedia.zendesk.com/agent/tickets/396001" TargetMode="External"/><Relationship Id="rId155" Type="http://schemas.openxmlformats.org/officeDocument/2006/relationships/hyperlink" Target="https://4ammedia.zendesk.com/agent/tickets/395982" TargetMode="External"/><Relationship Id="rId107" Type="http://schemas.openxmlformats.org/officeDocument/2006/relationships/hyperlink" Target="https://4ammedia.zendesk.com/agent/tickets/331608" TargetMode="External"/><Relationship Id="rId106" Type="http://schemas.openxmlformats.org/officeDocument/2006/relationships/hyperlink" Target="https://4ammedia.zendesk.com/agent/tickets/331501" TargetMode="External"/><Relationship Id="rId105" Type="http://schemas.openxmlformats.org/officeDocument/2006/relationships/hyperlink" Target="https://4ammedia.zendesk.com/agent/tickets/329974" TargetMode="External"/><Relationship Id="rId104" Type="http://schemas.openxmlformats.org/officeDocument/2006/relationships/hyperlink" Target="https://4ammedia.zendesk.com/agent/tickets/329806" TargetMode="External"/><Relationship Id="rId109" Type="http://schemas.openxmlformats.org/officeDocument/2006/relationships/hyperlink" Target="https://4ammedia.zendesk.com/agent/tickets/333899" TargetMode="External"/><Relationship Id="rId108" Type="http://schemas.openxmlformats.org/officeDocument/2006/relationships/hyperlink" Target="https://4ammedia.zendesk.com/agent/tickets/331658" TargetMode="External"/><Relationship Id="rId103" Type="http://schemas.openxmlformats.org/officeDocument/2006/relationships/hyperlink" Target="https://4ammedia.zendesk.com/agent/tickets/329712" TargetMode="External"/><Relationship Id="rId102" Type="http://schemas.openxmlformats.org/officeDocument/2006/relationships/hyperlink" Target="https://4ammedia.zendesk.com/agent/tickets/328276" TargetMode="External"/><Relationship Id="rId101" Type="http://schemas.openxmlformats.org/officeDocument/2006/relationships/hyperlink" Target="https://4ammedia.zendesk.com/agent/tickets/328185" TargetMode="External"/><Relationship Id="rId100" Type="http://schemas.openxmlformats.org/officeDocument/2006/relationships/hyperlink" Target="https://4ammedia.zendesk.com/agent/tickets/328005" TargetMode="External"/><Relationship Id="rId129" Type="http://schemas.openxmlformats.org/officeDocument/2006/relationships/hyperlink" Target="https://4ammedia.zendesk.com/agent/tickets/358300" TargetMode="External"/><Relationship Id="rId128" Type="http://schemas.openxmlformats.org/officeDocument/2006/relationships/hyperlink" Target="https://4ammedia.zendesk.com/agent/tickets/357993" TargetMode="External"/><Relationship Id="rId127" Type="http://schemas.openxmlformats.org/officeDocument/2006/relationships/hyperlink" Target="https://4ammedia.zendesk.com/agent/tickets/356583" TargetMode="External"/><Relationship Id="rId126" Type="http://schemas.openxmlformats.org/officeDocument/2006/relationships/hyperlink" Target="https://4ammedia.zendesk.com/agent/tickets/356211" TargetMode="External"/><Relationship Id="rId121" Type="http://schemas.openxmlformats.org/officeDocument/2006/relationships/hyperlink" Target="https://4ammedia.zendesk.com/agent/tickets/353274" TargetMode="External"/><Relationship Id="rId120" Type="http://schemas.openxmlformats.org/officeDocument/2006/relationships/hyperlink" Target="https://4ammedia.zendesk.com/agent/tickets/350998" TargetMode="External"/><Relationship Id="rId125" Type="http://schemas.openxmlformats.org/officeDocument/2006/relationships/hyperlink" Target="https://4ammedia.zendesk.com/agent/tickets/356118" TargetMode="External"/><Relationship Id="rId124" Type="http://schemas.openxmlformats.org/officeDocument/2006/relationships/hyperlink" Target="https://4ammedia.zendesk.com/agent/tickets/356022" TargetMode="External"/><Relationship Id="rId123" Type="http://schemas.openxmlformats.org/officeDocument/2006/relationships/hyperlink" Target="https://4ammedia.zendesk.com/agent/tickets/353697" TargetMode="External"/><Relationship Id="rId122" Type="http://schemas.openxmlformats.org/officeDocument/2006/relationships/hyperlink" Target="https://4ammedia.zendesk.com/agent/tickets/353593" TargetMode="External"/><Relationship Id="rId95" Type="http://schemas.openxmlformats.org/officeDocument/2006/relationships/hyperlink" Target="https://4ammedia.zendesk.com/agent/tickets/318207" TargetMode="External"/><Relationship Id="rId94" Type="http://schemas.openxmlformats.org/officeDocument/2006/relationships/hyperlink" Target="https://4ammedia.zendesk.com/agent/tickets/317998" TargetMode="External"/><Relationship Id="rId97" Type="http://schemas.openxmlformats.org/officeDocument/2006/relationships/hyperlink" Target="https://4ammedia.zendesk.com/agent/tickets/320854" TargetMode="External"/><Relationship Id="rId96" Type="http://schemas.openxmlformats.org/officeDocument/2006/relationships/hyperlink" Target="https://4ammedia.zendesk.com/agent/tickets/318340" TargetMode="External"/><Relationship Id="rId99" Type="http://schemas.openxmlformats.org/officeDocument/2006/relationships/hyperlink" Target="https://4ammedia.zendesk.com/agent/tickets/321054" TargetMode="External"/><Relationship Id="rId98" Type="http://schemas.openxmlformats.org/officeDocument/2006/relationships/hyperlink" Target="https://4ammedia.zendesk.com/agent/tickets/320926" TargetMode="External"/><Relationship Id="rId91" Type="http://schemas.openxmlformats.org/officeDocument/2006/relationships/hyperlink" Target="https://4ammedia.zendesk.com/agent/tickets/325471" TargetMode="External"/><Relationship Id="rId90" Type="http://schemas.openxmlformats.org/officeDocument/2006/relationships/hyperlink" Target="https://4ammedia.zendesk.com/agent/tickets/316315" TargetMode="External"/><Relationship Id="rId93" Type="http://schemas.openxmlformats.org/officeDocument/2006/relationships/hyperlink" Target="https://4ammedia.zendesk.com/agent/tickets/325573" TargetMode="External"/><Relationship Id="rId92" Type="http://schemas.openxmlformats.org/officeDocument/2006/relationships/hyperlink" Target="https://4ammedia.zendesk.com/agent/tickets/325529" TargetMode="External"/><Relationship Id="rId118" Type="http://schemas.openxmlformats.org/officeDocument/2006/relationships/hyperlink" Target="https://4ammedia.zendesk.com/agent/tickets/350364" TargetMode="External"/><Relationship Id="rId117" Type="http://schemas.openxmlformats.org/officeDocument/2006/relationships/hyperlink" Target="https://4ammedia.zendesk.com/agent/tickets/346437" TargetMode="External"/><Relationship Id="rId116" Type="http://schemas.openxmlformats.org/officeDocument/2006/relationships/hyperlink" Target="https://4ammedia.zendesk.com/agent/tickets/346421" TargetMode="External"/><Relationship Id="rId115" Type="http://schemas.openxmlformats.org/officeDocument/2006/relationships/hyperlink" Target="https://4ammedia.zendesk.com/agent/tickets/344621" TargetMode="External"/><Relationship Id="rId119" Type="http://schemas.openxmlformats.org/officeDocument/2006/relationships/hyperlink" Target="https://4ammedia.zendesk.com/agent/tickets/350792" TargetMode="External"/><Relationship Id="rId110" Type="http://schemas.openxmlformats.org/officeDocument/2006/relationships/hyperlink" Target="https://4ammedia.zendesk.com/agent/tickets/334131" TargetMode="External"/><Relationship Id="rId114" Type="http://schemas.openxmlformats.org/officeDocument/2006/relationships/hyperlink" Target="https://4ammedia.zendesk.com/agent/tickets/337610" TargetMode="External"/><Relationship Id="rId113" Type="http://schemas.openxmlformats.org/officeDocument/2006/relationships/hyperlink" Target="https://4ammedia.zendesk.com/agent/tickets/337438" TargetMode="External"/><Relationship Id="rId112" Type="http://schemas.openxmlformats.org/officeDocument/2006/relationships/hyperlink" Target="https://4ammedia.zendesk.com/agent/tickets/335556" TargetMode="External"/><Relationship Id="rId111" Type="http://schemas.openxmlformats.org/officeDocument/2006/relationships/hyperlink" Target="https://4ammedia.zendesk.com/agent/tickets/334189"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4ammedia.zendesk.com/agent/tickets/282230" TargetMode="External"/><Relationship Id="rId42" Type="http://schemas.openxmlformats.org/officeDocument/2006/relationships/hyperlink" Target="https://4ammedia.zendesk.com/agent/tickets/282683" TargetMode="External"/><Relationship Id="rId41" Type="http://schemas.openxmlformats.org/officeDocument/2006/relationships/hyperlink" Target="https://4ammedia.zendesk.com/agent/tickets/282401" TargetMode="External"/><Relationship Id="rId44" Type="http://schemas.openxmlformats.org/officeDocument/2006/relationships/hyperlink" Target="https://4ammedia.zendesk.com/agent/tickets/284045" TargetMode="External"/><Relationship Id="rId43" Type="http://schemas.openxmlformats.org/officeDocument/2006/relationships/hyperlink" Target="https://4ammedia.zendesk.com/agent/tickets/284031" TargetMode="External"/><Relationship Id="rId46" Type="http://schemas.openxmlformats.org/officeDocument/2006/relationships/hyperlink" Target="https://4ammedia.zendesk.com/agent/tickets/288284" TargetMode="External"/><Relationship Id="rId45" Type="http://schemas.openxmlformats.org/officeDocument/2006/relationships/hyperlink" Target="https://4ammedia.zendesk.com/agent/tickets/284096" TargetMode="External"/><Relationship Id="rId48" Type="http://schemas.openxmlformats.org/officeDocument/2006/relationships/hyperlink" Target="https://4ammedia.zendesk.com/agent/tickets/288443" TargetMode="External"/><Relationship Id="rId47" Type="http://schemas.openxmlformats.org/officeDocument/2006/relationships/hyperlink" Target="https://4ammedia.zendesk.com/agent/tickets/288381" TargetMode="External"/><Relationship Id="rId49" Type="http://schemas.openxmlformats.org/officeDocument/2006/relationships/hyperlink" Target="https://4ammedia.zendesk.com/agent/tickets/290736" TargetMode="External"/><Relationship Id="rId31" Type="http://schemas.openxmlformats.org/officeDocument/2006/relationships/hyperlink" Target="https://4ammedia.zendesk.com/agent/tickets/275645" TargetMode="External"/><Relationship Id="rId30" Type="http://schemas.openxmlformats.org/officeDocument/2006/relationships/hyperlink" Target="https://4ammedia.zendesk.com/agent/tickets/271761" TargetMode="External"/><Relationship Id="rId33" Type="http://schemas.openxmlformats.org/officeDocument/2006/relationships/hyperlink" Target="https://4ammedia.zendesk.com/agent/tickets/275908" TargetMode="External"/><Relationship Id="rId32" Type="http://schemas.openxmlformats.org/officeDocument/2006/relationships/hyperlink" Target="https://4ammedia.zendesk.com/agent/tickets/275812" TargetMode="External"/><Relationship Id="rId35" Type="http://schemas.openxmlformats.org/officeDocument/2006/relationships/hyperlink" Target="https://4ammedia.zendesk.com/agent/tickets/278654" TargetMode="External"/><Relationship Id="rId34" Type="http://schemas.openxmlformats.org/officeDocument/2006/relationships/hyperlink" Target="https://4ammedia.zendesk.com/agent/tickets/278343" TargetMode="External"/><Relationship Id="rId37" Type="http://schemas.openxmlformats.org/officeDocument/2006/relationships/hyperlink" Target="https://4ammedia.zendesk.com/agent/tickets/279741" TargetMode="External"/><Relationship Id="rId36" Type="http://schemas.openxmlformats.org/officeDocument/2006/relationships/hyperlink" Target="https://4ammedia.zendesk.com/agent/tickets/278802" TargetMode="External"/><Relationship Id="rId39" Type="http://schemas.openxmlformats.org/officeDocument/2006/relationships/hyperlink" Target="https://4ammedia.zendesk.com/agent/tickets/280114" TargetMode="External"/><Relationship Id="rId38" Type="http://schemas.openxmlformats.org/officeDocument/2006/relationships/hyperlink" Target="https://4ammedia.zendesk.com/agent/tickets/279892" TargetMode="External"/><Relationship Id="rId20" Type="http://schemas.openxmlformats.org/officeDocument/2006/relationships/hyperlink" Target="https://4ammedia.zendesk.com/agent/tickets/265416" TargetMode="External"/><Relationship Id="rId22" Type="http://schemas.openxmlformats.org/officeDocument/2006/relationships/hyperlink" Target="https://4ammedia.zendesk.com/agent/tickets/267131" TargetMode="External"/><Relationship Id="rId21" Type="http://schemas.openxmlformats.org/officeDocument/2006/relationships/hyperlink" Target="https://4ammedia.zendesk.com/agent/tickets/265576" TargetMode="External"/><Relationship Id="rId24" Type="http://schemas.openxmlformats.org/officeDocument/2006/relationships/hyperlink" Target="https://4ammedia.zendesk.com/agent/tickets/267616" TargetMode="External"/><Relationship Id="rId23" Type="http://schemas.openxmlformats.org/officeDocument/2006/relationships/hyperlink" Target="https://4ammedia.zendesk.com/agent/tickets/267220" TargetMode="External"/><Relationship Id="rId26" Type="http://schemas.openxmlformats.org/officeDocument/2006/relationships/hyperlink" Target="https://4ammedia.zendesk.com/agent/tickets/269668" TargetMode="External"/><Relationship Id="rId25" Type="http://schemas.openxmlformats.org/officeDocument/2006/relationships/hyperlink" Target="https://4ammedia.zendesk.com/agent/tickets/269534" TargetMode="External"/><Relationship Id="rId28" Type="http://schemas.openxmlformats.org/officeDocument/2006/relationships/hyperlink" Target="https://4ammedia.zendesk.com/agent/tickets/271155" TargetMode="External"/><Relationship Id="rId27" Type="http://schemas.openxmlformats.org/officeDocument/2006/relationships/hyperlink" Target="https://4ammedia.zendesk.com/agent/tickets/269846" TargetMode="External"/><Relationship Id="rId29" Type="http://schemas.openxmlformats.org/officeDocument/2006/relationships/hyperlink" Target="https://4ammedia.zendesk.com/agent/tickets/271648" TargetMode="External"/><Relationship Id="rId11" Type="http://schemas.openxmlformats.org/officeDocument/2006/relationships/hyperlink" Target="https://4ammedia.zendesk.com/agent/tickets/256110" TargetMode="External"/><Relationship Id="rId10" Type="http://schemas.openxmlformats.org/officeDocument/2006/relationships/hyperlink" Target="https://4ammedia.zendesk.com/agent/tickets/255747" TargetMode="External"/><Relationship Id="rId13" Type="http://schemas.openxmlformats.org/officeDocument/2006/relationships/hyperlink" Target="https://4ammedia.zendesk.com/agent/tickets/257920" TargetMode="External"/><Relationship Id="rId12" Type="http://schemas.openxmlformats.org/officeDocument/2006/relationships/hyperlink" Target="https://4ammedia.zendesk.com/agent/tickets/256429" TargetMode="External"/><Relationship Id="rId15" Type="http://schemas.openxmlformats.org/officeDocument/2006/relationships/hyperlink" Target="https://4ammedia.zendesk.com/agent/tickets/258335" TargetMode="External"/><Relationship Id="rId14" Type="http://schemas.openxmlformats.org/officeDocument/2006/relationships/hyperlink" Target="https://4ammedia.zendesk.com/agent/tickets/258088" TargetMode="External"/><Relationship Id="rId17" Type="http://schemas.openxmlformats.org/officeDocument/2006/relationships/hyperlink" Target="https://4ammedia.zendesk.com/agent/tickets/262636" TargetMode="External"/><Relationship Id="rId16" Type="http://schemas.openxmlformats.org/officeDocument/2006/relationships/hyperlink" Target="https://4ammedia.zendesk.com/agent/tickets/262447" TargetMode="External"/><Relationship Id="rId19" Type="http://schemas.openxmlformats.org/officeDocument/2006/relationships/hyperlink" Target="https://4ammedia.zendesk.com/agent/tickets/265113" TargetMode="External"/><Relationship Id="rId18" Type="http://schemas.openxmlformats.org/officeDocument/2006/relationships/hyperlink" Target="https://4ammedia.zendesk.com/agent/tickets/262838" TargetMode="External"/><Relationship Id="rId84" Type="http://schemas.openxmlformats.org/officeDocument/2006/relationships/hyperlink" Target="https://4ammedia.zendesk.com/agent/tickets/325249" TargetMode="External"/><Relationship Id="rId83" Type="http://schemas.openxmlformats.org/officeDocument/2006/relationships/hyperlink" Target="https://4ammedia.zendesk.com/agent/tickets/325055" TargetMode="External"/><Relationship Id="rId86" Type="http://schemas.openxmlformats.org/officeDocument/2006/relationships/hyperlink" Target="https://4ammedia.zendesk.com/agent/tickets/318249" TargetMode="External"/><Relationship Id="rId85" Type="http://schemas.openxmlformats.org/officeDocument/2006/relationships/hyperlink" Target="https://4ammedia.zendesk.com/agent/tickets/317847" TargetMode="External"/><Relationship Id="rId88" Type="http://schemas.openxmlformats.org/officeDocument/2006/relationships/hyperlink" Target="https://4ammedia.zendesk.com/agent/tickets/326345" TargetMode="External"/><Relationship Id="rId150" Type="http://schemas.openxmlformats.org/officeDocument/2006/relationships/hyperlink" Target="https://4ammedia.zendesk.com/agent/tickets/403151" TargetMode="External"/><Relationship Id="rId87" Type="http://schemas.openxmlformats.org/officeDocument/2006/relationships/hyperlink" Target="https://4ammedia.zendesk.com/agent/tickets/318443" TargetMode="External"/><Relationship Id="rId89" Type="http://schemas.openxmlformats.org/officeDocument/2006/relationships/hyperlink" Target="https://4ammedia.zendesk.com/agent/tickets/326499" TargetMode="External"/><Relationship Id="rId80" Type="http://schemas.openxmlformats.org/officeDocument/2006/relationships/hyperlink" Target="https://4ammedia.zendesk.com/agent/tickets/322189" TargetMode="External"/><Relationship Id="rId82" Type="http://schemas.openxmlformats.org/officeDocument/2006/relationships/hyperlink" Target="https://4ammedia.zendesk.com/agent/tickets/324897" TargetMode="External"/><Relationship Id="rId81" Type="http://schemas.openxmlformats.org/officeDocument/2006/relationships/hyperlink" Target="https://4ammedia.zendesk.com/agent/tickets/322433" TargetMode="External"/><Relationship Id="rId1" Type="http://schemas.openxmlformats.org/officeDocument/2006/relationships/hyperlink" Target="https://4ammedia.zendesk.com/agent/tickets/249343" TargetMode="External"/><Relationship Id="rId2" Type="http://schemas.openxmlformats.org/officeDocument/2006/relationships/hyperlink" Target="https://4ammedia.zendesk.com/agent/tickets/249462" TargetMode="External"/><Relationship Id="rId3" Type="http://schemas.openxmlformats.org/officeDocument/2006/relationships/hyperlink" Target="https://4ammedia.zendesk.com/agent/tickets/249734" TargetMode="External"/><Relationship Id="rId149" Type="http://schemas.openxmlformats.org/officeDocument/2006/relationships/hyperlink" Target="https://4ammedia.zendesk.com/agent/tickets/402814" TargetMode="External"/><Relationship Id="rId4" Type="http://schemas.openxmlformats.org/officeDocument/2006/relationships/hyperlink" Target="https://4ammedia.zendesk.com/agent/tickets/251937" TargetMode="External"/><Relationship Id="rId148" Type="http://schemas.openxmlformats.org/officeDocument/2006/relationships/hyperlink" Target="https://4ammedia.zendesk.com/agent/tickets/402375" TargetMode="External"/><Relationship Id="rId9" Type="http://schemas.openxmlformats.org/officeDocument/2006/relationships/hyperlink" Target="https://4ammedia.zendesk.com/agent/tickets/254047" TargetMode="External"/><Relationship Id="rId143" Type="http://schemas.openxmlformats.org/officeDocument/2006/relationships/hyperlink" Target="https://4ammedia.zendesk.com/agent/tickets/395948" TargetMode="External"/><Relationship Id="rId142" Type="http://schemas.openxmlformats.org/officeDocument/2006/relationships/hyperlink" Target="https://4ammedia.zendesk.com/agent/tickets/395555" TargetMode="External"/><Relationship Id="rId141" Type="http://schemas.openxmlformats.org/officeDocument/2006/relationships/hyperlink" Target="https://4ammedia.zendesk.com/agent/tickets/392531" TargetMode="External"/><Relationship Id="rId140" Type="http://schemas.openxmlformats.org/officeDocument/2006/relationships/hyperlink" Target="https://4ammedia.zendesk.com/agent/tickets/392417" TargetMode="External"/><Relationship Id="rId5" Type="http://schemas.openxmlformats.org/officeDocument/2006/relationships/hyperlink" Target="https://4ammedia.zendesk.com/agent/tickets/252094" TargetMode="External"/><Relationship Id="rId147" Type="http://schemas.openxmlformats.org/officeDocument/2006/relationships/hyperlink" Target="https://4ammedia.zendesk.com/agent/tickets/398693" TargetMode="External"/><Relationship Id="rId6" Type="http://schemas.openxmlformats.org/officeDocument/2006/relationships/hyperlink" Target="https://4ammedia.zendesk.com/agent/tickets/252563" TargetMode="External"/><Relationship Id="rId146" Type="http://schemas.openxmlformats.org/officeDocument/2006/relationships/hyperlink" Target="https://4ammedia.zendesk.com/agent/tickets/398634" TargetMode="External"/><Relationship Id="rId7" Type="http://schemas.openxmlformats.org/officeDocument/2006/relationships/hyperlink" Target="https://4ammedia.zendesk.com/agent/tickets/253560" TargetMode="External"/><Relationship Id="rId145" Type="http://schemas.openxmlformats.org/officeDocument/2006/relationships/hyperlink" Target="https://4ammedia.zendesk.com/agent/tickets/398382" TargetMode="External"/><Relationship Id="rId8" Type="http://schemas.openxmlformats.org/officeDocument/2006/relationships/hyperlink" Target="https://4ammedia.zendesk.com/agent/tickets/253877" TargetMode="External"/><Relationship Id="rId144" Type="http://schemas.openxmlformats.org/officeDocument/2006/relationships/hyperlink" Target="https://4ammedia.zendesk.com/agent/tickets/396229" TargetMode="External"/><Relationship Id="rId73" Type="http://schemas.openxmlformats.org/officeDocument/2006/relationships/hyperlink" Target="https://4ammedia.zendesk.com/agent/tickets/311897" TargetMode="External"/><Relationship Id="rId72" Type="http://schemas.openxmlformats.org/officeDocument/2006/relationships/hyperlink" Target="https://4ammedia.zendesk.com/agent/tickets/310500" TargetMode="External"/><Relationship Id="rId75" Type="http://schemas.openxmlformats.org/officeDocument/2006/relationships/hyperlink" Target="https://4ammedia.zendesk.com/agent/tickets/312165" TargetMode="External"/><Relationship Id="rId74" Type="http://schemas.openxmlformats.org/officeDocument/2006/relationships/hyperlink" Target="https://4ammedia.zendesk.com/agent/tickets/312117" TargetMode="External"/><Relationship Id="rId77" Type="http://schemas.openxmlformats.org/officeDocument/2006/relationships/hyperlink" Target="https://4ammedia.zendesk.com/agent/tickets/315998" TargetMode="External"/><Relationship Id="rId76" Type="http://schemas.openxmlformats.org/officeDocument/2006/relationships/hyperlink" Target="https://4ammedia.zendesk.com/agent/tickets/315485" TargetMode="External"/><Relationship Id="rId79" Type="http://schemas.openxmlformats.org/officeDocument/2006/relationships/hyperlink" Target="https://4ammedia.zendesk.com/agent/tickets/321946" TargetMode="External"/><Relationship Id="rId78" Type="http://schemas.openxmlformats.org/officeDocument/2006/relationships/hyperlink" Target="https://4ammedia.zendesk.com/agent/tickets/316168" TargetMode="External"/><Relationship Id="rId71" Type="http://schemas.openxmlformats.org/officeDocument/2006/relationships/hyperlink" Target="https://4ammedia.zendesk.com/agent/tickets/310361" TargetMode="External"/><Relationship Id="rId70" Type="http://schemas.openxmlformats.org/officeDocument/2006/relationships/hyperlink" Target="https://4ammedia.zendesk.com/agent/tickets/310029" TargetMode="External"/><Relationship Id="rId139" Type="http://schemas.openxmlformats.org/officeDocument/2006/relationships/hyperlink" Target="https://4ammedia.zendesk.com/agent/tickets/392161" TargetMode="External"/><Relationship Id="rId138" Type="http://schemas.openxmlformats.org/officeDocument/2006/relationships/hyperlink" Target="https://4ammedia.zendesk.com/agent/tickets/388835" TargetMode="External"/><Relationship Id="rId137" Type="http://schemas.openxmlformats.org/officeDocument/2006/relationships/hyperlink" Target="https://4ammedia.zendesk.com/agent/tickets/388739" TargetMode="External"/><Relationship Id="rId132" Type="http://schemas.openxmlformats.org/officeDocument/2006/relationships/hyperlink" Target="https://4ammedia.zendesk.com/agent/tickets/378685" TargetMode="External"/><Relationship Id="rId131" Type="http://schemas.openxmlformats.org/officeDocument/2006/relationships/hyperlink" Target="https://4ammedia.zendesk.com/agent/tickets/378609" TargetMode="External"/><Relationship Id="rId130" Type="http://schemas.openxmlformats.org/officeDocument/2006/relationships/hyperlink" Target="https://4ammedia.zendesk.com/agent/tickets/378452" TargetMode="External"/><Relationship Id="rId136" Type="http://schemas.openxmlformats.org/officeDocument/2006/relationships/hyperlink" Target="https://4ammedia.zendesk.com/agent/tickets/388440" TargetMode="External"/><Relationship Id="rId135" Type="http://schemas.openxmlformats.org/officeDocument/2006/relationships/hyperlink" Target="https://4ammedia.zendesk.com/agent/tickets/381544" TargetMode="External"/><Relationship Id="rId134" Type="http://schemas.openxmlformats.org/officeDocument/2006/relationships/hyperlink" Target="https://4ammedia.zendesk.com/agent/tickets/381515" TargetMode="External"/><Relationship Id="rId133" Type="http://schemas.openxmlformats.org/officeDocument/2006/relationships/hyperlink" Target="https://4ammedia.zendesk.com/agent/tickets/381420" TargetMode="External"/><Relationship Id="rId62" Type="http://schemas.openxmlformats.org/officeDocument/2006/relationships/hyperlink" Target="https://4ammedia.zendesk.com/agent/tickets/301754" TargetMode="External"/><Relationship Id="rId61" Type="http://schemas.openxmlformats.org/officeDocument/2006/relationships/hyperlink" Target="https://4ammedia.zendesk.com/agent/tickets/301633" TargetMode="External"/><Relationship Id="rId64" Type="http://schemas.openxmlformats.org/officeDocument/2006/relationships/hyperlink" Target="https://4ammedia.zendesk.com/agent/tickets/304063" TargetMode="External"/><Relationship Id="rId63" Type="http://schemas.openxmlformats.org/officeDocument/2006/relationships/hyperlink" Target="https://4ammedia.zendesk.com/agent/tickets/301968" TargetMode="External"/><Relationship Id="rId66" Type="http://schemas.openxmlformats.org/officeDocument/2006/relationships/hyperlink" Target="https://4ammedia.zendesk.com/agent/tickets/304473" TargetMode="External"/><Relationship Id="rId65" Type="http://schemas.openxmlformats.org/officeDocument/2006/relationships/hyperlink" Target="https://4ammedia.zendesk.com/agent/tickets/304373" TargetMode="External"/><Relationship Id="rId68" Type="http://schemas.openxmlformats.org/officeDocument/2006/relationships/hyperlink" Target="https://4ammedia.zendesk.com/agent/tickets/306280" TargetMode="External"/><Relationship Id="rId67" Type="http://schemas.openxmlformats.org/officeDocument/2006/relationships/hyperlink" Target="https://4ammedia.zendesk.com/agent/tickets/306142" TargetMode="External"/><Relationship Id="rId60" Type="http://schemas.openxmlformats.org/officeDocument/2006/relationships/hyperlink" Target="https://4ammedia.zendesk.com/agent/tickets/298894" TargetMode="External"/><Relationship Id="rId165" Type="http://schemas.openxmlformats.org/officeDocument/2006/relationships/hyperlink" Target="https://4ammedia.zendesk.com/agent/tickets/426952" TargetMode="External"/><Relationship Id="rId69" Type="http://schemas.openxmlformats.org/officeDocument/2006/relationships/hyperlink" Target="https://4ammedia.zendesk.com/agent/tickets/306387" TargetMode="External"/><Relationship Id="rId164" Type="http://schemas.openxmlformats.org/officeDocument/2006/relationships/hyperlink" Target="https://4ammedia.zendesk.com/agent/tickets/426603" TargetMode="External"/><Relationship Id="rId163" Type="http://schemas.openxmlformats.org/officeDocument/2006/relationships/hyperlink" Target="https://4ammedia.zendesk.com/agent/tickets/425960" TargetMode="External"/><Relationship Id="rId162" Type="http://schemas.openxmlformats.org/officeDocument/2006/relationships/hyperlink" Target="https://4ammedia.zendesk.com/agent/tickets/422782" TargetMode="External"/><Relationship Id="rId166" Type="http://schemas.openxmlformats.org/officeDocument/2006/relationships/drawing" Target="../drawings/drawing11.xml"/><Relationship Id="rId51" Type="http://schemas.openxmlformats.org/officeDocument/2006/relationships/hyperlink" Target="https://4ammedia.zendesk.com/agent/tickets/290933" TargetMode="External"/><Relationship Id="rId50" Type="http://schemas.openxmlformats.org/officeDocument/2006/relationships/hyperlink" Target="https://4ammedia.zendesk.com/agent/tickets/290896" TargetMode="External"/><Relationship Id="rId53" Type="http://schemas.openxmlformats.org/officeDocument/2006/relationships/hyperlink" Target="https://4ammedia.zendesk.com/agent/tickets/292932" TargetMode="External"/><Relationship Id="rId52" Type="http://schemas.openxmlformats.org/officeDocument/2006/relationships/hyperlink" Target="https://4ammedia.zendesk.com/agent/tickets/292649" TargetMode="External"/><Relationship Id="rId55" Type="http://schemas.openxmlformats.org/officeDocument/2006/relationships/hyperlink" Target="https://4ammedia.zendesk.com/agent/tickets/294944" TargetMode="External"/><Relationship Id="rId161" Type="http://schemas.openxmlformats.org/officeDocument/2006/relationships/hyperlink" Target="https://4ammedia.zendesk.com/agent/tickets/422532" TargetMode="External"/><Relationship Id="rId54" Type="http://schemas.openxmlformats.org/officeDocument/2006/relationships/hyperlink" Target="https://4ammedia.zendesk.com/agent/tickets/293107" TargetMode="External"/><Relationship Id="rId160" Type="http://schemas.openxmlformats.org/officeDocument/2006/relationships/hyperlink" Target="https://4ammedia.zendesk.com/agent/tickets/422067" TargetMode="External"/><Relationship Id="rId57" Type="http://schemas.openxmlformats.org/officeDocument/2006/relationships/hyperlink" Target="https://4ammedia.zendesk.com/agent/tickets/295308" TargetMode="External"/><Relationship Id="rId56" Type="http://schemas.openxmlformats.org/officeDocument/2006/relationships/hyperlink" Target="https://4ammedia.zendesk.com/agent/tickets/295272" TargetMode="External"/><Relationship Id="rId159" Type="http://schemas.openxmlformats.org/officeDocument/2006/relationships/hyperlink" Target="https://4ammedia.zendesk.com/agent/tickets/419258" TargetMode="External"/><Relationship Id="rId59" Type="http://schemas.openxmlformats.org/officeDocument/2006/relationships/hyperlink" Target="https://4ammedia.zendesk.com/agent/tickets/298856" TargetMode="External"/><Relationship Id="rId154" Type="http://schemas.openxmlformats.org/officeDocument/2006/relationships/hyperlink" Target="https://4ammedia.zendesk.com/agent/tickets/414937" TargetMode="External"/><Relationship Id="rId58" Type="http://schemas.openxmlformats.org/officeDocument/2006/relationships/hyperlink" Target="https://4ammedia.zendesk.com/agent/tickets/298658" TargetMode="External"/><Relationship Id="rId153" Type="http://schemas.openxmlformats.org/officeDocument/2006/relationships/hyperlink" Target="https://4ammedia.zendesk.com/agent/tickets/413055" TargetMode="External"/><Relationship Id="rId152" Type="http://schemas.openxmlformats.org/officeDocument/2006/relationships/hyperlink" Target="https://4ammedia.zendesk.com/agent/tickets/410732" TargetMode="External"/><Relationship Id="rId151" Type="http://schemas.openxmlformats.org/officeDocument/2006/relationships/hyperlink" Target="https://4ammedia.zendesk.com/agent/tickets/410609" TargetMode="External"/><Relationship Id="rId158" Type="http://schemas.openxmlformats.org/officeDocument/2006/relationships/hyperlink" Target="https://4ammedia.zendesk.com/agent/tickets/418993" TargetMode="External"/><Relationship Id="rId157" Type="http://schemas.openxmlformats.org/officeDocument/2006/relationships/hyperlink" Target="https://4ammedia.zendesk.com/agent/tickets/418525" TargetMode="External"/><Relationship Id="rId156" Type="http://schemas.openxmlformats.org/officeDocument/2006/relationships/hyperlink" Target="https://4ammedia.zendesk.com/agent/tickets/415364" TargetMode="External"/><Relationship Id="rId155" Type="http://schemas.openxmlformats.org/officeDocument/2006/relationships/hyperlink" Target="https://4ammedia.zendesk.com/agent/tickets/415155" TargetMode="External"/><Relationship Id="rId107" Type="http://schemas.openxmlformats.org/officeDocument/2006/relationships/hyperlink" Target="https://4ammedia.zendesk.com/agent/tickets/349993" TargetMode="External"/><Relationship Id="rId106" Type="http://schemas.openxmlformats.org/officeDocument/2006/relationships/hyperlink" Target="https://4ammedia.zendesk.com/agent/tickets/349467" TargetMode="External"/><Relationship Id="rId105" Type="http://schemas.openxmlformats.org/officeDocument/2006/relationships/hyperlink" Target="https://4ammedia.zendesk.com/agent/tickets/344020" TargetMode="External"/><Relationship Id="rId104" Type="http://schemas.openxmlformats.org/officeDocument/2006/relationships/hyperlink" Target="https://4ammedia.zendesk.com/agent/tickets/343591" TargetMode="External"/><Relationship Id="rId109" Type="http://schemas.openxmlformats.org/officeDocument/2006/relationships/hyperlink" Target="https://4ammedia.zendesk.com/agent/tickets/352582" TargetMode="External"/><Relationship Id="rId108" Type="http://schemas.openxmlformats.org/officeDocument/2006/relationships/hyperlink" Target="https://4ammedia.zendesk.com/agent/tickets/350176" TargetMode="External"/><Relationship Id="rId103" Type="http://schemas.openxmlformats.org/officeDocument/2006/relationships/hyperlink" Target="https://4ammedia.zendesk.com/agent/tickets/343397" TargetMode="External"/><Relationship Id="rId102" Type="http://schemas.openxmlformats.org/officeDocument/2006/relationships/hyperlink" Target="https://4ammedia.zendesk.com/agent/tickets/341145" TargetMode="External"/><Relationship Id="rId101" Type="http://schemas.openxmlformats.org/officeDocument/2006/relationships/hyperlink" Target="https://4ammedia.zendesk.com/agent/tickets/340998" TargetMode="External"/><Relationship Id="rId100" Type="http://schemas.openxmlformats.org/officeDocument/2006/relationships/hyperlink" Target="https://4ammedia.zendesk.com/agent/tickets/340391" TargetMode="External"/><Relationship Id="rId129" Type="http://schemas.openxmlformats.org/officeDocument/2006/relationships/hyperlink" Target="https://4ammedia.zendesk.com/agent/tickets/375916" TargetMode="External"/><Relationship Id="rId128" Type="http://schemas.openxmlformats.org/officeDocument/2006/relationships/hyperlink" Target="https://4ammedia.zendesk.com/agent/tickets/375745" TargetMode="External"/><Relationship Id="rId127" Type="http://schemas.openxmlformats.org/officeDocument/2006/relationships/hyperlink" Target="https://4ammedia.zendesk.com/agent/tickets/375545" TargetMode="External"/><Relationship Id="rId126" Type="http://schemas.openxmlformats.org/officeDocument/2006/relationships/hyperlink" Target="https://4ammedia.zendesk.com/agent/tickets/373646" TargetMode="External"/><Relationship Id="rId121" Type="http://schemas.openxmlformats.org/officeDocument/2006/relationships/hyperlink" Target="https://4ammedia.zendesk.com/agent/tickets/368538" TargetMode="External"/><Relationship Id="rId120" Type="http://schemas.openxmlformats.org/officeDocument/2006/relationships/hyperlink" Target="https://4ammedia.zendesk.com/agent/tickets/361628" TargetMode="External"/><Relationship Id="rId125" Type="http://schemas.openxmlformats.org/officeDocument/2006/relationships/hyperlink" Target="https://4ammedia.zendesk.com/agent/tickets/373272" TargetMode="External"/><Relationship Id="rId124" Type="http://schemas.openxmlformats.org/officeDocument/2006/relationships/hyperlink" Target="https://4ammedia.zendesk.com/agent/tickets/372993" TargetMode="External"/><Relationship Id="rId123" Type="http://schemas.openxmlformats.org/officeDocument/2006/relationships/hyperlink" Target="https://4ammedia.zendesk.com/agent/tickets/369012" TargetMode="External"/><Relationship Id="rId122" Type="http://schemas.openxmlformats.org/officeDocument/2006/relationships/hyperlink" Target="https://4ammedia.zendesk.com/agent/tickets/368889" TargetMode="External"/><Relationship Id="rId95" Type="http://schemas.openxmlformats.org/officeDocument/2006/relationships/hyperlink" Target="https://4ammedia.zendesk.com/agent/tickets/333518" TargetMode="External"/><Relationship Id="rId94" Type="http://schemas.openxmlformats.org/officeDocument/2006/relationships/hyperlink" Target="https://4ammedia.zendesk.com/agent/tickets/333254" TargetMode="External"/><Relationship Id="rId97" Type="http://schemas.openxmlformats.org/officeDocument/2006/relationships/hyperlink" Target="https://4ammedia.zendesk.com/agent/tickets/336698" TargetMode="External"/><Relationship Id="rId96" Type="http://schemas.openxmlformats.org/officeDocument/2006/relationships/hyperlink" Target="https://4ammedia.zendesk.com/agent/tickets/333631" TargetMode="External"/><Relationship Id="rId99" Type="http://schemas.openxmlformats.org/officeDocument/2006/relationships/hyperlink" Target="https://4ammedia.zendesk.com/agent/tickets/337189" TargetMode="External"/><Relationship Id="rId98" Type="http://schemas.openxmlformats.org/officeDocument/2006/relationships/hyperlink" Target="https://4ammedia.zendesk.com/agent/tickets/337103" TargetMode="External"/><Relationship Id="rId91" Type="http://schemas.openxmlformats.org/officeDocument/2006/relationships/hyperlink" Target="https://4ammedia.zendesk.com/agent/tickets/330603" TargetMode="External"/><Relationship Id="rId90" Type="http://schemas.openxmlformats.org/officeDocument/2006/relationships/hyperlink" Target="https://4ammedia.zendesk.com/agent/tickets/326549" TargetMode="External"/><Relationship Id="rId93" Type="http://schemas.openxmlformats.org/officeDocument/2006/relationships/hyperlink" Target="https://4ammedia.zendesk.com/agent/tickets/330815" TargetMode="External"/><Relationship Id="rId92" Type="http://schemas.openxmlformats.org/officeDocument/2006/relationships/hyperlink" Target="https://4ammedia.zendesk.com/agent/tickets/330730" TargetMode="External"/><Relationship Id="rId118" Type="http://schemas.openxmlformats.org/officeDocument/2006/relationships/hyperlink" Target="https://4ammedia.zendesk.com/agent/tickets/360822" TargetMode="External"/><Relationship Id="rId117" Type="http://schemas.openxmlformats.org/officeDocument/2006/relationships/hyperlink" Target="https://4ammedia.zendesk.com/agent/tickets/358275" TargetMode="External"/><Relationship Id="rId116" Type="http://schemas.openxmlformats.org/officeDocument/2006/relationships/hyperlink" Target="https://4ammedia.zendesk.com/agent/tickets/357978" TargetMode="External"/><Relationship Id="rId115" Type="http://schemas.openxmlformats.org/officeDocument/2006/relationships/hyperlink" Target="https://4ammedia.zendesk.com/agent/tickets/357613" TargetMode="External"/><Relationship Id="rId119" Type="http://schemas.openxmlformats.org/officeDocument/2006/relationships/hyperlink" Target="https://4ammedia.zendesk.com/agent/tickets/361209" TargetMode="External"/><Relationship Id="rId110" Type="http://schemas.openxmlformats.org/officeDocument/2006/relationships/hyperlink" Target="https://4ammedia.zendesk.com/agent/tickets/352951" TargetMode="External"/><Relationship Id="rId114" Type="http://schemas.openxmlformats.org/officeDocument/2006/relationships/hyperlink" Target="https://4ammedia.zendesk.com/agent/tickets/355437" TargetMode="External"/><Relationship Id="rId113" Type="http://schemas.openxmlformats.org/officeDocument/2006/relationships/hyperlink" Target="https://4ammedia.zendesk.com/agent/tickets/355176" TargetMode="External"/><Relationship Id="rId112" Type="http://schemas.openxmlformats.org/officeDocument/2006/relationships/hyperlink" Target="https://4ammedia.zendesk.com/agent/tickets/355005" TargetMode="External"/><Relationship Id="rId111" Type="http://schemas.openxmlformats.org/officeDocument/2006/relationships/hyperlink" Target="https://4ammedia.zendesk.com/agent/tickets/353171" TargetMode="External"/></Relationships>
</file>

<file path=xl/worksheets/_rels/sheet12.xml.rels><?xml version="1.0" encoding="UTF-8" standalone="yes"?><Relationships xmlns="http://schemas.openxmlformats.org/package/2006/relationships"><Relationship Id="rId190" Type="http://schemas.openxmlformats.org/officeDocument/2006/relationships/hyperlink" Target="https://horizondirect.gorgias.com/app/ticket/387875048" TargetMode="External"/><Relationship Id="rId194" Type="http://schemas.openxmlformats.org/officeDocument/2006/relationships/hyperlink" Target="https://assets.aircall.io/calls/3732908656/recording" TargetMode="External"/><Relationship Id="rId193" Type="http://schemas.openxmlformats.org/officeDocument/2006/relationships/hyperlink" Target="https://assets.aircall.io/calls/3732766590/recording" TargetMode="External"/><Relationship Id="rId192" Type="http://schemas.openxmlformats.org/officeDocument/2006/relationships/hyperlink" Target="https://horizondirect.gorgias.com/app/ticket/387879301" TargetMode="External"/><Relationship Id="rId191" Type="http://schemas.openxmlformats.org/officeDocument/2006/relationships/hyperlink" Target="https://horizondirect.gorgias.com/app/ticket/387877868" TargetMode="External"/><Relationship Id="rId187" Type="http://schemas.openxmlformats.org/officeDocument/2006/relationships/hyperlink" Target="https://horizondirect.gorgias.com/app/ticket/387748419" TargetMode="External"/><Relationship Id="rId186" Type="http://schemas.openxmlformats.org/officeDocument/2006/relationships/hyperlink" Target="https://horizondirect.gorgias.com/app/ticket/387665428" TargetMode="External"/><Relationship Id="rId185" Type="http://schemas.openxmlformats.org/officeDocument/2006/relationships/hyperlink" Target="https://horizondirect.gorgias.com/app/ticket/387659457" TargetMode="External"/><Relationship Id="rId184" Type="http://schemas.openxmlformats.org/officeDocument/2006/relationships/hyperlink" Target="https://horizondirect.gorgias.com/app/ticket/387653105" TargetMode="External"/><Relationship Id="rId189" Type="http://schemas.openxmlformats.org/officeDocument/2006/relationships/hyperlink" Target="https://horizondirect.gorgias.com/app/ticket/387756892" TargetMode="External"/><Relationship Id="rId188" Type="http://schemas.openxmlformats.org/officeDocument/2006/relationships/hyperlink" Target="https://horizondirect.gorgias.com/app/ticket/387756628" TargetMode="External"/><Relationship Id="rId183" Type="http://schemas.openxmlformats.org/officeDocument/2006/relationships/hyperlink" Target="https://horizondirect.gorgias.com/app/ticket/387583033" TargetMode="External"/><Relationship Id="rId182" Type="http://schemas.openxmlformats.org/officeDocument/2006/relationships/hyperlink" Target="https://horizondirect.gorgias.com/app/ticket/387563788" TargetMode="External"/><Relationship Id="rId181" Type="http://schemas.openxmlformats.org/officeDocument/2006/relationships/hyperlink" Target="https://horizondirect.gorgias.com/app/ticket/387561635" TargetMode="External"/><Relationship Id="rId180" Type="http://schemas.openxmlformats.org/officeDocument/2006/relationships/hyperlink" Target="https://assets.aircall.io/calls/3699730112/recording" TargetMode="External"/><Relationship Id="rId176" Type="http://schemas.openxmlformats.org/officeDocument/2006/relationships/hyperlink" Target="https://horizondirect.gorgias.com/app/ticket/386863135" TargetMode="External"/><Relationship Id="rId297" Type="http://schemas.openxmlformats.org/officeDocument/2006/relationships/hyperlink" Target="https://4ammedia.zendesk.com/agent/tickets/200445" TargetMode="External"/><Relationship Id="rId175" Type="http://schemas.openxmlformats.org/officeDocument/2006/relationships/hyperlink" Target="https://horizondirect.gorgias.com/app/ticket/386847225" TargetMode="External"/><Relationship Id="rId296" Type="http://schemas.openxmlformats.org/officeDocument/2006/relationships/hyperlink" Target="https://4ammedia.zendesk.com/agent/tickets/200108" TargetMode="External"/><Relationship Id="rId174" Type="http://schemas.openxmlformats.org/officeDocument/2006/relationships/hyperlink" Target="https://horizondirect.gorgias.com/app/ticket/386760671" TargetMode="External"/><Relationship Id="rId295" Type="http://schemas.openxmlformats.org/officeDocument/2006/relationships/hyperlink" Target="https://4ammedia.zendesk.com/agent/tickets/196612" TargetMode="External"/><Relationship Id="rId173" Type="http://schemas.openxmlformats.org/officeDocument/2006/relationships/hyperlink" Target="https://horizondirect.gorgias.com/app/ticket/386758117" TargetMode="External"/><Relationship Id="rId294" Type="http://schemas.openxmlformats.org/officeDocument/2006/relationships/hyperlink" Target="https://4ammedia.zendesk.com/agent/tickets/196577" TargetMode="External"/><Relationship Id="rId179" Type="http://schemas.openxmlformats.org/officeDocument/2006/relationships/hyperlink" Target="https://assets.aircall.io/calls/3699635025/recording" TargetMode="External"/><Relationship Id="rId178" Type="http://schemas.openxmlformats.org/officeDocument/2006/relationships/hyperlink" Target="https://assets.aircall.io/calls/3699437508/recording" TargetMode="External"/><Relationship Id="rId299" Type="http://schemas.openxmlformats.org/officeDocument/2006/relationships/hyperlink" Target="https://4ammedia.zendesk.com/agent/tickets/202029" TargetMode="External"/><Relationship Id="rId177" Type="http://schemas.openxmlformats.org/officeDocument/2006/relationships/hyperlink" Target="https://horizondirect.gorgias.com/app/ticket/386870220" TargetMode="External"/><Relationship Id="rId298" Type="http://schemas.openxmlformats.org/officeDocument/2006/relationships/hyperlink" Target="https://4ammedia.zendesk.com/agent/tickets/200878" TargetMode="External"/><Relationship Id="rId198" Type="http://schemas.openxmlformats.org/officeDocument/2006/relationships/hyperlink" Target="https://assets.aircall.io/calls/3735139222/recording" TargetMode="External"/><Relationship Id="rId197" Type="http://schemas.openxmlformats.org/officeDocument/2006/relationships/hyperlink" Target="https://assets.aircall.io/calls/3735105867/recording" TargetMode="External"/><Relationship Id="rId196" Type="http://schemas.openxmlformats.org/officeDocument/2006/relationships/hyperlink" Target="https://assets.aircall.io/calls/3735088341/recording" TargetMode="External"/><Relationship Id="rId195" Type="http://schemas.openxmlformats.org/officeDocument/2006/relationships/hyperlink" Target="https://assets.aircall.io/calls/3732988615/recording" TargetMode="External"/><Relationship Id="rId199" Type="http://schemas.openxmlformats.org/officeDocument/2006/relationships/hyperlink" Target="https://assets.aircall.io/calls/3748360303/recording" TargetMode="External"/><Relationship Id="rId150" Type="http://schemas.openxmlformats.org/officeDocument/2006/relationships/hyperlink" Target="https://horizondirect.gorgias.com/app/ticket/385189424" TargetMode="External"/><Relationship Id="rId271" Type="http://schemas.openxmlformats.org/officeDocument/2006/relationships/hyperlink" Target="https://4ammedia.zendesk.com/agent/tickets/171487" TargetMode="External"/><Relationship Id="rId392" Type="http://schemas.openxmlformats.org/officeDocument/2006/relationships/hyperlink" Target="https://4ammedia.zendesk.com/agent/tickets/297083" TargetMode="External"/><Relationship Id="rId270" Type="http://schemas.openxmlformats.org/officeDocument/2006/relationships/hyperlink" Target="https://4ammedia.zendesk.com/agent/tickets/170340" TargetMode="External"/><Relationship Id="rId391" Type="http://schemas.openxmlformats.org/officeDocument/2006/relationships/hyperlink" Target="https://4ammedia.zendesk.com/agent/tickets/293900" TargetMode="External"/><Relationship Id="rId390" Type="http://schemas.openxmlformats.org/officeDocument/2006/relationships/hyperlink" Target="https://4ammedia.zendesk.com/agent/tickets/293750" TargetMode="External"/><Relationship Id="rId1" Type="http://schemas.openxmlformats.org/officeDocument/2006/relationships/hyperlink" Target="https://horizondirect.gorgias.com/app/ticket/376146896" TargetMode="External"/><Relationship Id="rId2" Type="http://schemas.openxmlformats.org/officeDocument/2006/relationships/hyperlink" Target="https://horizondirect.gorgias.com/app/ticket/376104916" TargetMode="External"/><Relationship Id="rId3" Type="http://schemas.openxmlformats.org/officeDocument/2006/relationships/hyperlink" Target="https://horizondirect.gorgias.com/app/ticket/376111740" TargetMode="External"/><Relationship Id="rId149" Type="http://schemas.openxmlformats.org/officeDocument/2006/relationships/hyperlink" Target="https://horizondirect.gorgias.com/app/ticket/385182098" TargetMode="External"/><Relationship Id="rId4" Type="http://schemas.openxmlformats.org/officeDocument/2006/relationships/hyperlink" Target="https://horizondirect.gorgias.com/app/ticket/376261116" TargetMode="External"/><Relationship Id="rId148" Type="http://schemas.openxmlformats.org/officeDocument/2006/relationships/hyperlink" Target="https://horizondirect.gorgias.com/app/ticket/385167294" TargetMode="External"/><Relationship Id="rId269" Type="http://schemas.openxmlformats.org/officeDocument/2006/relationships/hyperlink" Target="https://4ammedia.zendesk.com/agent/tickets/170147" TargetMode="External"/><Relationship Id="rId9" Type="http://schemas.openxmlformats.org/officeDocument/2006/relationships/hyperlink" Target="https://horizondirect.gorgias.com/app/ticket/376437649" TargetMode="External"/><Relationship Id="rId143" Type="http://schemas.openxmlformats.org/officeDocument/2006/relationships/hyperlink" Target="https://horizondirect.gorgias.com/app/ticket/384953269" TargetMode="External"/><Relationship Id="rId264" Type="http://schemas.openxmlformats.org/officeDocument/2006/relationships/hyperlink" Target="https://4ammedia.zendesk.com/agent/tickets/164471" TargetMode="External"/><Relationship Id="rId385" Type="http://schemas.openxmlformats.org/officeDocument/2006/relationships/hyperlink" Target="https://4ammedia.zendesk.com/agent/tickets/289245" TargetMode="External"/><Relationship Id="rId142" Type="http://schemas.openxmlformats.org/officeDocument/2006/relationships/hyperlink" Target="https://horizondirect.gorgias.com/app/ticket/384945697" TargetMode="External"/><Relationship Id="rId263" Type="http://schemas.openxmlformats.org/officeDocument/2006/relationships/hyperlink" Target="https://4ammedia.zendesk.com/agent/tickets/164436" TargetMode="External"/><Relationship Id="rId384" Type="http://schemas.openxmlformats.org/officeDocument/2006/relationships/hyperlink" Target="https://4ammedia.zendesk.com/agent/tickets/289084" TargetMode="External"/><Relationship Id="rId141" Type="http://schemas.openxmlformats.org/officeDocument/2006/relationships/hyperlink" Target="https://horizondirect.gorgias.com/app/ticket/384862926" TargetMode="External"/><Relationship Id="rId262" Type="http://schemas.openxmlformats.org/officeDocument/2006/relationships/hyperlink" Target="https://4ammedia.zendesk.com/agent/tickets/164275" TargetMode="External"/><Relationship Id="rId383" Type="http://schemas.openxmlformats.org/officeDocument/2006/relationships/hyperlink" Target="https://4ammedia.zendesk.com/agent/tickets/288849" TargetMode="External"/><Relationship Id="rId140" Type="http://schemas.openxmlformats.org/officeDocument/2006/relationships/hyperlink" Target="https://horizondirect.gorgias.com/app/ticket/384849566" TargetMode="External"/><Relationship Id="rId261" Type="http://schemas.openxmlformats.org/officeDocument/2006/relationships/hyperlink" Target="https://4ammedia.zendesk.com/agent/tickets/162767" TargetMode="External"/><Relationship Id="rId382" Type="http://schemas.openxmlformats.org/officeDocument/2006/relationships/hyperlink" Target="https://4ammedia.zendesk.com/agent/tickets/280241" TargetMode="External"/><Relationship Id="rId5" Type="http://schemas.openxmlformats.org/officeDocument/2006/relationships/hyperlink" Target="https://horizondirect.gorgias.com/app/ticket/376301998" TargetMode="External"/><Relationship Id="rId147" Type="http://schemas.openxmlformats.org/officeDocument/2006/relationships/hyperlink" Target="https://horizondirect.gorgias.com/app/ticket/385074013" TargetMode="External"/><Relationship Id="rId268" Type="http://schemas.openxmlformats.org/officeDocument/2006/relationships/hyperlink" Target="https://4ammedia.zendesk.com/agent/tickets/169898" TargetMode="External"/><Relationship Id="rId389" Type="http://schemas.openxmlformats.org/officeDocument/2006/relationships/hyperlink" Target="https://4ammedia.zendesk.com/agent/tickets/293653" TargetMode="External"/><Relationship Id="rId6" Type="http://schemas.openxmlformats.org/officeDocument/2006/relationships/hyperlink" Target="https://horizondirect.gorgias.com/app/ticket/376298025" TargetMode="External"/><Relationship Id="rId146" Type="http://schemas.openxmlformats.org/officeDocument/2006/relationships/hyperlink" Target="https://horizondirect.gorgias.com/app/ticket/385065938" TargetMode="External"/><Relationship Id="rId267" Type="http://schemas.openxmlformats.org/officeDocument/2006/relationships/hyperlink" Target="https://4ammedia.zendesk.com/agent/tickets/166000" TargetMode="External"/><Relationship Id="rId388" Type="http://schemas.openxmlformats.org/officeDocument/2006/relationships/hyperlink" Target="https://4ammedia.zendesk.com/agent/tickets/291353" TargetMode="External"/><Relationship Id="rId7" Type="http://schemas.openxmlformats.org/officeDocument/2006/relationships/hyperlink" Target="https://horizondirect.gorgias.com/app/ticket/376401766" TargetMode="External"/><Relationship Id="rId145" Type="http://schemas.openxmlformats.org/officeDocument/2006/relationships/hyperlink" Target="https://horizondirect.gorgias.com/app/ticket/385062789" TargetMode="External"/><Relationship Id="rId266" Type="http://schemas.openxmlformats.org/officeDocument/2006/relationships/hyperlink" Target="https://4ammedia.zendesk.com/agent/tickets/165869" TargetMode="External"/><Relationship Id="rId387" Type="http://schemas.openxmlformats.org/officeDocument/2006/relationships/hyperlink" Target="https://4ammedia.zendesk.com/agent/tickets/291206" TargetMode="External"/><Relationship Id="rId8" Type="http://schemas.openxmlformats.org/officeDocument/2006/relationships/hyperlink" Target="https://horizondirect.gorgias.com/app/ticket/376422663" TargetMode="External"/><Relationship Id="rId144" Type="http://schemas.openxmlformats.org/officeDocument/2006/relationships/hyperlink" Target="https://horizondirect.gorgias.com/app/ticket/384963151" TargetMode="External"/><Relationship Id="rId265" Type="http://schemas.openxmlformats.org/officeDocument/2006/relationships/hyperlink" Target="https://4ammedia.zendesk.com/agent/tickets/165674" TargetMode="External"/><Relationship Id="rId386" Type="http://schemas.openxmlformats.org/officeDocument/2006/relationships/hyperlink" Target="https://4ammedia.zendesk.com/agent/tickets/290991" TargetMode="External"/><Relationship Id="rId260" Type="http://schemas.openxmlformats.org/officeDocument/2006/relationships/hyperlink" Target="https://4ammedia.zendesk.com/agent/tickets/162555" TargetMode="External"/><Relationship Id="rId381" Type="http://schemas.openxmlformats.org/officeDocument/2006/relationships/hyperlink" Target="https://4ammedia.zendesk.com/agent/tickets/280128" TargetMode="External"/><Relationship Id="rId380" Type="http://schemas.openxmlformats.org/officeDocument/2006/relationships/hyperlink" Target="https://4ammedia.zendesk.com/agent/tickets/279959" TargetMode="External"/><Relationship Id="rId139" Type="http://schemas.openxmlformats.org/officeDocument/2006/relationships/hyperlink" Target="https://horizondirect.gorgias.com/app/ticket/384844382" TargetMode="External"/><Relationship Id="rId138" Type="http://schemas.openxmlformats.org/officeDocument/2006/relationships/hyperlink" Target="https://horizondirect.gorgias.com/app/ticket/384458685" TargetMode="External"/><Relationship Id="rId259" Type="http://schemas.openxmlformats.org/officeDocument/2006/relationships/hyperlink" Target="https://4ammedia.zendesk.com/agent/tickets/162521" TargetMode="External"/><Relationship Id="rId137" Type="http://schemas.openxmlformats.org/officeDocument/2006/relationships/hyperlink" Target="https://horizondirect.gorgias.com/app/ticket/384449534" TargetMode="External"/><Relationship Id="rId258" Type="http://schemas.openxmlformats.org/officeDocument/2006/relationships/hyperlink" Target="https://4ammedia.zendesk.com/agent/tickets/161235" TargetMode="External"/><Relationship Id="rId379" Type="http://schemas.openxmlformats.org/officeDocument/2006/relationships/hyperlink" Target="https://4ammedia.zendesk.com/agent/tickets/278552" TargetMode="External"/><Relationship Id="rId132" Type="http://schemas.openxmlformats.org/officeDocument/2006/relationships/hyperlink" Target="https://horizondirect.gorgias.com/app/ticket/384186081" TargetMode="External"/><Relationship Id="rId253" Type="http://schemas.openxmlformats.org/officeDocument/2006/relationships/hyperlink" Target="http://4ammedia.zendesk.com/agent/tickets/159271" TargetMode="External"/><Relationship Id="rId374" Type="http://schemas.openxmlformats.org/officeDocument/2006/relationships/hyperlink" Target="https://4ammedia.zendesk.com/agent/tickets/275877" TargetMode="External"/><Relationship Id="rId131" Type="http://schemas.openxmlformats.org/officeDocument/2006/relationships/hyperlink" Target="https://horizondirect.gorgias.com/app/ticket/384181193" TargetMode="External"/><Relationship Id="rId252" Type="http://schemas.openxmlformats.org/officeDocument/2006/relationships/hyperlink" Target="https://4ammedia.zendesk.com/agent/tickets/155649" TargetMode="External"/><Relationship Id="rId373" Type="http://schemas.openxmlformats.org/officeDocument/2006/relationships/hyperlink" Target="https://4ammedia.zendesk.com/agent/tickets/273006" TargetMode="External"/><Relationship Id="rId130" Type="http://schemas.openxmlformats.org/officeDocument/2006/relationships/hyperlink" Target="https://horizondirect.gorgias.com/app/ticket/384164234" TargetMode="External"/><Relationship Id="rId251" Type="http://schemas.openxmlformats.org/officeDocument/2006/relationships/hyperlink" Target="https://4ammedia.zendesk.com/agent/tickets/155439" TargetMode="External"/><Relationship Id="rId372" Type="http://schemas.openxmlformats.org/officeDocument/2006/relationships/hyperlink" Target="https://4ammedia.zendesk.com/agent/tickets/272995" TargetMode="External"/><Relationship Id="rId250" Type="http://schemas.openxmlformats.org/officeDocument/2006/relationships/hyperlink" Target="https://4ammedia.zendesk.com/agent/tickets/155403" TargetMode="External"/><Relationship Id="rId371" Type="http://schemas.openxmlformats.org/officeDocument/2006/relationships/hyperlink" Target="https://4ammedia.zendesk.com/agent/tickets/272879" TargetMode="External"/><Relationship Id="rId136" Type="http://schemas.openxmlformats.org/officeDocument/2006/relationships/hyperlink" Target="https://horizondirect.gorgias.com/app/ticket/384437722" TargetMode="External"/><Relationship Id="rId257" Type="http://schemas.openxmlformats.org/officeDocument/2006/relationships/hyperlink" Target="https://4ammedia.zendesk.com/agent/tickets/161206" TargetMode="External"/><Relationship Id="rId378" Type="http://schemas.openxmlformats.org/officeDocument/2006/relationships/hyperlink" Target="https://4ammedia.zendesk.com/agent/tickets/278435" TargetMode="External"/><Relationship Id="rId135" Type="http://schemas.openxmlformats.org/officeDocument/2006/relationships/hyperlink" Target="https://horizondirect.gorgias.com/app/ticket/384327072" TargetMode="External"/><Relationship Id="rId256" Type="http://schemas.openxmlformats.org/officeDocument/2006/relationships/hyperlink" Target="https://4ammedia.zendesk.com/agent/tickets/161162" TargetMode="External"/><Relationship Id="rId377" Type="http://schemas.openxmlformats.org/officeDocument/2006/relationships/hyperlink" Target="https://4ammedia.zendesk.com/agent/tickets/278157" TargetMode="External"/><Relationship Id="rId134" Type="http://schemas.openxmlformats.org/officeDocument/2006/relationships/hyperlink" Target="https://horizondirect.gorgias.com/app/ticket/384312945" TargetMode="External"/><Relationship Id="rId255" Type="http://schemas.openxmlformats.org/officeDocument/2006/relationships/hyperlink" Target="https://4ammedia.zendesk.com/agent/tickets/159518" TargetMode="External"/><Relationship Id="rId376" Type="http://schemas.openxmlformats.org/officeDocument/2006/relationships/hyperlink" Target="https://4ammedia.zendesk.com/agent/tickets/276279" TargetMode="External"/><Relationship Id="rId133" Type="http://schemas.openxmlformats.org/officeDocument/2006/relationships/hyperlink" Target="https://horizondirect.gorgias.com/app/ticket/384302466" TargetMode="External"/><Relationship Id="rId254" Type="http://schemas.openxmlformats.org/officeDocument/2006/relationships/hyperlink" Target="https://4ammedia.zendesk.com/agent/tickets/159313" TargetMode="External"/><Relationship Id="rId375" Type="http://schemas.openxmlformats.org/officeDocument/2006/relationships/hyperlink" Target="https://4ammedia.zendesk.com/agent/tickets/276065" TargetMode="External"/><Relationship Id="rId172" Type="http://schemas.openxmlformats.org/officeDocument/2006/relationships/hyperlink" Target="https://horizondirect.gorgias.com/app/ticket/386740427" TargetMode="External"/><Relationship Id="rId293" Type="http://schemas.openxmlformats.org/officeDocument/2006/relationships/hyperlink" Target="https://4ammedia.zendesk.com/agent/tickets/195066" TargetMode="External"/><Relationship Id="rId171" Type="http://schemas.openxmlformats.org/officeDocument/2006/relationships/hyperlink" Target="https://horizondirect.gorgias.com/app/ticket/386659486" TargetMode="External"/><Relationship Id="rId292" Type="http://schemas.openxmlformats.org/officeDocument/2006/relationships/hyperlink" Target="https://4ammedia.zendesk.com/agent/tickets/194996" TargetMode="External"/><Relationship Id="rId170" Type="http://schemas.openxmlformats.org/officeDocument/2006/relationships/hyperlink" Target="https://horizondirect.gorgias.com/app/ticket/386652755" TargetMode="External"/><Relationship Id="rId291" Type="http://schemas.openxmlformats.org/officeDocument/2006/relationships/hyperlink" Target="https://4ammedia.zendesk.com/agent/tickets/194847" TargetMode="External"/><Relationship Id="rId290" Type="http://schemas.openxmlformats.org/officeDocument/2006/relationships/hyperlink" Target="https://4ammedia.zendesk.com/agent/tickets/193536" TargetMode="External"/><Relationship Id="rId165" Type="http://schemas.openxmlformats.org/officeDocument/2006/relationships/hyperlink" Target="https://horizondirect.gorgias.com/app/ticket/386100966" TargetMode="External"/><Relationship Id="rId286" Type="http://schemas.openxmlformats.org/officeDocument/2006/relationships/hyperlink" Target="https://assets.aircall.io/calls/3894006920/recording/info" TargetMode="External"/><Relationship Id="rId164" Type="http://schemas.openxmlformats.org/officeDocument/2006/relationships/hyperlink" Target="https://horizondirect.gorgias.com/app/ticket/386091351" TargetMode="External"/><Relationship Id="rId285" Type="http://schemas.openxmlformats.org/officeDocument/2006/relationships/hyperlink" Target="https://4ammedia.zendesk.com/agent/tickets/189914" TargetMode="External"/><Relationship Id="rId163" Type="http://schemas.openxmlformats.org/officeDocument/2006/relationships/hyperlink" Target="https://horizondirect.gorgias.com/app/ticket/386073837" TargetMode="External"/><Relationship Id="rId284" Type="http://schemas.openxmlformats.org/officeDocument/2006/relationships/hyperlink" Target="https://4ammedia.zendesk.com/agent/tickets/189804" TargetMode="External"/><Relationship Id="rId162" Type="http://schemas.openxmlformats.org/officeDocument/2006/relationships/hyperlink" Target="https://horizondirect.gorgias.com/app/ticket/385959345" TargetMode="External"/><Relationship Id="rId283" Type="http://schemas.openxmlformats.org/officeDocument/2006/relationships/hyperlink" Target="https://4ammedia.zendesk.com/agent/tickets/189622" TargetMode="External"/><Relationship Id="rId169" Type="http://schemas.openxmlformats.org/officeDocument/2006/relationships/hyperlink" Target="https://horizondirect.gorgias.com/app/ticket/386642822" TargetMode="External"/><Relationship Id="rId168" Type="http://schemas.openxmlformats.org/officeDocument/2006/relationships/hyperlink" Target="https://horizondirect.gorgias.com/app/ticket/386516890" TargetMode="External"/><Relationship Id="rId289" Type="http://schemas.openxmlformats.org/officeDocument/2006/relationships/hyperlink" Target="https://4ammedia.zendesk.com/agent/tickets/193383" TargetMode="External"/><Relationship Id="rId167" Type="http://schemas.openxmlformats.org/officeDocument/2006/relationships/hyperlink" Target="https://horizondirect.gorgias.com/app/ticket/386511915" TargetMode="External"/><Relationship Id="rId288" Type="http://schemas.openxmlformats.org/officeDocument/2006/relationships/hyperlink" Target="https://assets.aircall.io/calls/3893668333/recording/info" TargetMode="External"/><Relationship Id="rId166" Type="http://schemas.openxmlformats.org/officeDocument/2006/relationships/hyperlink" Target="https://horizondirect.gorgias.com/app/ticket/386506578" TargetMode="External"/><Relationship Id="rId287" Type="http://schemas.openxmlformats.org/officeDocument/2006/relationships/hyperlink" Target="https://assets.aircall.io/calls/3894179319/recording/info" TargetMode="External"/><Relationship Id="rId161" Type="http://schemas.openxmlformats.org/officeDocument/2006/relationships/hyperlink" Target="https://horizondirect.gorgias.com/app/ticket/385957319" TargetMode="External"/><Relationship Id="rId282" Type="http://schemas.openxmlformats.org/officeDocument/2006/relationships/hyperlink" Target="https://4ammedia.zendesk.com/agent/tickets/175973" TargetMode="External"/><Relationship Id="rId160" Type="http://schemas.openxmlformats.org/officeDocument/2006/relationships/hyperlink" Target="https://horizondirect.gorgias.com/app/ticket/385954276" TargetMode="External"/><Relationship Id="rId281" Type="http://schemas.openxmlformats.org/officeDocument/2006/relationships/hyperlink" Target="https://4ammedia.zendesk.com/agent/tickets/175932" TargetMode="External"/><Relationship Id="rId280" Type="http://schemas.openxmlformats.org/officeDocument/2006/relationships/hyperlink" Target="https://4ammedia.zendesk.com/agent/tickets/175861" TargetMode="External"/><Relationship Id="rId159" Type="http://schemas.openxmlformats.org/officeDocument/2006/relationships/hyperlink" Target="https://horizondirect.gorgias.com/app/ticket/385850250" TargetMode="External"/><Relationship Id="rId154" Type="http://schemas.openxmlformats.org/officeDocument/2006/relationships/hyperlink" Target="https://horizondirect.gorgias.com/app/ticket/385747442" TargetMode="External"/><Relationship Id="rId275" Type="http://schemas.openxmlformats.org/officeDocument/2006/relationships/hyperlink" Target="https://4ammedia.zendesk.com/agent/tickets/173227" TargetMode="External"/><Relationship Id="rId396" Type="http://schemas.openxmlformats.org/officeDocument/2006/relationships/hyperlink" Target="https://4ammedia.zendesk.com/agent/tickets/302057" TargetMode="External"/><Relationship Id="rId153" Type="http://schemas.openxmlformats.org/officeDocument/2006/relationships/hyperlink" Target="https://horizondirect.gorgias.com/app/ticket/385626620" TargetMode="External"/><Relationship Id="rId274" Type="http://schemas.openxmlformats.org/officeDocument/2006/relationships/hyperlink" Target="https://4ammedia.zendesk.com/agent/tickets/173182" TargetMode="External"/><Relationship Id="rId395" Type="http://schemas.openxmlformats.org/officeDocument/2006/relationships/hyperlink" Target="https://4ammedia.zendesk.com/agent/tickets/301976" TargetMode="External"/><Relationship Id="rId152" Type="http://schemas.openxmlformats.org/officeDocument/2006/relationships/hyperlink" Target="https://horizondirect.gorgias.com/app/ticket/385621649" TargetMode="External"/><Relationship Id="rId273" Type="http://schemas.openxmlformats.org/officeDocument/2006/relationships/hyperlink" Target="https://4ammedia.zendesk.com/agent/tickets/171904" TargetMode="External"/><Relationship Id="rId394" Type="http://schemas.openxmlformats.org/officeDocument/2006/relationships/hyperlink" Target="https://4ammedia.zendesk.com/agent/tickets/297409" TargetMode="External"/><Relationship Id="rId151" Type="http://schemas.openxmlformats.org/officeDocument/2006/relationships/hyperlink" Target="https://horizondirect.gorgias.com/app/ticket/385610600" TargetMode="External"/><Relationship Id="rId272" Type="http://schemas.openxmlformats.org/officeDocument/2006/relationships/hyperlink" Target="https://4ammedia.zendesk.com/agent/tickets/171743" TargetMode="External"/><Relationship Id="rId393" Type="http://schemas.openxmlformats.org/officeDocument/2006/relationships/hyperlink" Target="https://4ammedia.zendesk.com/agent/tickets/297306" TargetMode="External"/><Relationship Id="rId158" Type="http://schemas.openxmlformats.org/officeDocument/2006/relationships/hyperlink" Target="https://horizondirect.gorgias.com/app/ticket/385844182" TargetMode="External"/><Relationship Id="rId279" Type="http://schemas.openxmlformats.org/officeDocument/2006/relationships/hyperlink" Target="https://4ammedia.zendesk.com/agent/tickets/174880" TargetMode="External"/><Relationship Id="rId157" Type="http://schemas.openxmlformats.org/officeDocument/2006/relationships/hyperlink" Target="https://horizondirect.gorgias.com/app/ticket/385866238" TargetMode="External"/><Relationship Id="rId278" Type="http://schemas.openxmlformats.org/officeDocument/2006/relationships/hyperlink" Target="https://4ammedia.zendesk.com/agent/tickets/174846" TargetMode="External"/><Relationship Id="rId399" Type="http://schemas.openxmlformats.org/officeDocument/2006/relationships/hyperlink" Target="https://4ammedia.zendesk.com/agent/tickets/304232" TargetMode="External"/><Relationship Id="rId156" Type="http://schemas.openxmlformats.org/officeDocument/2006/relationships/hyperlink" Target="https://horizondirect.gorgias.com/app/ticket/385759794" TargetMode="External"/><Relationship Id="rId277" Type="http://schemas.openxmlformats.org/officeDocument/2006/relationships/hyperlink" Target="https://4ammedia.zendesk.com/agent/tickets/174689" TargetMode="External"/><Relationship Id="rId398" Type="http://schemas.openxmlformats.org/officeDocument/2006/relationships/hyperlink" Target="https://4ammedia.zendesk.com/agent/tickets/303975" TargetMode="External"/><Relationship Id="rId155" Type="http://schemas.openxmlformats.org/officeDocument/2006/relationships/hyperlink" Target="https://horizondirect.gorgias.com/app/ticket/385757767" TargetMode="External"/><Relationship Id="rId276" Type="http://schemas.openxmlformats.org/officeDocument/2006/relationships/hyperlink" Target="https://4ammedia.zendesk.com/agent/tickets/173346" TargetMode="External"/><Relationship Id="rId397" Type="http://schemas.openxmlformats.org/officeDocument/2006/relationships/hyperlink" Target="https://4ammedia.zendesk.com/agent/tickets/302082" TargetMode="External"/><Relationship Id="rId40" Type="http://schemas.openxmlformats.org/officeDocument/2006/relationships/hyperlink" Target="https://horizondirect.gorgias.com/app/ticket/378634159" TargetMode="External"/><Relationship Id="rId42" Type="http://schemas.openxmlformats.org/officeDocument/2006/relationships/hyperlink" Target="https://horizondirect.gorgias.com/app/ticket/378653378" TargetMode="External"/><Relationship Id="rId41" Type="http://schemas.openxmlformats.org/officeDocument/2006/relationships/hyperlink" Target="https://horizondirect.gorgias.com/app/ticket/378647453" TargetMode="External"/><Relationship Id="rId44" Type="http://schemas.openxmlformats.org/officeDocument/2006/relationships/hyperlink" Target="https://horizondirect.gorgias.com/app/ticket/378730626" TargetMode="External"/><Relationship Id="rId43" Type="http://schemas.openxmlformats.org/officeDocument/2006/relationships/hyperlink" Target="https://horizondirect.gorgias.com/app/ticket/378716252" TargetMode="External"/><Relationship Id="rId46" Type="http://schemas.openxmlformats.org/officeDocument/2006/relationships/hyperlink" Target="https://horizondirect.gorgias.com/app/ticket/378841700" TargetMode="External"/><Relationship Id="rId45" Type="http://schemas.openxmlformats.org/officeDocument/2006/relationships/hyperlink" Target="https://horizondirect.gorgias.com/app/ticket/378741814" TargetMode="External"/><Relationship Id="rId48" Type="http://schemas.openxmlformats.org/officeDocument/2006/relationships/hyperlink" Target="https://horizondirect.gorgias.com/app/ticket/378880750" TargetMode="External"/><Relationship Id="rId47" Type="http://schemas.openxmlformats.org/officeDocument/2006/relationships/hyperlink" Target="https://horizondirect.gorgias.com/app/ticket/378868070" TargetMode="External"/><Relationship Id="rId49" Type="http://schemas.openxmlformats.org/officeDocument/2006/relationships/hyperlink" Target="https://horizondirect.gorgias.com/app/ticket/378983013" TargetMode="External"/><Relationship Id="rId31" Type="http://schemas.openxmlformats.org/officeDocument/2006/relationships/hyperlink" Target="https://horizondirect.gorgias.com/app/ticket/377931983" TargetMode="External"/><Relationship Id="rId30" Type="http://schemas.openxmlformats.org/officeDocument/2006/relationships/hyperlink" Target="https://horizondirect.gorgias.com/app/ticket/377644218" TargetMode="External"/><Relationship Id="rId33" Type="http://schemas.openxmlformats.org/officeDocument/2006/relationships/hyperlink" Target="https://horizondirect.gorgias.com/app/ticket/377923110" TargetMode="External"/><Relationship Id="rId32" Type="http://schemas.openxmlformats.org/officeDocument/2006/relationships/hyperlink" Target="https://horizondirect.gorgias.com/app/ticket/377924936" TargetMode="External"/><Relationship Id="rId35" Type="http://schemas.openxmlformats.org/officeDocument/2006/relationships/hyperlink" Target="https://horizondirect.gorgias.com/app/ticket/378112762" TargetMode="External"/><Relationship Id="rId34" Type="http://schemas.openxmlformats.org/officeDocument/2006/relationships/hyperlink" Target="https://horizondirect.gorgias.com/app/ticket/378093114" TargetMode="External"/><Relationship Id="rId37" Type="http://schemas.openxmlformats.org/officeDocument/2006/relationships/hyperlink" Target="https://horizondirect.gorgias.com/app/ticket/378559165" TargetMode="External"/><Relationship Id="rId36" Type="http://schemas.openxmlformats.org/officeDocument/2006/relationships/hyperlink" Target="https://horizondirect.gorgias.com/app/ticket/378121482" TargetMode="External"/><Relationship Id="rId39" Type="http://schemas.openxmlformats.org/officeDocument/2006/relationships/hyperlink" Target="https://horizondirect.gorgias.com/app/ticket/378570340" TargetMode="External"/><Relationship Id="rId38" Type="http://schemas.openxmlformats.org/officeDocument/2006/relationships/hyperlink" Target="https://horizondirect.gorgias.com/app/ticket/378561714" TargetMode="External"/><Relationship Id="rId20" Type="http://schemas.openxmlformats.org/officeDocument/2006/relationships/hyperlink" Target="https://horizondirect.gorgias.com/app/ticket/377209081" TargetMode="External"/><Relationship Id="rId22" Type="http://schemas.openxmlformats.org/officeDocument/2006/relationships/hyperlink" Target="https://horizondirect.gorgias.com/app/ticket/377328281" TargetMode="External"/><Relationship Id="rId21" Type="http://schemas.openxmlformats.org/officeDocument/2006/relationships/hyperlink" Target="https://horizondirect.gorgias.com/app/ticket/377189337" TargetMode="External"/><Relationship Id="rId24" Type="http://schemas.openxmlformats.org/officeDocument/2006/relationships/hyperlink" Target="https://horizondirect.gorgias.com/app/ticket/377362263" TargetMode="External"/><Relationship Id="rId23" Type="http://schemas.openxmlformats.org/officeDocument/2006/relationships/hyperlink" Target="https://horizondirect.gorgias.com/app/ticket/377342007" TargetMode="External"/><Relationship Id="rId409" Type="http://schemas.openxmlformats.org/officeDocument/2006/relationships/hyperlink" Target="https://4ammedia.zendesk.com/agent/tickets/322252" TargetMode="External"/><Relationship Id="rId404" Type="http://schemas.openxmlformats.org/officeDocument/2006/relationships/hyperlink" Target="https://4ammedia.zendesk.com/agent/tickets/314970" TargetMode="External"/><Relationship Id="rId403" Type="http://schemas.openxmlformats.org/officeDocument/2006/relationships/hyperlink" Target="https://4ammedia.zendesk.com/agent/tickets/306105" TargetMode="External"/><Relationship Id="rId402" Type="http://schemas.openxmlformats.org/officeDocument/2006/relationships/hyperlink" Target="https://4ammedia.zendesk.com/agent/tickets/305982" TargetMode="External"/><Relationship Id="rId401" Type="http://schemas.openxmlformats.org/officeDocument/2006/relationships/hyperlink" Target="https://4ammedia.zendesk.com/agent/tickets/305911" TargetMode="External"/><Relationship Id="rId408" Type="http://schemas.openxmlformats.org/officeDocument/2006/relationships/hyperlink" Target="https://4ammedia.zendesk.com/agent/tickets/322065" TargetMode="External"/><Relationship Id="rId407" Type="http://schemas.openxmlformats.org/officeDocument/2006/relationships/hyperlink" Target="https://4ammedia.zendesk.com/agent/tickets/321893" TargetMode="External"/><Relationship Id="rId406" Type="http://schemas.openxmlformats.org/officeDocument/2006/relationships/hyperlink" Target="https://4ammedia.zendesk.com/agent/tickets/315138" TargetMode="External"/><Relationship Id="rId405" Type="http://schemas.openxmlformats.org/officeDocument/2006/relationships/hyperlink" Target="https://4ammedia.zendesk.com/agent/tickets/315089" TargetMode="External"/><Relationship Id="rId26" Type="http://schemas.openxmlformats.org/officeDocument/2006/relationships/hyperlink" Target="https://horizondirect.gorgias.com/app/ticket/377488652" TargetMode="External"/><Relationship Id="rId25" Type="http://schemas.openxmlformats.org/officeDocument/2006/relationships/hyperlink" Target="https://horizondirect.gorgias.com/app/ticket/377485409" TargetMode="External"/><Relationship Id="rId28" Type="http://schemas.openxmlformats.org/officeDocument/2006/relationships/hyperlink" Target="https://horizondirect.gorgias.com/app/ticket/377605229" TargetMode="External"/><Relationship Id="rId27" Type="http://schemas.openxmlformats.org/officeDocument/2006/relationships/hyperlink" Target="https://horizondirect.gorgias.com/app/ticket/377516895" TargetMode="External"/><Relationship Id="rId400" Type="http://schemas.openxmlformats.org/officeDocument/2006/relationships/hyperlink" Target="https://4ammedia.zendesk.com/agent/tickets/304306" TargetMode="External"/><Relationship Id="rId29" Type="http://schemas.openxmlformats.org/officeDocument/2006/relationships/hyperlink" Target="https://horizondirect.gorgias.com/app/ticket/377626693" TargetMode="External"/><Relationship Id="rId11" Type="http://schemas.openxmlformats.org/officeDocument/2006/relationships/hyperlink" Target="https://horizondirect.gorgias.com/app/ticket/376724254" TargetMode="External"/><Relationship Id="rId10" Type="http://schemas.openxmlformats.org/officeDocument/2006/relationships/hyperlink" Target="https://horizondirect.gorgias.com/app/ticket/376704054" TargetMode="External"/><Relationship Id="rId13" Type="http://schemas.openxmlformats.org/officeDocument/2006/relationships/hyperlink" Target="https://horizondirect.gorgias.com/app/ticket/376792578" TargetMode="External"/><Relationship Id="rId12" Type="http://schemas.openxmlformats.org/officeDocument/2006/relationships/hyperlink" Target="https://horizondirect.gorgias.com/app/ticket/376706349" TargetMode="External"/><Relationship Id="rId15" Type="http://schemas.openxmlformats.org/officeDocument/2006/relationships/hyperlink" Target="https://horizondirect.gorgias.com/app/ticket/376817573" TargetMode="External"/><Relationship Id="rId14" Type="http://schemas.openxmlformats.org/officeDocument/2006/relationships/hyperlink" Target="https://horizondirect.gorgias.com/app/ticket/376796013" TargetMode="External"/><Relationship Id="rId17" Type="http://schemas.openxmlformats.org/officeDocument/2006/relationships/hyperlink" Target="https://horizondirect.gorgias.com/app/ticket/377031632" TargetMode="External"/><Relationship Id="rId16" Type="http://schemas.openxmlformats.org/officeDocument/2006/relationships/hyperlink" Target="https://horizondirect.gorgias.com/app/ticket/377024182" TargetMode="External"/><Relationship Id="rId19" Type="http://schemas.openxmlformats.org/officeDocument/2006/relationships/hyperlink" Target="https://horizondirect.gorgias.com/app/ticket/377192167" TargetMode="External"/><Relationship Id="rId18" Type="http://schemas.openxmlformats.org/officeDocument/2006/relationships/hyperlink" Target="https://horizondirect.gorgias.com/app/ticket/377180919" TargetMode="External"/><Relationship Id="rId84" Type="http://schemas.openxmlformats.org/officeDocument/2006/relationships/hyperlink" Target="https://horizondirect.gorgias.com/app/ticket/381034076" TargetMode="External"/><Relationship Id="rId83" Type="http://schemas.openxmlformats.org/officeDocument/2006/relationships/hyperlink" Target="https://horizondirect.gorgias.com/app/ticket/381008676" TargetMode="External"/><Relationship Id="rId86" Type="http://schemas.openxmlformats.org/officeDocument/2006/relationships/hyperlink" Target="https://horizondirect.gorgias.com/app/ticket/381143546" TargetMode="External"/><Relationship Id="rId85" Type="http://schemas.openxmlformats.org/officeDocument/2006/relationships/hyperlink" Target="https://horizondirect.gorgias.com/app/ticket/381126144" TargetMode="External"/><Relationship Id="rId88" Type="http://schemas.openxmlformats.org/officeDocument/2006/relationships/hyperlink" Target="https://horizondirect.gorgias.com/app/ticket/381258162" TargetMode="External"/><Relationship Id="rId87" Type="http://schemas.openxmlformats.org/officeDocument/2006/relationships/hyperlink" Target="https://horizondirect.gorgias.com/app/ticket/381146065" TargetMode="External"/><Relationship Id="rId89" Type="http://schemas.openxmlformats.org/officeDocument/2006/relationships/hyperlink" Target="http://horizondirect.gorgias.com/app/ticket/381253455" TargetMode="External"/><Relationship Id="rId80" Type="http://schemas.openxmlformats.org/officeDocument/2006/relationships/hyperlink" Target="https://horizondirect.gorgias.com/app/ticket/380732495" TargetMode="External"/><Relationship Id="rId82" Type="http://schemas.openxmlformats.org/officeDocument/2006/relationships/hyperlink" Target="https://horizondirect.gorgias.com/app/ticket/380995720" TargetMode="External"/><Relationship Id="rId81" Type="http://schemas.openxmlformats.org/officeDocument/2006/relationships/hyperlink" Target="https://horizondirect.gorgias.com/app/ticket/380733664" TargetMode="External"/><Relationship Id="rId73" Type="http://schemas.openxmlformats.org/officeDocument/2006/relationships/hyperlink" Target="https://horizondirect.gorgias.com/app/ticket/380350488" TargetMode="External"/><Relationship Id="rId72" Type="http://schemas.openxmlformats.org/officeDocument/2006/relationships/hyperlink" Target="https://horizondirect.gorgias.com/app/ticket/380275873" TargetMode="External"/><Relationship Id="rId75" Type="http://schemas.openxmlformats.org/officeDocument/2006/relationships/hyperlink" Target="https://horizondirect.gorgias.com/app/ticket/380371686" TargetMode="External"/><Relationship Id="rId74" Type="http://schemas.openxmlformats.org/officeDocument/2006/relationships/hyperlink" Target="https://horizondirect.gorgias.com/app/ticket/380370488" TargetMode="External"/><Relationship Id="rId77" Type="http://schemas.openxmlformats.org/officeDocument/2006/relationships/hyperlink" Target="https://horizondirect.gorgias.com/app/ticket/380582463" TargetMode="External"/><Relationship Id="rId76" Type="http://schemas.openxmlformats.org/officeDocument/2006/relationships/hyperlink" Target="https://horizondirect.gorgias.com/app/ticket/380571217" TargetMode="External"/><Relationship Id="rId79" Type="http://schemas.openxmlformats.org/officeDocument/2006/relationships/hyperlink" Target="https://horizondirect.gorgias.com/app/ticket/380720922" TargetMode="External"/><Relationship Id="rId78" Type="http://schemas.openxmlformats.org/officeDocument/2006/relationships/hyperlink" Target="https://horizondirect.gorgias.com/app/ticket/380621799" TargetMode="External"/><Relationship Id="rId71" Type="http://schemas.openxmlformats.org/officeDocument/2006/relationships/hyperlink" Target="https://horizondirect.gorgias.com/app/ticket/380260616" TargetMode="External"/><Relationship Id="rId70" Type="http://schemas.openxmlformats.org/officeDocument/2006/relationships/hyperlink" Target="https://horizondirect.gorgias.com/app/ticket/380244984" TargetMode="External"/><Relationship Id="rId62" Type="http://schemas.openxmlformats.org/officeDocument/2006/relationships/hyperlink" Target="https://horizondirect.gorgias.com/app/ticket/379687319" TargetMode="External"/><Relationship Id="rId61" Type="http://schemas.openxmlformats.org/officeDocument/2006/relationships/hyperlink" Target="https://horizondirect.gorgias.com/app/ticket/379681295" TargetMode="External"/><Relationship Id="rId64" Type="http://schemas.openxmlformats.org/officeDocument/2006/relationships/hyperlink" Target="https://horizondirect.gorgias.com/app/ticket/379822783" TargetMode="External"/><Relationship Id="rId63" Type="http://schemas.openxmlformats.org/officeDocument/2006/relationships/hyperlink" Target="https://horizondirect.gorgias.com/app/ticket/379704478" TargetMode="External"/><Relationship Id="rId66" Type="http://schemas.openxmlformats.org/officeDocument/2006/relationships/hyperlink" Target="https://horizondirect.gorgias.com/app/ticket/379842607" TargetMode="External"/><Relationship Id="rId65" Type="http://schemas.openxmlformats.org/officeDocument/2006/relationships/hyperlink" Target="https://horizondirect.gorgias.com/app/ticket/379829980" TargetMode="External"/><Relationship Id="rId68" Type="http://schemas.openxmlformats.org/officeDocument/2006/relationships/hyperlink" Target="https://horizondirect.gorgias.com/app/ticket/380141921" TargetMode="External"/><Relationship Id="rId67" Type="http://schemas.openxmlformats.org/officeDocument/2006/relationships/hyperlink" Target="https://horizondirect.gorgias.com/app/ticket/380116275" TargetMode="External"/><Relationship Id="rId60" Type="http://schemas.openxmlformats.org/officeDocument/2006/relationships/hyperlink" Target="https://horizondirect.gorgias.com/app/ticket/379479181" TargetMode="External"/><Relationship Id="rId69" Type="http://schemas.openxmlformats.org/officeDocument/2006/relationships/hyperlink" Target="https://horizondirect.gorgias.com/app/ticket/380156559" TargetMode="External"/><Relationship Id="rId51" Type="http://schemas.openxmlformats.org/officeDocument/2006/relationships/hyperlink" Target="https://horizondirect.gorgias.com/app/ticket/379008799" TargetMode="External"/><Relationship Id="rId50" Type="http://schemas.openxmlformats.org/officeDocument/2006/relationships/hyperlink" Target="https://horizondirect.gorgias.com/app/ticket/379002874" TargetMode="External"/><Relationship Id="rId53" Type="http://schemas.openxmlformats.org/officeDocument/2006/relationships/hyperlink" Target="https://horizondirect.gorgias.com/app/ticket/379253964" TargetMode="External"/><Relationship Id="rId52" Type="http://schemas.openxmlformats.org/officeDocument/2006/relationships/hyperlink" Target="https://horizondirect.gorgias.com/app/ticket/379242998" TargetMode="External"/><Relationship Id="rId55" Type="http://schemas.openxmlformats.org/officeDocument/2006/relationships/hyperlink" Target="https://horizondirect.gorgias.com/app/ticket/379373715" TargetMode="External"/><Relationship Id="rId54" Type="http://schemas.openxmlformats.org/officeDocument/2006/relationships/hyperlink" Target="https://horizondirect.gorgias.com/app/ticket/379270072" TargetMode="External"/><Relationship Id="rId57" Type="http://schemas.openxmlformats.org/officeDocument/2006/relationships/hyperlink" Target="https://horizondirect.gorgias.com/app/ticket/379408347" TargetMode="External"/><Relationship Id="rId56" Type="http://schemas.openxmlformats.org/officeDocument/2006/relationships/hyperlink" Target="https://horizondirect.gorgias.com/app/ticket/379380602" TargetMode="External"/><Relationship Id="rId59" Type="http://schemas.openxmlformats.org/officeDocument/2006/relationships/hyperlink" Target="https://horizondirect.gorgias.com/app/ticket/379472122" TargetMode="External"/><Relationship Id="rId58" Type="http://schemas.openxmlformats.org/officeDocument/2006/relationships/hyperlink" Target="https://horizondirect.gorgias.com/app/ticket/379468952" TargetMode="External"/><Relationship Id="rId107" Type="http://schemas.openxmlformats.org/officeDocument/2006/relationships/hyperlink" Target="https://horizondirect.gorgias.com/app/ticket/382552088" TargetMode="External"/><Relationship Id="rId228" Type="http://schemas.openxmlformats.org/officeDocument/2006/relationships/hyperlink" Target="https://assets.aircall.io/calls/3781673751/recording" TargetMode="External"/><Relationship Id="rId349" Type="http://schemas.openxmlformats.org/officeDocument/2006/relationships/hyperlink" Target="https://4ammedia.zendesk.com/agent/tickets/252429" TargetMode="External"/><Relationship Id="rId106" Type="http://schemas.openxmlformats.org/officeDocument/2006/relationships/hyperlink" Target="https://horizondirect.gorgias.com/app/ticket/382546928" TargetMode="External"/><Relationship Id="rId227" Type="http://schemas.openxmlformats.org/officeDocument/2006/relationships/hyperlink" Target="https://assets.aircall.io/calls/3781613129/recording" TargetMode="External"/><Relationship Id="rId348" Type="http://schemas.openxmlformats.org/officeDocument/2006/relationships/hyperlink" Target="https://4ammedia.zendesk.com/agent/tickets/252323" TargetMode="External"/><Relationship Id="rId469" Type="http://schemas.openxmlformats.org/officeDocument/2006/relationships/hyperlink" Target="https://4ammedia.zendesk.com/agent/tickets/403222" TargetMode="External"/><Relationship Id="rId105" Type="http://schemas.openxmlformats.org/officeDocument/2006/relationships/hyperlink" Target="https://horizondirect.gorgias.com/app/ticket/382327731" TargetMode="External"/><Relationship Id="rId226" Type="http://schemas.openxmlformats.org/officeDocument/2006/relationships/hyperlink" Target="https://assets.aircall.io/calls/3781493611/recording" TargetMode="External"/><Relationship Id="rId347" Type="http://schemas.openxmlformats.org/officeDocument/2006/relationships/hyperlink" Target="https://4ammedia.zendesk.com/agent/tickets/252173" TargetMode="External"/><Relationship Id="rId468" Type="http://schemas.openxmlformats.org/officeDocument/2006/relationships/hyperlink" Target="https://4ammedia.zendesk.com/agent/tickets/403093" TargetMode="External"/><Relationship Id="rId104" Type="http://schemas.openxmlformats.org/officeDocument/2006/relationships/hyperlink" Target="https://horizondirect.gorgias.com/app/ticket/382317236" TargetMode="External"/><Relationship Id="rId225" Type="http://schemas.openxmlformats.org/officeDocument/2006/relationships/hyperlink" Target="https://assets.aircall.io/calls/3777781523/recording" TargetMode="External"/><Relationship Id="rId346" Type="http://schemas.openxmlformats.org/officeDocument/2006/relationships/hyperlink" Target="https://4ammedia.zendesk.com/agent/tickets/250102" TargetMode="External"/><Relationship Id="rId467" Type="http://schemas.openxmlformats.org/officeDocument/2006/relationships/hyperlink" Target="https://4ammedia.zendesk.com/agent/tickets/402906" TargetMode="External"/><Relationship Id="rId109" Type="http://schemas.openxmlformats.org/officeDocument/2006/relationships/hyperlink" Target="https://horizondirect.gorgias.com/app/ticket/382309115" TargetMode="External"/><Relationship Id="rId108" Type="http://schemas.openxmlformats.org/officeDocument/2006/relationships/hyperlink" Target="https://horizondirect.gorgias.com/app/ticket/382567700" TargetMode="External"/><Relationship Id="rId229" Type="http://schemas.openxmlformats.org/officeDocument/2006/relationships/hyperlink" Target="https://assets.aircall.io/calls/3782189029/recording" TargetMode="External"/><Relationship Id="rId220" Type="http://schemas.openxmlformats.org/officeDocument/2006/relationships/hyperlink" Target="https://assets.aircall.io/calls/3776387039/recording" TargetMode="External"/><Relationship Id="rId341" Type="http://schemas.openxmlformats.org/officeDocument/2006/relationships/hyperlink" Target="https://4ammedia.zendesk.com/agent/tickets/244949" TargetMode="External"/><Relationship Id="rId462" Type="http://schemas.openxmlformats.org/officeDocument/2006/relationships/hyperlink" Target="https://4ammedia.zendesk.com/agent/tickets/396003" TargetMode="External"/><Relationship Id="rId340" Type="http://schemas.openxmlformats.org/officeDocument/2006/relationships/hyperlink" Target="https://4ammedia.zendesk.com/agent/tickets/242978" TargetMode="External"/><Relationship Id="rId461" Type="http://schemas.openxmlformats.org/officeDocument/2006/relationships/hyperlink" Target="https://4ammedia.zendesk.com/agent/tickets/395587" TargetMode="External"/><Relationship Id="rId460" Type="http://schemas.openxmlformats.org/officeDocument/2006/relationships/hyperlink" Target="https://4ammedia.zendesk.com/agent/tickets/389288" TargetMode="External"/><Relationship Id="rId103" Type="http://schemas.openxmlformats.org/officeDocument/2006/relationships/hyperlink" Target="https://horizondirect.gorgias.com/app/ticket/382217432" TargetMode="External"/><Relationship Id="rId224" Type="http://schemas.openxmlformats.org/officeDocument/2006/relationships/hyperlink" Target="https://assets.aircall.io/calls/3777764027/recording" TargetMode="External"/><Relationship Id="rId345" Type="http://schemas.openxmlformats.org/officeDocument/2006/relationships/hyperlink" Target="https://4ammedia.zendesk.com/agent/tickets/249944" TargetMode="External"/><Relationship Id="rId466" Type="http://schemas.openxmlformats.org/officeDocument/2006/relationships/hyperlink" Target="https://4ammedia.zendesk.com/agent/tickets/399242" TargetMode="External"/><Relationship Id="rId102" Type="http://schemas.openxmlformats.org/officeDocument/2006/relationships/hyperlink" Target="https://horizondirect.gorgias.com/app/ticket/382213187" TargetMode="External"/><Relationship Id="rId223" Type="http://schemas.openxmlformats.org/officeDocument/2006/relationships/hyperlink" Target="https://assets.aircall.io/calls/3777678192/recording" TargetMode="External"/><Relationship Id="rId344" Type="http://schemas.openxmlformats.org/officeDocument/2006/relationships/hyperlink" Target="https://4ammedia.zendesk.com/agent/tickets/249692" TargetMode="External"/><Relationship Id="rId465" Type="http://schemas.openxmlformats.org/officeDocument/2006/relationships/hyperlink" Target="https://4ammedia.zendesk.com/agent/tickets/398978" TargetMode="External"/><Relationship Id="rId101" Type="http://schemas.openxmlformats.org/officeDocument/2006/relationships/hyperlink" Target="https://horizondirect.gorgias.com/app/ticket/382204671" TargetMode="External"/><Relationship Id="rId222" Type="http://schemas.openxmlformats.org/officeDocument/2006/relationships/hyperlink" Target="https://assets.aircall.io/calls/3776470412/recording" TargetMode="External"/><Relationship Id="rId343" Type="http://schemas.openxmlformats.org/officeDocument/2006/relationships/hyperlink" Target="https://4ammedia.zendesk.com/agent/tickets/245174" TargetMode="External"/><Relationship Id="rId464" Type="http://schemas.openxmlformats.org/officeDocument/2006/relationships/hyperlink" Target="https://4ammedia.zendesk.com/agent/tickets/398816" TargetMode="External"/><Relationship Id="rId100" Type="http://schemas.openxmlformats.org/officeDocument/2006/relationships/hyperlink" Target="https://horizondirect.gorgias.com/app/ticket/382200768" TargetMode="External"/><Relationship Id="rId221" Type="http://schemas.openxmlformats.org/officeDocument/2006/relationships/hyperlink" Target="https://assets.aircall.io/calls/3776408130/recording" TargetMode="External"/><Relationship Id="rId342" Type="http://schemas.openxmlformats.org/officeDocument/2006/relationships/hyperlink" Target="https://4ammedia.zendesk.com/agent/tickets/245113" TargetMode="External"/><Relationship Id="rId463" Type="http://schemas.openxmlformats.org/officeDocument/2006/relationships/hyperlink" Target="https://4ammedia.zendesk.com/agent/tickets/396059" TargetMode="External"/><Relationship Id="rId217" Type="http://schemas.openxmlformats.org/officeDocument/2006/relationships/hyperlink" Target="https://assets.aircall.io/calls/3772534029/recording" TargetMode="External"/><Relationship Id="rId338" Type="http://schemas.openxmlformats.org/officeDocument/2006/relationships/hyperlink" Target="https://4ammedia.zendesk.com/agent/tickets/242818" TargetMode="External"/><Relationship Id="rId459" Type="http://schemas.openxmlformats.org/officeDocument/2006/relationships/hyperlink" Target="https://4ammedia.zendesk.com/agent/tickets/389254" TargetMode="External"/><Relationship Id="rId216" Type="http://schemas.openxmlformats.org/officeDocument/2006/relationships/hyperlink" Target="https://assets.aircall.io/calls/3761647767/recording" TargetMode="External"/><Relationship Id="rId337" Type="http://schemas.openxmlformats.org/officeDocument/2006/relationships/hyperlink" Target="https://4ammedia.zendesk.com/agent/tickets/240795" TargetMode="External"/><Relationship Id="rId458" Type="http://schemas.openxmlformats.org/officeDocument/2006/relationships/hyperlink" Target="https://4ammedia.zendesk.com/agent/tickets/389166" TargetMode="External"/><Relationship Id="rId215" Type="http://schemas.openxmlformats.org/officeDocument/2006/relationships/hyperlink" Target="https://assets.aircall.io/calls/3761631706/recording" TargetMode="External"/><Relationship Id="rId336" Type="http://schemas.openxmlformats.org/officeDocument/2006/relationships/hyperlink" Target="https://4ammedia.zendesk.com/agent/tickets/240702" TargetMode="External"/><Relationship Id="rId457" Type="http://schemas.openxmlformats.org/officeDocument/2006/relationships/hyperlink" Target="https://4ammedia.zendesk.com/agent/tickets/382257" TargetMode="External"/><Relationship Id="rId214" Type="http://schemas.openxmlformats.org/officeDocument/2006/relationships/hyperlink" Target="https://assets.aircall.io/calls/3761469896/recording" TargetMode="External"/><Relationship Id="rId335" Type="http://schemas.openxmlformats.org/officeDocument/2006/relationships/hyperlink" Target="https://4ammedia.zendesk.com/agent/tickets/240593" TargetMode="External"/><Relationship Id="rId456" Type="http://schemas.openxmlformats.org/officeDocument/2006/relationships/hyperlink" Target="https://4ammedia.zendesk.com/agent/tickets/382094" TargetMode="External"/><Relationship Id="rId219" Type="http://schemas.openxmlformats.org/officeDocument/2006/relationships/hyperlink" Target="https://assets.aircall.io/calls/3772678339/recording" TargetMode="External"/><Relationship Id="rId218" Type="http://schemas.openxmlformats.org/officeDocument/2006/relationships/hyperlink" Target="http://cad0664c00fcf0351037c47e6bc35badd9/" TargetMode="External"/><Relationship Id="rId339" Type="http://schemas.openxmlformats.org/officeDocument/2006/relationships/hyperlink" Target="https://4ammedia.zendesk.com/agent/tickets/242904" TargetMode="External"/><Relationship Id="rId330" Type="http://schemas.openxmlformats.org/officeDocument/2006/relationships/hyperlink" Target="https://4ammedia.zendesk.com/agent/tickets/236921" TargetMode="External"/><Relationship Id="rId451" Type="http://schemas.openxmlformats.org/officeDocument/2006/relationships/hyperlink" Target="https://4ammedia.zendesk.com/agent/tickets/376853" TargetMode="External"/><Relationship Id="rId450" Type="http://schemas.openxmlformats.org/officeDocument/2006/relationships/hyperlink" Target="https://4ammedia.zendesk.com/agent/tickets/376817" TargetMode="External"/><Relationship Id="rId213" Type="http://schemas.openxmlformats.org/officeDocument/2006/relationships/hyperlink" Target="https://assets.aircall.io/calls/3757317432/recording" TargetMode="External"/><Relationship Id="rId334" Type="http://schemas.openxmlformats.org/officeDocument/2006/relationships/hyperlink" Target="https://4ammedia.zendesk.com/agent/tickets/239074" TargetMode="External"/><Relationship Id="rId455" Type="http://schemas.openxmlformats.org/officeDocument/2006/relationships/hyperlink" Target="https://4ammedia.zendesk.com/agent/tickets/382012" TargetMode="External"/><Relationship Id="rId212" Type="http://schemas.openxmlformats.org/officeDocument/2006/relationships/hyperlink" Target="https://assets.aircall.io/calls/3757228621/recording" TargetMode="External"/><Relationship Id="rId333" Type="http://schemas.openxmlformats.org/officeDocument/2006/relationships/hyperlink" Target="https://4ammedia.zendesk.com/agent/tickets/238954" TargetMode="External"/><Relationship Id="rId454" Type="http://schemas.openxmlformats.org/officeDocument/2006/relationships/hyperlink" Target="https://4ammedia.zendesk.com/agent/tickets/379588" TargetMode="External"/><Relationship Id="rId211" Type="http://schemas.openxmlformats.org/officeDocument/2006/relationships/hyperlink" Target="https://assets.aircall.io/calls/3757212380/recording" TargetMode="External"/><Relationship Id="rId332" Type="http://schemas.openxmlformats.org/officeDocument/2006/relationships/hyperlink" Target="https://4ammedia.zendesk.com/agent/tickets/238861" TargetMode="External"/><Relationship Id="rId453" Type="http://schemas.openxmlformats.org/officeDocument/2006/relationships/hyperlink" Target="https://4ammedia.zendesk.com/agent/tickets/379435" TargetMode="External"/><Relationship Id="rId210" Type="http://schemas.openxmlformats.org/officeDocument/2006/relationships/hyperlink" Target="https://assets.aircall.io/calls/3756800384/recording" TargetMode="External"/><Relationship Id="rId331" Type="http://schemas.openxmlformats.org/officeDocument/2006/relationships/hyperlink" Target="https://4ammedia.zendesk.com/agent/tickets/236975" TargetMode="External"/><Relationship Id="rId452" Type="http://schemas.openxmlformats.org/officeDocument/2006/relationships/hyperlink" Target="https://4ammedia.zendesk.com/agent/tickets/379115" TargetMode="External"/><Relationship Id="rId370" Type="http://schemas.openxmlformats.org/officeDocument/2006/relationships/hyperlink" Target="https://4ammedia.zendesk.com/agent/tickets/270902" TargetMode="External"/><Relationship Id="rId129" Type="http://schemas.openxmlformats.org/officeDocument/2006/relationships/hyperlink" Target="https://horizondirect.gorgias.com/app/ticket/383853668" TargetMode="External"/><Relationship Id="rId128" Type="http://schemas.openxmlformats.org/officeDocument/2006/relationships/hyperlink" Target="https://horizondirect.gorgias.com/app/ticket/383852909" TargetMode="External"/><Relationship Id="rId249" Type="http://schemas.openxmlformats.org/officeDocument/2006/relationships/hyperlink" Target="https://4ammedia.zendesk.com/agent/tickets/143609" TargetMode="External"/><Relationship Id="rId127" Type="http://schemas.openxmlformats.org/officeDocument/2006/relationships/hyperlink" Target="https://horizondirect.gorgias.com/app/ticket/383847292" TargetMode="External"/><Relationship Id="rId248" Type="http://schemas.openxmlformats.org/officeDocument/2006/relationships/hyperlink" Target="https://4ammedia.zendesk.com/agent/tickets/154169" TargetMode="External"/><Relationship Id="rId369" Type="http://schemas.openxmlformats.org/officeDocument/2006/relationships/hyperlink" Target="https://4ammedia.zendesk.com/agent/tickets/270854" TargetMode="External"/><Relationship Id="rId126" Type="http://schemas.openxmlformats.org/officeDocument/2006/relationships/hyperlink" Target="https://horizondirect.gorgias.com/app/ticket/383570385" TargetMode="External"/><Relationship Id="rId247" Type="http://schemas.openxmlformats.org/officeDocument/2006/relationships/hyperlink" Target="https://4ammedia.zendesk.com/agent/tickets/154051" TargetMode="External"/><Relationship Id="rId368" Type="http://schemas.openxmlformats.org/officeDocument/2006/relationships/hyperlink" Target="https://4ammedia.zendesk.com/agent/tickets/270757" TargetMode="External"/><Relationship Id="rId121" Type="http://schemas.openxmlformats.org/officeDocument/2006/relationships/hyperlink" Target="https://horizondirect.gorgias.com/app/ticket/383432472" TargetMode="External"/><Relationship Id="rId242" Type="http://schemas.openxmlformats.org/officeDocument/2006/relationships/hyperlink" Target="https://4ammedia.zendesk.com/agent/tickets/150987" TargetMode="External"/><Relationship Id="rId363" Type="http://schemas.openxmlformats.org/officeDocument/2006/relationships/hyperlink" Target="https://4ammedia.zendesk.com/agent/tickets/267248" TargetMode="External"/><Relationship Id="rId484" Type="http://schemas.openxmlformats.org/officeDocument/2006/relationships/hyperlink" Target="https://4ammedia.zendesk.com/agent/tickets/426748" TargetMode="External"/><Relationship Id="rId120" Type="http://schemas.openxmlformats.org/officeDocument/2006/relationships/hyperlink" Target="https://horizondirect.gorgias.com/app/ticket/383231513" TargetMode="External"/><Relationship Id="rId241" Type="http://schemas.openxmlformats.org/officeDocument/2006/relationships/hyperlink" Target="https://4ammedia.zendesk.com/agent/tickets/150759" TargetMode="External"/><Relationship Id="rId362" Type="http://schemas.openxmlformats.org/officeDocument/2006/relationships/hyperlink" Target="https://4ammedia.zendesk.com/agent/tickets/267118" TargetMode="External"/><Relationship Id="rId483" Type="http://schemas.openxmlformats.org/officeDocument/2006/relationships/hyperlink" Target="https://4ammedia.zendesk.com/agent/tickets/426490" TargetMode="External"/><Relationship Id="rId240" Type="http://schemas.openxmlformats.org/officeDocument/2006/relationships/hyperlink" Target="https://4ammedia.zendesk.com/agent/tickets/149587" TargetMode="External"/><Relationship Id="rId361" Type="http://schemas.openxmlformats.org/officeDocument/2006/relationships/hyperlink" Target="https://4ammedia.zendesk.com/agent/tickets/262784" TargetMode="External"/><Relationship Id="rId482" Type="http://schemas.openxmlformats.org/officeDocument/2006/relationships/hyperlink" Target="https://4ammedia.zendesk.com/agent/tickets/426101" TargetMode="External"/><Relationship Id="rId360" Type="http://schemas.openxmlformats.org/officeDocument/2006/relationships/hyperlink" Target="https://4ammedia.zendesk.com/agent/tickets/262672" TargetMode="External"/><Relationship Id="rId481" Type="http://schemas.openxmlformats.org/officeDocument/2006/relationships/hyperlink" Target="https://4ammedia.zendesk.com/agent/tickets/422679" TargetMode="External"/><Relationship Id="rId125" Type="http://schemas.openxmlformats.org/officeDocument/2006/relationships/hyperlink" Target="https://horizondirect.gorgias.com/app/ticket/383582160" TargetMode="External"/><Relationship Id="rId246" Type="http://schemas.openxmlformats.org/officeDocument/2006/relationships/hyperlink" Target="https://4ammedia.zendesk.com/agent/tickets/152553" TargetMode="External"/><Relationship Id="rId367" Type="http://schemas.openxmlformats.org/officeDocument/2006/relationships/hyperlink" Target="https://4ammedia.zendesk.com/agent/tickets/269773" TargetMode="External"/><Relationship Id="rId124" Type="http://schemas.openxmlformats.org/officeDocument/2006/relationships/hyperlink" Target="https://horizondirect.gorgias.com/app/ticket/383597788" TargetMode="External"/><Relationship Id="rId245" Type="http://schemas.openxmlformats.org/officeDocument/2006/relationships/hyperlink" Target="https://4ammedia.zendesk.com/agent/tickets/152452" TargetMode="External"/><Relationship Id="rId366" Type="http://schemas.openxmlformats.org/officeDocument/2006/relationships/hyperlink" Target="https://4ammedia.zendesk.com/agent/tickets/269727" TargetMode="External"/><Relationship Id="rId487" Type="http://schemas.openxmlformats.org/officeDocument/2006/relationships/table" Target="../tables/table51.xml"/><Relationship Id="rId123" Type="http://schemas.openxmlformats.org/officeDocument/2006/relationships/hyperlink" Target="https://horizondirect.gorgias.com/app/ticket/383460072" TargetMode="External"/><Relationship Id="rId244" Type="http://schemas.openxmlformats.org/officeDocument/2006/relationships/hyperlink" Target="https://4ammedia.zendesk.com/agent/tickets/152290" TargetMode="External"/><Relationship Id="rId365" Type="http://schemas.openxmlformats.org/officeDocument/2006/relationships/hyperlink" Target="https://4ammedia.zendesk.com/agent/tickets/269525" TargetMode="External"/><Relationship Id="rId122" Type="http://schemas.openxmlformats.org/officeDocument/2006/relationships/hyperlink" Target="https://horizondirect.gorgias.com/app/ticket/383440265" TargetMode="External"/><Relationship Id="rId243" Type="http://schemas.openxmlformats.org/officeDocument/2006/relationships/hyperlink" Target="https://4ammedia.zendesk.com/agent/tickets/151076" TargetMode="External"/><Relationship Id="rId364" Type="http://schemas.openxmlformats.org/officeDocument/2006/relationships/hyperlink" Target="https://4ammedia.zendesk.com/agent/tickets/267387" TargetMode="External"/><Relationship Id="rId485" Type="http://schemas.openxmlformats.org/officeDocument/2006/relationships/drawing" Target="../drawings/drawing12.xml"/><Relationship Id="rId95" Type="http://schemas.openxmlformats.org/officeDocument/2006/relationships/hyperlink" Target="https://horizondirect.gorgias.com/app/ticket/381646966" TargetMode="External"/><Relationship Id="rId94" Type="http://schemas.openxmlformats.org/officeDocument/2006/relationships/hyperlink" Target="https://horizondirect.gorgias.com/app/ticket/381523082" TargetMode="External"/><Relationship Id="rId97" Type="http://schemas.openxmlformats.org/officeDocument/2006/relationships/hyperlink" Target="https://horizondirect.gorgias.com/app/ticket/381900757" TargetMode="External"/><Relationship Id="rId96" Type="http://schemas.openxmlformats.org/officeDocument/2006/relationships/hyperlink" Target="https://horizondirect.gorgias.com/app/ticket/381670149" TargetMode="External"/><Relationship Id="rId99" Type="http://schemas.openxmlformats.org/officeDocument/2006/relationships/hyperlink" Target="https://horizondirect.gorgias.com/app/ticket/381944327" TargetMode="External"/><Relationship Id="rId480" Type="http://schemas.openxmlformats.org/officeDocument/2006/relationships/hyperlink" Target="https://4ammedia.zendesk.com/agent/tickets/422617" TargetMode="External"/><Relationship Id="rId98" Type="http://schemas.openxmlformats.org/officeDocument/2006/relationships/hyperlink" Target="https://horizondirect.gorgias.com/app/ticket/381902905" TargetMode="External"/><Relationship Id="rId91" Type="http://schemas.openxmlformats.org/officeDocument/2006/relationships/hyperlink" Target="https://horizondirect.gorgias.com/app/ticket/381482770" TargetMode="External"/><Relationship Id="rId90" Type="http://schemas.openxmlformats.org/officeDocument/2006/relationships/hyperlink" Target="https://horizondirect.gorgias.com/app/ticket/381260313" TargetMode="External"/><Relationship Id="rId93" Type="http://schemas.openxmlformats.org/officeDocument/2006/relationships/hyperlink" Target="https://horizondirect.gorgias.com/app/ticket/381510489" TargetMode="External"/><Relationship Id="rId92" Type="http://schemas.openxmlformats.org/officeDocument/2006/relationships/hyperlink" Target="https://horizondirect.gorgias.com/app/ticket/381495827" TargetMode="External"/><Relationship Id="rId118" Type="http://schemas.openxmlformats.org/officeDocument/2006/relationships/hyperlink" Target="https://horizondirect.gorgias.com/app/ticket/383222107" TargetMode="External"/><Relationship Id="rId239" Type="http://schemas.openxmlformats.org/officeDocument/2006/relationships/hyperlink" Target="https://4ammedia.zendesk.com/agent/tickets/149540" TargetMode="External"/><Relationship Id="rId117" Type="http://schemas.openxmlformats.org/officeDocument/2006/relationships/hyperlink" Target="https://horizondirect.gorgias.com/app/ticket/383144111" TargetMode="External"/><Relationship Id="rId238" Type="http://schemas.openxmlformats.org/officeDocument/2006/relationships/hyperlink" Target="https://4ammedia.zendesk.com/agent/tickets/149402" TargetMode="External"/><Relationship Id="rId359" Type="http://schemas.openxmlformats.org/officeDocument/2006/relationships/hyperlink" Target="https://4ammedia.zendesk.com/agent/tickets/262574" TargetMode="External"/><Relationship Id="rId116" Type="http://schemas.openxmlformats.org/officeDocument/2006/relationships/hyperlink" Target="https://horizondirect.gorgias.com/app/ticket/383135880" TargetMode="External"/><Relationship Id="rId237" Type="http://schemas.openxmlformats.org/officeDocument/2006/relationships/hyperlink" Target="https://4ammedia.zendesk.com/agent/tickets/147834" TargetMode="External"/><Relationship Id="rId358" Type="http://schemas.openxmlformats.org/officeDocument/2006/relationships/hyperlink" Target="https://4ammedia.zendesk.com/agent/tickets/258184" TargetMode="External"/><Relationship Id="rId479" Type="http://schemas.openxmlformats.org/officeDocument/2006/relationships/hyperlink" Target="https://4ammedia.zendesk.com/agent/tickets/422157" TargetMode="External"/><Relationship Id="rId115" Type="http://schemas.openxmlformats.org/officeDocument/2006/relationships/hyperlink" Target="https://horizondirect.gorgias.com/app/ticket/383131731" TargetMode="External"/><Relationship Id="rId236" Type="http://schemas.openxmlformats.org/officeDocument/2006/relationships/hyperlink" Target="https://4ammedia.zendesk.com/agent/tickets/147781" TargetMode="External"/><Relationship Id="rId357" Type="http://schemas.openxmlformats.org/officeDocument/2006/relationships/hyperlink" Target="https://4ammedia.zendesk.com/agent/tickets/258140" TargetMode="External"/><Relationship Id="rId478" Type="http://schemas.openxmlformats.org/officeDocument/2006/relationships/hyperlink" Target="https://4ammedia.zendesk.com/agent/tickets/419549" TargetMode="External"/><Relationship Id="rId119" Type="http://schemas.openxmlformats.org/officeDocument/2006/relationships/hyperlink" Target="https://horizondirect.gorgias.com/app/ticket/383228629" TargetMode="External"/><Relationship Id="rId110" Type="http://schemas.openxmlformats.org/officeDocument/2006/relationships/hyperlink" Target="https://horizondirect.gorgias.com/app/ticket/382310728" TargetMode="External"/><Relationship Id="rId231" Type="http://schemas.openxmlformats.org/officeDocument/2006/relationships/hyperlink" Target="https://assets.aircall.io/calls/3786201917/recording" TargetMode="External"/><Relationship Id="rId352" Type="http://schemas.openxmlformats.org/officeDocument/2006/relationships/hyperlink" Target="https://4ammedia.zendesk.com/agent/tickets/254224" TargetMode="External"/><Relationship Id="rId473" Type="http://schemas.openxmlformats.org/officeDocument/2006/relationships/hyperlink" Target="https://4ammedia.zendesk.com/agent/tickets/415700" TargetMode="External"/><Relationship Id="rId230" Type="http://schemas.openxmlformats.org/officeDocument/2006/relationships/hyperlink" Target="https://assets.aircall.io/calls/3785965268/recording" TargetMode="External"/><Relationship Id="rId351" Type="http://schemas.openxmlformats.org/officeDocument/2006/relationships/hyperlink" Target="https://4ammedia.zendesk.com/agent/tickets/254062" TargetMode="External"/><Relationship Id="rId472" Type="http://schemas.openxmlformats.org/officeDocument/2006/relationships/hyperlink" Target="https://4ammedia.zendesk.com/agent/tickets/412212" TargetMode="External"/><Relationship Id="rId350" Type="http://schemas.openxmlformats.org/officeDocument/2006/relationships/hyperlink" Target="https://4ammedia.zendesk.com/agent/tickets/253913" TargetMode="External"/><Relationship Id="rId471" Type="http://schemas.openxmlformats.org/officeDocument/2006/relationships/hyperlink" Target="https://4ammedia.zendesk.com/agent/tickets/411930" TargetMode="External"/><Relationship Id="rId470" Type="http://schemas.openxmlformats.org/officeDocument/2006/relationships/hyperlink" Target="https://4ammedia.zendesk.com/agent/tickets/411762" TargetMode="External"/><Relationship Id="rId114" Type="http://schemas.openxmlformats.org/officeDocument/2006/relationships/hyperlink" Target="https://horizondirect.gorgias.com/app/ticket/383028264" TargetMode="External"/><Relationship Id="rId235" Type="http://schemas.openxmlformats.org/officeDocument/2006/relationships/hyperlink" Target="https://4ammedia.zendesk.com/agent/tickets/147638" TargetMode="External"/><Relationship Id="rId356" Type="http://schemas.openxmlformats.org/officeDocument/2006/relationships/hyperlink" Target="https://4ammedia.zendesk.com/agent/tickets/257830" TargetMode="External"/><Relationship Id="rId477" Type="http://schemas.openxmlformats.org/officeDocument/2006/relationships/hyperlink" Target="https://4ammedia.zendesk.com/agent/tickets/419379" TargetMode="External"/><Relationship Id="rId113" Type="http://schemas.openxmlformats.org/officeDocument/2006/relationships/hyperlink" Target="https://horizondirect.gorgias.com/app/ticket/383026331" TargetMode="External"/><Relationship Id="rId234" Type="http://schemas.openxmlformats.org/officeDocument/2006/relationships/hyperlink" Target="https://4ammedia.zendesk.com/agent/tickets/143797" TargetMode="External"/><Relationship Id="rId355" Type="http://schemas.openxmlformats.org/officeDocument/2006/relationships/hyperlink" Target="https://4ammedia.zendesk.com/agent/tickets/256167" TargetMode="External"/><Relationship Id="rId476" Type="http://schemas.openxmlformats.org/officeDocument/2006/relationships/hyperlink" Target="https://4ammedia.zendesk.com/agent/tickets/419136" TargetMode="External"/><Relationship Id="rId112" Type="http://schemas.openxmlformats.org/officeDocument/2006/relationships/hyperlink" Target="https://horizondirect.gorgias.com/app/ticket/383007309" TargetMode="External"/><Relationship Id="rId233" Type="http://schemas.openxmlformats.org/officeDocument/2006/relationships/hyperlink" Target="https://4ammedia.zendesk.com/agent/tickets/143739" TargetMode="External"/><Relationship Id="rId354" Type="http://schemas.openxmlformats.org/officeDocument/2006/relationships/hyperlink" Target="https://4ammedia.zendesk.com/agent/tickets/256010" TargetMode="External"/><Relationship Id="rId475" Type="http://schemas.openxmlformats.org/officeDocument/2006/relationships/hyperlink" Target="https://4ammedia.zendesk.com/agent/tickets/416395" TargetMode="External"/><Relationship Id="rId111" Type="http://schemas.openxmlformats.org/officeDocument/2006/relationships/hyperlink" Target="https://horizondirect.gorgias.com/app/ticket/382415078" TargetMode="External"/><Relationship Id="rId232" Type="http://schemas.openxmlformats.org/officeDocument/2006/relationships/hyperlink" Target="https://4ammedia.zendesk.com/agent/tickets/143701" TargetMode="External"/><Relationship Id="rId353" Type="http://schemas.openxmlformats.org/officeDocument/2006/relationships/hyperlink" Target="https://4ammedia.zendesk.com/agent/tickets/254871" TargetMode="External"/><Relationship Id="rId474" Type="http://schemas.openxmlformats.org/officeDocument/2006/relationships/hyperlink" Target="https://4ammedia.zendesk.com/agent/tickets/416099" TargetMode="External"/><Relationship Id="rId305" Type="http://schemas.openxmlformats.org/officeDocument/2006/relationships/hyperlink" Target="https://4ammedia.zendesk.com/agent/tickets/206348" TargetMode="External"/><Relationship Id="rId426" Type="http://schemas.openxmlformats.org/officeDocument/2006/relationships/hyperlink" Target="https://4ammedia.zendesk.com/agent/tickets/344139" TargetMode="External"/><Relationship Id="rId304" Type="http://schemas.openxmlformats.org/officeDocument/2006/relationships/hyperlink" Target="https://4ammedia.zendesk.com/agent/tickets/204439" TargetMode="External"/><Relationship Id="rId425" Type="http://schemas.openxmlformats.org/officeDocument/2006/relationships/hyperlink" Target="https://4ammedia.zendesk.com/agent/tickets/343850" TargetMode="External"/><Relationship Id="rId303" Type="http://schemas.openxmlformats.org/officeDocument/2006/relationships/hyperlink" Target="https://4ammedia.zendesk.com/agent/tickets/204266" TargetMode="External"/><Relationship Id="rId424" Type="http://schemas.openxmlformats.org/officeDocument/2006/relationships/hyperlink" Target="https://4ammedia.zendesk.com/agent/tickets/340760" TargetMode="External"/><Relationship Id="rId302" Type="http://schemas.openxmlformats.org/officeDocument/2006/relationships/hyperlink" Target="https://4ammedia.zendesk.com/agent/tickets/204049" TargetMode="External"/><Relationship Id="rId423" Type="http://schemas.openxmlformats.org/officeDocument/2006/relationships/hyperlink" Target="https://4ammedia.zendesk.com/agent/tickets/340554" TargetMode="External"/><Relationship Id="rId309" Type="http://schemas.openxmlformats.org/officeDocument/2006/relationships/hyperlink" Target="https://4ammedia.zendesk.com/agent/tickets/211701" TargetMode="External"/><Relationship Id="rId308" Type="http://schemas.openxmlformats.org/officeDocument/2006/relationships/hyperlink" Target="https://4ammedia.zendesk.com/agent/tickets/211561" TargetMode="External"/><Relationship Id="rId429" Type="http://schemas.openxmlformats.org/officeDocument/2006/relationships/hyperlink" Target="https://4ammedia.zendesk.com/agent/tickets/350674" TargetMode="External"/><Relationship Id="rId307" Type="http://schemas.openxmlformats.org/officeDocument/2006/relationships/hyperlink" Target="https://4ammedia.zendesk.com/agent/tickets/206669" TargetMode="External"/><Relationship Id="rId428" Type="http://schemas.openxmlformats.org/officeDocument/2006/relationships/hyperlink" Target="https://4ammedia.zendesk.com/agent/tickets/350241" TargetMode="External"/><Relationship Id="rId306" Type="http://schemas.openxmlformats.org/officeDocument/2006/relationships/hyperlink" Target="https://4ammedia.zendesk.com/agent/tickets/206501" TargetMode="External"/><Relationship Id="rId427" Type="http://schemas.openxmlformats.org/officeDocument/2006/relationships/hyperlink" Target="https://4ammedia.zendesk.com/agent/tickets/344461" TargetMode="External"/><Relationship Id="rId301" Type="http://schemas.openxmlformats.org/officeDocument/2006/relationships/hyperlink" Target="https://4ammedia.zendesk.com/agent/tickets/202257" TargetMode="External"/><Relationship Id="rId422" Type="http://schemas.openxmlformats.org/officeDocument/2006/relationships/hyperlink" Target="https://4ammedia.zendesk.com/agent/tickets/340272" TargetMode="External"/><Relationship Id="rId300" Type="http://schemas.openxmlformats.org/officeDocument/2006/relationships/hyperlink" Target="https://4ammedia.zendesk.com/agent/tickets/202135" TargetMode="External"/><Relationship Id="rId421" Type="http://schemas.openxmlformats.org/officeDocument/2006/relationships/hyperlink" Target="https://4ammedia.zendesk.com/agent/tickets/337243" TargetMode="External"/><Relationship Id="rId420" Type="http://schemas.openxmlformats.org/officeDocument/2006/relationships/hyperlink" Target="https://4ammedia.zendesk.com/agent/tickets/337172" TargetMode="External"/><Relationship Id="rId415" Type="http://schemas.openxmlformats.org/officeDocument/2006/relationships/hyperlink" Target="https://4ammedia.zendesk.com/agent/tickets/318268" TargetMode="External"/><Relationship Id="rId414" Type="http://schemas.openxmlformats.org/officeDocument/2006/relationships/hyperlink" Target="https://4ammedia.zendesk.com/agent/tickets/318083" TargetMode="External"/><Relationship Id="rId413" Type="http://schemas.openxmlformats.org/officeDocument/2006/relationships/hyperlink" Target="https://4ammedia.zendesk.com/agent/tickets/317856" TargetMode="External"/><Relationship Id="rId412" Type="http://schemas.openxmlformats.org/officeDocument/2006/relationships/hyperlink" Target="https://4ammedia.zendesk.com/agent/tickets/325124" TargetMode="External"/><Relationship Id="rId419" Type="http://schemas.openxmlformats.org/officeDocument/2006/relationships/hyperlink" Target="https://4ammedia.zendesk.com/agent/tickets/337108" TargetMode="External"/><Relationship Id="rId418" Type="http://schemas.openxmlformats.org/officeDocument/2006/relationships/hyperlink" Target="https://4ammedia.zendesk.com/agent/tickets/319775" TargetMode="External"/><Relationship Id="rId417" Type="http://schemas.openxmlformats.org/officeDocument/2006/relationships/hyperlink" Target="https://4ammedia.zendesk.com/agent/tickets/319714" TargetMode="External"/><Relationship Id="rId416" Type="http://schemas.openxmlformats.org/officeDocument/2006/relationships/hyperlink" Target="https://4ammedia.zendesk.com/agent/tickets/319527" TargetMode="External"/><Relationship Id="rId411" Type="http://schemas.openxmlformats.org/officeDocument/2006/relationships/hyperlink" Target="https://4ammedia.zendesk.com/agent/tickets/324876" TargetMode="External"/><Relationship Id="rId410" Type="http://schemas.openxmlformats.org/officeDocument/2006/relationships/hyperlink" Target="https://4ammedia.zendesk.com/agent/tickets/324679" TargetMode="External"/><Relationship Id="rId206" Type="http://schemas.openxmlformats.org/officeDocument/2006/relationships/hyperlink" Target="https://assets.aircall.io/calls/3755805507/recording" TargetMode="External"/><Relationship Id="rId327" Type="http://schemas.openxmlformats.org/officeDocument/2006/relationships/hyperlink" Target="https://4ammedia.zendesk.com/agent/tickets/230255" TargetMode="External"/><Relationship Id="rId448" Type="http://schemas.openxmlformats.org/officeDocument/2006/relationships/hyperlink" Target="https://4ammedia.zendesk.com/agent/tickets/373086" TargetMode="External"/><Relationship Id="rId205" Type="http://schemas.openxmlformats.org/officeDocument/2006/relationships/hyperlink" Target="https://assets.aircall.io/calls/3755737323/recording" TargetMode="External"/><Relationship Id="rId326" Type="http://schemas.openxmlformats.org/officeDocument/2006/relationships/hyperlink" Target="https://4ammedia.zendesk.com/agent/tickets/230036" TargetMode="External"/><Relationship Id="rId447" Type="http://schemas.openxmlformats.org/officeDocument/2006/relationships/hyperlink" Target="https://4ammedia.zendesk.com/agent/tickets/372988" TargetMode="External"/><Relationship Id="rId204" Type="http://schemas.openxmlformats.org/officeDocument/2006/relationships/hyperlink" Target="https://assets.aircall.io/calls/3752599387/recording" TargetMode="External"/><Relationship Id="rId325" Type="http://schemas.openxmlformats.org/officeDocument/2006/relationships/hyperlink" Target="https://4ammedia.zendesk.com/agent/tickets/228564" TargetMode="External"/><Relationship Id="rId446" Type="http://schemas.openxmlformats.org/officeDocument/2006/relationships/hyperlink" Target="https://4ammedia.zendesk.com/agent/tickets/372685" TargetMode="External"/><Relationship Id="rId203" Type="http://schemas.openxmlformats.org/officeDocument/2006/relationships/hyperlink" Target="https://assets.aircall.io/calls/3752566261/recording" TargetMode="External"/><Relationship Id="rId324" Type="http://schemas.openxmlformats.org/officeDocument/2006/relationships/hyperlink" Target="https://4ammedia.zendesk.com/agent/tickets/228281" TargetMode="External"/><Relationship Id="rId445" Type="http://schemas.openxmlformats.org/officeDocument/2006/relationships/hyperlink" Target="https://4ammedia.zendesk.com/agent/tickets/369491" TargetMode="External"/><Relationship Id="rId209" Type="http://schemas.openxmlformats.org/officeDocument/2006/relationships/hyperlink" Target="https://assets.aircall.io/calls/3756779880/recording" TargetMode="External"/><Relationship Id="rId208" Type="http://schemas.openxmlformats.org/officeDocument/2006/relationships/hyperlink" Target="https://assets.aircall.io/calls/3756766550/recording" TargetMode="External"/><Relationship Id="rId329" Type="http://schemas.openxmlformats.org/officeDocument/2006/relationships/hyperlink" Target="https://4ammedia.zendesk.com/agent/tickets/236878" TargetMode="External"/><Relationship Id="rId207" Type="http://schemas.openxmlformats.org/officeDocument/2006/relationships/hyperlink" Target="https://assets.aircall.io/calls/3755836740/recording" TargetMode="External"/><Relationship Id="rId328" Type="http://schemas.openxmlformats.org/officeDocument/2006/relationships/hyperlink" Target="https://4ammedia.zendesk.com/agent/tickets/230293" TargetMode="External"/><Relationship Id="rId449" Type="http://schemas.openxmlformats.org/officeDocument/2006/relationships/hyperlink" Target="https://4ammedia.zendesk.com/agent/tickets/376704" TargetMode="External"/><Relationship Id="rId440" Type="http://schemas.openxmlformats.org/officeDocument/2006/relationships/hyperlink" Target="https://4ammedia.zendesk.com/agent/tickets/361231" TargetMode="External"/><Relationship Id="rId202" Type="http://schemas.openxmlformats.org/officeDocument/2006/relationships/hyperlink" Target="https://assets.aircall.io/calls/3752528009/recording" TargetMode="External"/><Relationship Id="rId323" Type="http://schemas.openxmlformats.org/officeDocument/2006/relationships/hyperlink" Target="https://4ammedia.zendesk.com/agent/tickets/228158" TargetMode="External"/><Relationship Id="rId444" Type="http://schemas.openxmlformats.org/officeDocument/2006/relationships/hyperlink" Target="https://4ammedia.zendesk.com/agent/tickets/369307" TargetMode="External"/><Relationship Id="rId201" Type="http://schemas.openxmlformats.org/officeDocument/2006/relationships/hyperlink" Target="https://assets.aircall.io/calls/3748465047/recording" TargetMode="External"/><Relationship Id="rId322" Type="http://schemas.openxmlformats.org/officeDocument/2006/relationships/hyperlink" Target="https://4ammedia.zendesk.com/agent/tickets/227067" TargetMode="External"/><Relationship Id="rId443" Type="http://schemas.openxmlformats.org/officeDocument/2006/relationships/hyperlink" Target="https://4ammedia.zendesk.com/agent/tickets/369214" TargetMode="External"/><Relationship Id="rId200" Type="http://schemas.openxmlformats.org/officeDocument/2006/relationships/hyperlink" Target="https://assets.aircall.io/calls/3748431382/recording" TargetMode="External"/><Relationship Id="rId321" Type="http://schemas.openxmlformats.org/officeDocument/2006/relationships/hyperlink" Target="https://4ammedia.zendesk.com/agent/tickets/227038" TargetMode="External"/><Relationship Id="rId442" Type="http://schemas.openxmlformats.org/officeDocument/2006/relationships/hyperlink" Target="https://4ammedia.zendesk.com/agent/tickets/361927" TargetMode="External"/><Relationship Id="rId320" Type="http://schemas.openxmlformats.org/officeDocument/2006/relationships/hyperlink" Target="https://4ammedia.zendesk.com/agent/tickets/227019" TargetMode="External"/><Relationship Id="rId441" Type="http://schemas.openxmlformats.org/officeDocument/2006/relationships/hyperlink" Target="https://4ammedia.zendesk.com/agent/tickets/361546" TargetMode="External"/><Relationship Id="rId316" Type="http://schemas.openxmlformats.org/officeDocument/2006/relationships/hyperlink" Target="https://4ammedia.zendesk.com/agent/tickets/215806" TargetMode="External"/><Relationship Id="rId437" Type="http://schemas.openxmlformats.org/officeDocument/2006/relationships/hyperlink" Target="https://4ammedia.zendesk.com/agent/tickets/357702" TargetMode="External"/><Relationship Id="rId315" Type="http://schemas.openxmlformats.org/officeDocument/2006/relationships/hyperlink" Target="https://4ammedia.zendesk.com/agent/tickets/215636" TargetMode="External"/><Relationship Id="rId436" Type="http://schemas.openxmlformats.org/officeDocument/2006/relationships/hyperlink" Target="https://4ammedia.zendesk.com/agent/tickets/355718" TargetMode="External"/><Relationship Id="rId314" Type="http://schemas.openxmlformats.org/officeDocument/2006/relationships/hyperlink" Target="https://4ammedia.zendesk.com/agent/tickets/215432" TargetMode="External"/><Relationship Id="rId435" Type="http://schemas.openxmlformats.org/officeDocument/2006/relationships/hyperlink" Target="https://4ammedia.zendesk.com/agent/tickets/355645" TargetMode="External"/><Relationship Id="rId313" Type="http://schemas.openxmlformats.org/officeDocument/2006/relationships/hyperlink" Target="https://4ammedia.zendesk.com/agent/tickets/214172" TargetMode="External"/><Relationship Id="rId434" Type="http://schemas.openxmlformats.org/officeDocument/2006/relationships/hyperlink" Target="https://4ammedia.zendesk.com/agent/tickets/355387" TargetMode="External"/><Relationship Id="rId319" Type="http://schemas.openxmlformats.org/officeDocument/2006/relationships/hyperlink" Target="https://4ammedia.zendesk.com/agent/tickets/217357" TargetMode="External"/><Relationship Id="rId318" Type="http://schemas.openxmlformats.org/officeDocument/2006/relationships/hyperlink" Target="https://4ammedia.zendesk.com/agent/tickets/217281" TargetMode="External"/><Relationship Id="rId439" Type="http://schemas.openxmlformats.org/officeDocument/2006/relationships/hyperlink" Target="https://4ammedia.zendesk.com/agent/tickets/358010" TargetMode="External"/><Relationship Id="rId317" Type="http://schemas.openxmlformats.org/officeDocument/2006/relationships/hyperlink" Target="https://4ammedia.zendesk.com/agent/tickets/217170" TargetMode="External"/><Relationship Id="rId438" Type="http://schemas.openxmlformats.org/officeDocument/2006/relationships/hyperlink" Target="https://4ammedia.zendesk.com/agent/tickets/357955" TargetMode="External"/><Relationship Id="rId312" Type="http://schemas.openxmlformats.org/officeDocument/2006/relationships/hyperlink" Target="https://4ammedia.zendesk.com/agent/tickets/213877" TargetMode="External"/><Relationship Id="rId433" Type="http://schemas.openxmlformats.org/officeDocument/2006/relationships/hyperlink" Target="https://4ammedia.zendesk.com/agent/tickets/352654" TargetMode="External"/><Relationship Id="rId311" Type="http://schemas.openxmlformats.org/officeDocument/2006/relationships/hyperlink" Target="https://4ammedia.zendesk.com/agent/tickets/213751" TargetMode="External"/><Relationship Id="rId432" Type="http://schemas.openxmlformats.org/officeDocument/2006/relationships/hyperlink" Target="https://4ammedia.zendesk.com/agent/tickets/352600" TargetMode="External"/><Relationship Id="rId310" Type="http://schemas.openxmlformats.org/officeDocument/2006/relationships/hyperlink" Target="https://4ammedia.zendesk.com/agent/tickets/211968" TargetMode="External"/><Relationship Id="rId431" Type="http://schemas.openxmlformats.org/officeDocument/2006/relationships/hyperlink" Target="https://4ammedia.zendesk.com/agent/tickets/352518" TargetMode="External"/><Relationship Id="rId430" Type="http://schemas.openxmlformats.org/officeDocument/2006/relationships/hyperlink" Target="https://4ammedia.zendesk.com/agent/tickets/350943" TargetMode="External"/></Relationships>
</file>

<file path=xl/worksheets/_rels/sheet13.xml.rels><?xml version="1.0" encoding="UTF-8" standalone="yes"?><Relationships xmlns="http://schemas.openxmlformats.org/package/2006/relationships"><Relationship Id="rId190" Type="http://schemas.openxmlformats.org/officeDocument/2006/relationships/hyperlink" Target="https://assets.aircall.io/calls/3776180385/recording" TargetMode="External"/><Relationship Id="rId194" Type="http://schemas.openxmlformats.org/officeDocument/2006/relationships/hyperlink" Target="https://assets.aircall.io/calls/3781614177/recording" TargetMode="External"/><Relationship Id="rId193" Type="http://schemas.openxmlformats.org/officeDocument/2006/relationships/hyperlink" Target="https://assets.aircall.io/calls/3781500662/recording" TargetMode="External"/><Relationship Id="rId192" Type="http://schemas.openxmlformats.org/officeDocument/2006/relationships/hyperlink" Target="https://assets.aircall.io/calls/3776375531/recording" TargetMode="External"/><Relationship Id="rId191" Type="http://schemas.openxmlformats.org/officeDocument/2006/relationships/hyperlink" Target="https://assets.aircall.io/calls/3776351061/recording" TargetMode="External"/><Relationship Id="rId187" Type="http://schemas.openxmlformats.org/officeDocument/2006/relationships/hyperlink" Target="https://assets.aircall.io/calls/3772666843/recording" TargetMode="External"/><Relationship Id="rId186" Type="http://schemas.openxmlformats.org/officeDocument/2006/relationships/hyperlink" Target="https://assets.aircall.io/calls/3770038603/recording" TargetMode="External"/><Relationship Id="rId185" Type="http://schemas.openxmlformats.org/officeDocument/2006/relationships/hyperlink" Target="https://assets.aircall.io/calls/3770002147/recording" TargetMode="External"/><Relationship Id="rId184" Type="http://schemas.openxmlformats.org/officeDocument/2006/relationships/hyperlink" Target="https://assets.aircall.io/calls/3769972879/recording" TargetMode="External"/><Relationship Id="rId189" Type="http://schemas.openxmlformats.org/officeDocument/2006/relationships/hyperlink" Target="https://assets.aircall.io/calls/3772819445/recording" TargetMode="External"/><Relationship Id="rId188" Type="http://schemas.openxmlformats.org/officeDocument/2006/relationships/hyperlink" Target="https://assets.aircall.io/calls/3772742294/recording" TargetMode="External"/><Relationship Id="rId183" Type="http://schemas.openxmlformats.org/officeDocument/2006/relationships/hyperlink" Target="https://assets.aircall.io/calls/3765552129/recording" TargetMode="External"/><Relationship Id="rId182" Type="http://schemas.openxmlformats.org/officeDocument/2006/relationships/hyperlink" Target="https://assets.aircall.io/calls/3765537763/recording" TargetMode="External"/><Relationship Id="rId181" Type="http://schemas.openxmlformats.org/officeDocument/2006/relationships/hyperlink" Target="https://assets.aircall.io/calls/3765468140/recording" TargetMode="External"/><Relationship Id="rId180" Type="http://schemas.openxmlformats.org/officeDocument/2006/relationships/hyperlink" Target="https://assets.aircall.io/calls/3761180034/recording" TargetMode="External"/><Relationship Id="rId176" Type="http://schemas.openxmlformats.org/officeDocument/2006/relationships/hyperlink" Target="https://assets.aircall.io/calls/3755943679/recording" TargetMode="External"/><Relationship Id="rId297" Type="http://schemas.openxmlformats.org/officeDocument/2006/relationships/hyperlink" Target="https://4ammedia.zendesk.com/agent/tickets/224720" TargetMode="External"/><Relationship Id="rId175" Type="http://schemas.openxmlformats.org/officeDocument/2006/relationships/hyperlink" Target="https://assets.aircall.io/calls/3755863701/recording" TargetMode="External"/><Relationship Id="rId296" Type="http://schemas.openxmlformats.org/officeDocument/2006/relationships/hyperlink" Target="https://4ammedia.zendesk.com/agent/tickets/224428" TargetMode="External"/><Relationship Id="rId174" Type="http://schemas.openxmlformats.org/officeDocument/2006/relationships/hyperlink" Target="https://assets.aircall.io/calls/3752882101/recording" TargetMode="External"/><Relationship Id="rId295" Type="http://schemas.openxmlformats.org/officeDocument/2006/relationships/hyperlink" Target="https://4ammedia.zendesk.com/agent/tickets/224180" TargetMode="External"/><Relationship Id="rId173" Type="http://schemas.openxmlformats.org/officeDocument/2006/relationships/hyperlink" Target="https://assets.aircall.io/calls/3752857715/recording" TargetMode="External"/><Relationship Id="rId294" Type="http://schemas.openxmlformats.org/officeDocument/2006/relationships/hyperlink" Target="https://4ammedia.zendesk.com/agent/tickets/221412" TargetMode="External"/><Relationship Id="rId179" Type="http://schemas.openxmlformats.org/officeDocument/2006/relationships/hyperlink" Target="https://assets.aircall.io/calls/3761160118/recording" TargetMode="External"/><Relationship Id="rId178" Type="http://schemas.openxmlformats.org/officeDocument/2006/relationships/hyperlink" Target="https://assets.aircall.io/calls/3761081698/recording" TargetMode="External"/><Relationship Id="rId299" Type="http://schemas.openxmlformats.org/officeDocument/2006/relationships/hyperlink" Target="https://4ammedia.zendesk.com/agent/tickets/230436" TargetMode="External"/><Relationship Id="rId177" Type="http://schemas.openxmlformats.org/officeDocument/2006/relationships/hyperlink" Target="https://assets.aircall.io/calls/3756002902/recording" TargetMode="External"/><Relationship Id="rId298" Type="http://schemas.openxmlformats.org/officeDocument/2006/relationships/hyperlink" Target="https://4ammedia.zendesk.com/agent/tickets/230207" TargetMode="External"/><Relationship Id="rId198" Type="http://schemas.openxmlformats.org/officeDocument/2006/relationships/hyperlink" Target="https://assets.aircall.io/calls/3786257815/recording" TargetMode="External"/><Relationship Id="rId197" Type="http://schemas.openxmlformats.org/officeDocument/2006/relationships/hyperlink" Target="https://assets.aircall.io/calls/3786205634/recording" TargetMode="External"/><Relationship Id="rId196" Type="http://schemas.openxmlformats.org/officeDocument/2006/relationships/hyperlink" Target="https://assets.aircall.io/calls/3785900710/recording" TargetMode="External"/><Relationship Id="rId195" Type="http://schemas.openxmlformats.org/officeDocument/2006/relationships/hyperlink" Target="https://assets.aircall.io/calls/3781696423/recording" TargetMode="External"/><Relationship Id="rId199" Type="http://schemas.openxmlformats.org/officeDocument/2006/relationships/hyperlink" Target="https://4ammedia.zendesk.com/agent/tickets/145039" TargetMode="External"/><Relationship Id="rId150" Type="http://schemas.openxmlformats.org/officeDocument/2006/relationships/hyperlink" Target="https://horizondirect.gorgias.com/app/ticket/387879968" TargetMode="External"/><Relationship Id="rId271" Type="http://schemas.openxmlformats.org/officeDocument/2006/relationships/hyperlink" Target="https://4ammedia.zendesk.com/agent/tickets/206385" TargetMode="External"/><Relationship Id="rId392" Type="http://schemas.openxmlformats.org/officeDocument/2006/relationships/hyperlink" Target="https://4ammedia.zendesk.com/agent/tickets/312395" TargetMode="External"/><Relationship Id="rId270" Type="http://schemas.openxmlformats.org/officeDocument/2006/relationships/hyperlink" Target="https://4ammedia.zendesk.com/agent/tickets/200854" TargetMode="External"/><Relationship Id="rId391" Type="http://schemas.openxmlformats.org/officeDocument/2006/relationships/hyperlink" Target="https://4ammedia.zendesk.com/agent/tickets/312266" TargetMode="External"/><Relationship Id="rId390" Type="http://schemas.openxmlformats.org/officeDocument/2006/relationships/hyperlink" Target="https://4ammedia.zendesk.com/agent/tickets/310726" TargetMode="External"/><Relationship Id="rId1" Type="http://schemas.openxmlformats.org/officeDocument/2006/relationships/hyperlink" Target="https://horizondirect.gorgias.com/app/ticket/376146896" TargetMode="External"/><Relationship Id="rId2" Type="http://schemas.openxmlformats.org/officeDocument/2006/relationships/hyperlink" Target="https://horizondirect.gorgias.com/app/ticket/376104916" TargetMode="External"/><Relationship Id="rId3" Type="http://schemas.openxmlformats.org/officeDocument/2006/relationships/hyperlink" Target="https://horizondirect.gorgias.com/app/ticket/376111740" TargetMode="External"/><Relationship Id="rId149" Type="http://schemas.openxmlformats.org/officeDocument/2006/relationships/hyperlink" Target="https://horizondirect.gorgias.com/app/ticket/387874358" TargetMode="External"/><Relationship Id="rId4" Type="http://schemas.openxmlformats.org/officeDocument/2006/relationships/hyperlink" Target="https://horizondirect.gorgias.com/app/ticket/376261116" TargetMode="External"/><Relationship Id="rId148" Type="http://schemas.openxmlformats.org/officeDocument/2006/relationships/hyperlink" Target="https://horizondirect.gorgias.com/app/ticket/387868394" TargetMode="External"/><Relationship Id="rId269" Type="http://schemas.openxmlformats.org/officeDocument/2006/relationships/hyperlink" Target="https://4ammedia.zendesk.com/agent/tickets/200644" TargetMode="External"/><Relationship Id="rId9" Type="http://schemas.openxmlformats.org/officeDocument/2006/relationships/hyperlink" Target="https://horizondirect.gorgias.com/app/ticket/376437649" TargetMode="External"/><Relationship Id="rId143" Type="http://schemas.openxmlformats.org/officeDocument/2006/relationships/hyperlink" Target="https://assets.aircall.io/calls/3711735570/recording" TargetMode="External"/><Relationship Id="rId264" Type="http://schemas.openxmlformats.org/officeDocument/2006/relationships/hyperlink" Target="https://4ammedia.zendesk.com/agent/tickets/197911" TargetMode="External"/><Relationship Id="rId385" Type="http://schemas.openxmlformats.org/officeDocument/2006/relationships/hyperlink" Target="https://4ammedia.zendesk.com/agent/tickets/308917" TargetMode="External"/><Relationship Id="rId142" Type="http://schemas.openxmlformats.org/officeDocument/2006/relationships/hyperlink" Target="https://assets.aircall.io/calls/3711625247/recording" TargetMode="External"/><Relationship Id="rId263" Type="http://schemas.openxmlformats.org/officeDocument/2006/relationships/hyperlink" Target="https://4ammedia.zendesk.com/agent/tickets/197887" TargetMode="External"/><Relationship Id="rId384" Type="http://schemas.openxmlformats.org/officeDocument/2006/relationships/hyperlink" Target="https://4ammedia.zendesk.com/agent/tickets/302607" TargetMode="External"/><Relationship Id="rId141" Type="http://schemas.openxmlformats.org/officeDocument/2006/relationships/hyperlink" Target="https://assets.aircall.io/calls/3707789719/recording" TargetMode="External"/><Relationship Id="rId262" Type="http://schemas.openxmlformats.org/officeDocument/2006/relationships/hyperlink" Target="https://4ammedia.zendesk.com/agent/tickets/197802" TargetMode="External"/><Relationship Id="rId383" Type="http://schemas.openxmlformats.org/officeDocument/2006/relationships/hyperlink" Target="https://4ammedia.zendesk.com/agent/tickets/302366" TargetMode="External"/><Relationship Id="rId140" Type="http://schemas.openxmlformats.org/officeDocument/2006/relationships/hyperlink" Target="https://assets.aircall.io/calls/3707682946/recording" TargetMode="External"/><Relationship Id="rId261" Type="http://schemas.openxmlformats.org/officeDocument/2006/relationships/hyperlink" Target="https://4ammedia.zendesk.com/agent/tickets/196673" TargetMode="External"/><Relationship Id="rId382" Type="http://schemas.openxmlformats.org/officeDocument/2006/relationships/hyperlink" Target="https://4ammedia.zendesk.com/agent/tickets/302235" TargetMode="External"/><Relationship Id="rId5" Type="http://schemas.openxmlformats.org/officeDocument/2006/relationships/hyperlink" Target="https://horizondirect.gorgias.com/app/ticket/376301998" TargetMode="External"/><Relationship Id="rId147" Type="http://schemas.openxmlformats.org/officeDocument/2006/relationships/hyperlink" Target="https://horizondirect.gorgias.com/app/ticket/387661174" TargetMode="External"/><Relationship Id="rId268" Type="http://schemas.openxmlformats.org/officeDocument/2006/relationships/hyperlink" Target="https://4ammedia.zendesk.com/agent/tickets/200422" TargetMode="External"/><Relationship Id="rId389" Type="http://schemas.openxmlformats.org/officeDocument/2006/relationships/hyperlink" Target="https://4ammedia.zendesk.com/agent/tickets/310629" TargetMode="External"/><Relationship Id="rId6" Type="http://schemas.openxmlformats.org/officeDocument/2006/relationships/hyperlink" Target="https://horizondirect.gorgias.com/app/ticket/376298025" TargetMode="External"/><Relationship Id="rId146" Type="http://schemas.openxmlformats.org/officeDocument/2006/relationships/hyperlink" Target="https://horizondirect.gorgias.com/app/ticket/387656519" TargetMode="External"/><Relationship Id="rId267" Type="http://schemas.openxmlformats.org/officeDocument/2006/relationships/hyperlink" Target="https://4ammedia.zendesk.com/agent/tickets/199037" TargetMode="External"/><Relationship Id="rId388" Type="http://schemas.openxmlformats.org/officeDocument/2006/relationships/hyperlink" Target="https://4ammedia.zendesk.com/agent/tickets/310393" TargetMode="External"/><Relationship Id="rId7" Type="http://schemas.openxmlformats.org/officeDocument/2006/relationships/hyperlink" Target="https://horizondirect.gorgias.com/app/ticket/376401766" TargetMode="External"/><Relationship Id="rId145" Type="http://schemas.openxmlformats.org/officeDocument/2006/relationships/hyperlink" Target="https://horizondirect.gorgias.com/app/ticket/387649084" TargetMode="External"/><Relationship Id="rId266" Type="http://schemas.openxmlformats.org/officeDocument/2006/relationships/hyperlink" Target="https://4ammedia.zendesk.com/agent/tickets/199004" TargetMode="External"/><Relationship Id="rId387" Type="http://schemas.openxmlformats.org/officeDocument/2006/relationships/hyperlink" Target="https://4ammedia.zendesk.com/agent/tickets/309164" TargetMode="External"/><Relationship Id="rId8" Type="http://schemas.openxmlformats.org/officeDocument/2006/relationships/hyperlink" Target="https://horizondirect.gorgias.com/app/ticket/376422663" TargetMode="External"/><Relationship Id="rId144" Type="http://schemas.openxmlformats.org/officeDocument/2006/relationships/hyperlink" Target="https://assets.aircall.io/calls/3711828345/recording" TargetMode="External"/><Relationship Id="rId265" Type="http://schemas.openxmlformats.org/officeDocument/2006/relationships/hyperlink" Target="https://4ammedia.zendesk.com/agent/tickets/198965" TargetMode="External"/><Relationship Id="rId386" Type="http://schemas.openxmlformats.org/officeDocument/2006/relationships/hyperlink" Target="https://4ammedia.zendesk.com/agent/tickets/309017" TargetMode="External"/><Relationship Id="rId260" Type="http://schemas.openxmlformats.org/officeDocument/2006/relationships/hyperlink" Target="https://4ammedia.zendesk.com/agent/tickets/196471" TargetMode="External"/><Relationship Id="rId381" Type="http://schemas.openxmlformats.org/officeDocument/2006/relationships/hyperlink" Target="https://4ammedia.zendesk.com/agent/tickets/300708" TargetMode="External"/><Relationship Id="rId380" Type="http://schemas.openxmlformats.org/officeDocument/2006/relationships/hyperlink" Target="https://4ammedia.zendesk.com/agent/tickets/300682" TargetMode="External"/><Relationship Id="rId139" Type="http://schemas.openxmlformats.org/officeDocument/2006/relationships/hyperlink" Target="https://assets.aircall.io/calls/3707394796/recording" TargetMode="External"/><Relationship Id="rId138" Type="http://schemas.openxmlformats.org/officeDocument/2006/relationships/hyperlink" Target="https://assets.aircall.io/calls/3703628954/recording" TargetMode="External"/><Relationship Id="rId259" Type="http://schemas.openxmlformats.org/officeDocument/2006/relationships/hyperlink" Target="https://4ammedia.zendesk.com/agent/tickets/196323" TargetMode="External"/><Relationship Id="rId137" Type="http://schemas.openxmlformats.org/officeDocument/2006/relationships/hyperlink" Target="https://assets.aircall.io/calls/3703593784/recording" TargetMode="External"/><Relationship Id="rId258" Type="http://schemas.openxmlformats.org/officeDocument/2006/relationships/hyperlink" Target="https://4ammedia.zendesk.com/agent/tickets/195179" TargetMode="External"/><Relationship Id="rId379" Type="http://schemas.openxmlformats.org/officeDocument/2006/relationships/hyperlink" Target="https://4ammedia.zendesk.com/agent/tickets/300567" TargetMode="External"/><Relationship Id="rId132" Type="http://schemas.openxmlformats.org/officeDocument/2006/relationships/hyperlink" Target="https://horizondirect.gorgias.com/app/ticket/386754490" TargetMode="External"/><Relationship Id="rId253" Type="http://schemas.openxmlformats.org/officeDocument/2006/relationships/hyperlink" Target="https://4ammedia.zendesk.com/agent/tickets/189794" TargetMode="External"/><Relationship Id="rId374" Type="http://schemas.openxmlformats.org/officeDocument/2006/relationships/hyperlink" Target="https://4ammedia.zendesk.com/agent/tickets/297229" TargetMode="External"/><Relationship Id="rId131" Type="http://schemas.openxmlformats.org/officeDocument/2006/relationships/hyperlink" Target="https://horizondirect.gorgias.com/app/ticket/386751189" TargetMode="External"/><Relationship Id="rId252" Type="http://schemas.openxmlformats.org/officeDocument/2006/relationships/hyperlink" Target="https://4ammedia.zendesk.com/agent/tickets/178374" TargetMode="External"/><Relationship Id="rId373" Type="http://schemas.openxmlformats.org/officeDocument/2006/relationships/hyperlink" Target="https://4ammedia.zendesk.com/agent/tickets/297062" TargetMode="External"/><Relationship Id="rId130" Type="http://schemas.openxmlformats.org/officeDocument/2006/relationships/hyperlink" Target="https://horizondirect.gorgias.com/app/ticket/386743035" TargetMode="External"/><Relationship Id="rId251" Type="http://schemas.openxmlformats.org/officeDocument/2006/relationships/hyperlink" Target="https://4ammedia.zendesk.com/agent/tickets/178013" TargetMode="External"/><Relationship Id="rId372" Type="http://schemas.openxmlformats.org/officeDocument/2006/relationships/hyperlink" Target="https://4ammedia.zendesk.com/agent/tickets/295917" TargetMode="External"/><Relationship Id="rId250" Type="http://schemas.openxmlformats.org/officeDocument/2006/relationships/hyperlink" Target="https://4ammedia.zendesk.com/agent/tickets/178329" TargetMode="External"/><Relationship Id="rId371" Type="http://schemas.openxmlformats.org/officeDocument/2006/relationships/hyperlink" Target="https://4ammedia.zendesk.com/agent/tickets/295749" TargetMode="External"/><Relationship Id="rId136" Type="http://schemas.openxmlformats.org/officeDocument/2006/relationships/hyperlink" Target="https://assets.aircall.io/calls/3703466212/recording" TargetMode="External"/><Relationship Id="rId257" Type="http://schemas.openxmlformats.org/officeDocument/2006/relationships/hyperlink" Target="https://4ammedia.zendesk.com/agent/tickets/195174" TargetMode="External"/><Relationship Id="rId378" Type="http://schemas.openxmlformats.org/officeDocument/2006/relationships/hyperlink" Target="https://4ammedia.zendesk.com/agent/tickets/299598" TargetMode="External"/><Relationship Id="rId135" Type="http://schemas.openxmlformats.org/officeDocument/2006/relationships/hyperlink" Target="https://horizondirect.gorgias.com/app/ticket/386862304" TargetMode="External"/><Relationship Id="rId256" Type="http://schemas.openxmlformats.org/officeDocument/2006/relationships/hyperlink" Target="https://4ammedia.zendesk.com/agent/tickets/194964" TargetMode="External"/><Relationship Id="rId377" Type="http://schemas.openxmlformats.org/officeDocument/2006/relationships/hyperlink" Target="https://4ammedia.zendesk.com/agent/tickets/299524" TargetMode="External"/><Relationship Id="rId134" Type="http://schemas.openxmlformats.org/officeDocument/2006/relationships/hyperlink" Target="https://horizondirect.gorgias.com/app/ticket/386851609" TargetMode="External"/><Relationship Id="rId255" Type="http://schemas.openxmlformats.org/officeDocument/2006/relationships/hyperlink" Target="https://4ammedia.zendesk.com/agent/tickets/190248" TargetMode="External"/><Relationship Id="rId376" Type="http://schemas.openxmlformats.org/officeDocument/2006/relationships/hyperlink" Target="https://4ammedia.zendesk.com/agent/tickets/299192" TargetMode="External"/><Relationship Id="rId133" Type="http://schemas.openxmlformats.org/officeDocument/2006/relationships/hyperlink" Target="https://horizondirect.gorgias.com/app/ticket/386840263" TargetMode="External"/><Relationship Id="rId254" Type="http://schemas.openxmlformats.org/officeDocument/2006/relationships/hyperlink" Target="https://4ammedia.zendesk.com/agent/tickets/190065" TargetMode="External"/><Relationship Id="rId375" Type="http://schemas.openxmlformats.org/officeDocument/2006/relationships/hyperlink" Target="https://4ammedia.zendesk.com/agent/tickets/297265" TargetMode="External"/><Relationship Id="rId172" Type="http://schemas.openxmlformats.org/officeDocument/2006/relationships/hyperlink" Target="https://assets.aircall.io/calls/3752711764/recording" TargetMode="External"/><Relationship Id="rId293" Type="http://schemas.openxmlformats.org/officeDocument/2006/relationships/hyperlink" Target="https://4ammedia.zendesk.com/agent/tickets/221388" TargetMode="External"/><Relationship Id="rId171" Type="http://schemas.openxmlformats.org/officeDocument/2006/relationships/hyperlink" Target="https://assets.aircall.io/calls/3748701831/recording" TargetMode="External"/><Relationship Id="rId292" Type="http://schemas.openxmlformats.org/officeDocument/2006/relationships/hyperlink" Target="https://4ammedia.zendesk.com/agent/tickets/221118" TargetMode="External"/><Relationship Id="rId170" Type="http://schemas.openxmlformats.org/officeDocument/2006/relationships/hyperlink" Target="https://assets.aircall.io/calls/3748617102/recording" TargetMode="External"/><Relationship Id="rId291" Type="http://schemas.openxmlformats.org/officeDocument/2006/relationships/hyperlink" Target="https://4ammedia.zendesk.com/agent/tickets/219536" TargetMode="External"/><Relationship Id="rId290" Type="http://schemas.openxmlformats.org/officeDocument/2006/relationships/hyperlink" Target="https://4ammedia.zendesk.com/agent/tickets/219484" TargetMode="External"/><Relationship Id="rId165" Type="http://schemas.openxmlformats.org/officeDocument/2006/relationships/hyperlink" Target="https://assets.aircall.io/calls/3740227347/recording" TargetMode="External"/><Relationship Id="rId286" Type="http://schemas.openxmlformats.org/officeDocument/2006/relationships/hyperlink" Target="https://4ammedia.zendesk.com/agent/tickets/217526" TargetMode="External"/><Relationship Id="rId164" Type="http://schemas.openxmlformats.org/officeDocument/2006/relationships/hyperlink" Target="https://assets.aircall.io/calls/3740143329/recording" TargetMode="External"/><Relationship Id="rId285" Type="http://schemas.openxmlformats.org/officeDocument/2006/relationships/hyperlink" Target="https://4ammedia.zendesk.com/agent/tickets/212334" TargetMode="External"/><Relationship Id="rId163" Type="http://schemas.openxmlformats.org/officeDocument/2006/relationships/hyperlink" Target="https://assets.aircall.io/calls/3740106195/recording" TargetMode="External"/><Relationship Id="rId284" Type="http://schemas.openxmlformats.org/officeDocument/2006/relationships/hyperlink" Target="https://4ammedia.zendesk.com/agent/tickets/212101" TargetMode="External"/><Relationship Id="rId162" Type="http://schemas.openxmlformats.org/officeDocument/2006/relationships/hyperlink" Target="https://assets.aircall.io/calls/3736490986/recording" TargetMode="External"/><Relationship Id="rId283" Type="http://schemas.openxmlformats.org/officeDocument/2006/relationships/hyperlink" Target="https://4ammedia.zendesk.com/agent/tickets/211926" TargetMode="External"/><Relationship Id="rId169" Type="http://schemas.openxmlformats.org/officeDocument/2006/relationships/hyperlink" Target="https://assets.aircall.io/calls/3748538244/recording" TargetMode="External"/><Relationship Id="rId168" Type="http://schemas.openxmlformats.org/officeDocument/2006/relationships/hyperlink" Target="https://assets.aircall.io/calls/3744357028/recording" TargetMode="External"/><Relationship Id="rId289" Type="http://schemas.openxmlformats.org/officeDocument/2006/relationships/hyperlink" Target="https://4ammedia.zendesk.com/agent/tickets/219252" TargetMode="External"/><Relationship Id="rId167" Type="http://schemas.openxmlformats.org/officeDocument/2006/relationships/hyperlink" Target="https://assets.aircall.io/calls/3744320925/recording" TargetMode="External"/><Relationship Id="rId288" Type="http://schemas.openxmlformats.org/officeDocument/2006/relationships/hyperlink" Target="https://4ammedia.zendesk.com/agent/tickets/217754" TargetMode="External"/><Relationship Id="rId166" Type="http://schemas.openxmlformats.org/officeDocument/2006/relationships/hyperlink" Target="https://assets.aircall.io/calls/3744293371/recording" TargetMode="External"/><Relationship Id="rId287" Type="http://schemas.openxmlformats.org/officeDocument/2006/relationships/hyperlink" Target="https://4ammedia.zendesk.com/agent/tickets/217670" TargetMode="External"/><Relationship Id="rId161" Type="http://schemas.openxmlformats.org/officeDocument/2006/relationships/hyperlink" Target="https://assets.aircall.io/calls/3736480942/recording" TargetMode="External"/><Relationship Id="rId282" Type="http://schemas.openxmlformats.org/officeDocument/2006/relationships/hyperlink" Target="https://4ammedia.zendesk.com/agent/tickets/210664" TargetMode="External"/><Relationship Id="rId160" Type="http://schemas.openxmlformats.org/officeDocument/2006/relationships/hyperlink" Target="https://assets.aircall.io/calls/3736450167/recording" TargetMode="External"/><Relationship Id="rId281" Type="http://schemas.openxmlformats.org/officeDocument/2006/relationships/hyperlink" Target="https://4ammedia.zendesk.com/agent/tickets/210661" TargetMode="External"/><Relationship Id="rId280" Type="http://schemas.openxmlformats.org/officeDocument/2006/relationships/hyperlink" Target="https://4ammedia.zendesk.com/agent/tickets/210531" TargetMode="External"/><Relationship Id="rId159" Type="http://schemas.openxmlformats.org/officeDocument/2006/relationships/hyperlink" Target="https://assets.aircall.io/calls/3732845651/recording" TargetMode="External"/><Relationship Id="rId154" Type="http://schemas.openxmlformats.org/officeDocument/2006/relationships/hyperlink" Target="https://assets.aircall.io/calls/3728704051/recording" TargetMode="External"/><Relationship Id="rId275" Type="http://schemas.openxmlformats.org/officeDocument/2006/relationships/hyperlink" Target="https://4ammedia.zendesk.com/agent/tickets/208315" TargetMode="External"/><Relationship Id="rId396" Type="http://schemas.openxmlformats.org/officeDocument/2006/relationships/hyperlink" Target="https://4ammedia.zendesk.com/agent/tickets/314161" TargetMode="External"/><Relationship Id="rId153" Type="http://schemas.openxmlformats.org/officeDocument/2006/relationships/hyperlink" Target="https://assets.aircall.io/calls/3724633601/recording" TargetMode="External"/><Relationship Id="rId274" Type="http://schemas.openxmlformats.org/officeDocument/2006/relationships/hyperlink" Target="https://4ammedia.zendesk.com/agent/tickets/208171" TargetMode="External"/><Relationship Id="rId395" Type="http://schemas.openxmlformats.org/officeDocument/2006/relationships/hyperlink" Target="https://4ammedia.zendesk.com/agent/tickets/314095" TargetMode="External"/><Relationship Id="rId152" Type="http://schemas.openxmlformats.org/officeDocument/2006/relationships/hyperlink" Target="https://assets.aircall.io/calls/3724559490/recording" TargetMode="External"/><Relationship Id="rId273" Type="http://schemas.openxmlformats.org/officeDocument/2006/relationships/hyperlink" Target="https://4ammedia.zendesk.com/agent/tickets/206579" TargetMode="External"/><Relationship Id="rId394" Type="http://schemas.openxmlformats.org/officeDocument/2006/relationships/hyperlink" Target="https://4ammedia.zendesk.com/agent/tickets/313850" TargetMode="External"/><Relationship Id="rId151" Type="http://schemas.openxmlformats.org/officeDocument/2006/relationships/hyperlink" Target="https://assets.aircall.io/calls/3724520376/recording" TargetMode="External"/><Relationship Id="rId272" Type="http://schemas.openxmlformats.org/officeDocument/2006/relationships/hyperlink" Target="https://4ammedia.zendesk.com/agent/tickets/206399" TargetMode="External"/><Relationship Id="rId393" Type="http://schemas.openxmlformats.org/officeDocument/2006/relationships/hyperlink" Target="https://4ammedia.zendesk.com/agent/tickets/312564" TargetMode="External"/><Relationship Id="rId158" Type="http://schemas.openxmlformats.org/officeDocument/2006/relationships/hyperlink" Target="https://assets.aircall.io/calls/3732778522/recording" TargetMode="External"/><Relationship Id="rId279" Type="http://schemas.openxmlformats.org/officeDocument/2006/relationships/hyperlink" Target="https://4ammedia.zendesk.com/agent/tickets/209418" TargetMode="External"/><Relationship Id="rId157" Type="http://schemas.openxmlformats.org/officeDocument/2006/relationships/hyperlink" Target="https://assets.aircall.io/calls/3732755288/recording" TargetMode="External"/><Relationship Id="rId278" Type="http://schemas.openxmlformats.org/officeDocument/2006/relationships/hyperlink" Target="https://4ammedia.zendesk.com/agent/tickets/209394" TargetMode="External"/><Relationship Id="rId399" Type="http://schemas.openxmlformats.org/officeDocument/2006/relationships/hyperlink" Target="https://4ammedia.zendesk.com/agent/tickets/316395" TargetMode="External"/><Relationship Id="rId156" Type="http://schemas.openxmlformats.org/officeDocument/2006/relationships/hyperlink" Target="https://assets.aircall.io/calls/3728951608/recording" TargetMode="External"/><Relationship Id="rId277" Type="http://schemas.openxmlformats.org/officeDocument/2006/relationships/hyperlink" Target="https://4ammedia.zendesk.com/agent/tickets/209273" TargetMode="External"/><Relationship Id="rId398" Type="http://schemas.openxmlformats.org/officeDocument/2006/relationships/hyperlink" Target="https://4ammedia.zendesk.com/agent/tickets/316231" TargetMode="External"/><Relationship Id="rId155" Type="http://schemas.openxmlformats.org/officeDocument/2006/relationships/hyperlink" Target="https://assets.aircall.io/calls/3728923371/recording" TargetMode="External"/><Relationship Id="rId276" Type="http://schemas.openxmlformats.org/officeDocument/2006/relationships/hyperlink" Target="https://4ammedia.zendesk.com/agent/tickets/208362" TargetMode="External"/><Relationship Id="rId397" Type="http://schemas.openxmlformats.org/officeDocument/2006/relationships/hyperlink" Target="https://4ammedia.zendesk.com/agent/tickets/316085" TargetMode="External"/><Relationship Id="rId40" Type="http://schemas.openxmlformats.org/officeDocument/2006/relationships/hyperlink" Target="https://horizondirect.gorgias.com/app/ticket/381376489" TargetMode="External"/><Relationship Id="rId42" Type="http://schemas.openxmlformats.org/officeDocument/2006/relationships/hyperlink" Target="https://horizondirect.gorgias.com/app/ticket/381370391" TargetMode="External"/><Relationship Id="rId41" Type="http://schemas.openxmlformats.org/officeDocument/2006/relationships/hyperlink" Target="https://horizondirect.gorgias.com/app/ticket/381349939" TargetMode="External"/><Relationship Id="rId44" Type="http://schemas.openxmlformats.org/officeDocument/2006/relationships/hyperlink" Target="https://horizondirect.gorgias.com/app/ticket/381367783" TargetMode="External"/><Relationship Id="rId43" Type="http://schemas.openxmlformats.org/officeDocument/2006/relationships/hyperlink" Target="https://horizondirect.gorgias.com/app/ticket/381365022" TargetMode="External"/><Relationship Id="rId46" Type="http://schemas.openxmlformats.org/officeDocument/2006/relationships/hyperlink" Target="https://horizondirect.gorgias.com/app/ticket/381481478" TargetMode="External"/><Relationship Id="rId45" Type="http://schemas.openxmlformats.org/officeDocument/2006/relationships/hyperlink" Target="https://horizondirect.gorgias.com/app/ticket/381381449" TargetMode="External"/><Relationship Id="rId48" Type="http://schemas.openxmlformats.org/officeDocument/2006/relationships/hyperlink" Target="https://horizondirect.gorgias.com/app/ticket/381488126" TargetMode="External"/><Relationship Id="rId47" Type="http://schemas.openxmlformats.org/officeDocument/2006/relationships/hyperlink" Target="https://horizondirect.gorgias.com/app/ticket/381484631" TargetMode="External"/><Relationship Id="rId49" Type="http://schemas.openxmlformats.org/officeDocument/2006/relationships/hyperlink" Target="https://horizondirect.gorgias.com/app/ticket/381646153" TargetMode="External"/><Relationship Id="rId31" Type="http://schemas.openxmlformats.org/officeDocument/2006/relationships/hyperlink" Target="https://horizondirect.gorgias.com/app/ticket/380324822" TargetMode="External"/><Relationship Id="rId30" Type="http://schemas.openxmlformats.org/officeDocument/2006/relationships/hyperlink" Target="https://horizondirect.gorgias.com/app/ticket/380371686" TargetMode="External"/><Relationship Id="rId33" Type="http://schemas.openxmlformats.org/officeDocument/2006/relationships/hyperlink" Target="https://horizondirect.gorgias.com/app/ticket/379574136" TargetMode="External"/><Relationship Id="rId32" Type="http://schemas.openxmlformats.org/officeDocument/2006/relationships/hyperlink" Target="https://horizondirect.gorgias.com/app/ticket/380716614" TargetMode="External"/><Relationship Id="rId35" Type="http://schemas.openxmlformats.org/officeDocument/2006/relationships/hyperlink" Target="https://horizondirect.gorgias.com/app/ticket/379436702" TargetMode="External"/><Relationship Id="rId34" Type="http://schemas.openxmlformats.org/officeDocument/2006/relationships/hyperlink" Target="https://horizondirect.gorgias.com/app/ticket/380726963" TargetMode="External"/><Relationship Id="rId37" Type="http://schemas.openxmlformats.org/officeDocument/2006/relationships/hyperlink" Target="https://horizondirect.gorgias.com/app/ticket/381251575" TargetMode="External"/><Relationship Id="rId36" Type="http://schemas.openxmlformats.org/officeDocument/2006/relationships/hyperlink" Target="https://horizondirect.gorgias.com/app/ticket/380714408" TargetMode="External"/><Relationship Id="rId39" Type="http://schemas.openxmlformats.org/officeDocument/2006/relationships/hyperlink" Target="https://horizondirect.gorgias.com/app/ticket/381255027" TargetMode="External"/><Relationship Id="rId38" Type="http://schemas.openxmlformats.org/officeDocument/2006/relationships/hyperlink" Target="https://horizondirect.gorgias.com/app/ticket/381254037" TargetMode="External"/><Relationship Id="rId20" Type="http://schemas.openxmlformats.org/officeDocument/2006/relationships/hyperlink" Target="https://horizondirect.gorgias.com/app/ticket/379829980" TargetMode="External"/><Relationship Id="rId22" Type="http://schemas.openxmlformats.org/officeDocument/2006/relationships/hyperlink" Target="https://horizondirect.gorgias.com/app/ticket/380116275" TargetMode="External"/><Relationship Id="rId21" Type="http://schemas.openxmlformats.org/officeDocument/2006/relationships/hyperlink" Target="https://horizondirect.gorgias.com/app/ticket/379842607" TargetMode="External"/><Relationship Id="rId24" Type="http://schemas.openxmlformats.org/officeDocument/2006/relationships/hyperlink" Target="https://horizondirect.gorgias.com/app/ticket/380156559" TargetMode="External"/><Relationship Id="rId23" Type="http://schemas.openxmlformats.org/officeDocument/2006/relationships/hyperlink" Target="https://horizondirect.gorgias.com/app/ticket/380141921" TargetMode="External"/><Relationship Id="rId409" Type="http://schemas.openxmlformats.org/officeDocument/2006/relationships/hyperlink" Target="https://4ammedia.zendesk.com/agent/tickets/329516" TargetMode="External"/><Relationship Id="rId404" Type="http://schemas.openxmlformats.org/officeDocument/2006/relationships/hyperlink" Target="https://4ammedia.zendesk.com/agent/tickets/326881" TargetMode="External"/><Relationship Id="rId403" Type="http://schemas.openxmlformats.org/officeDocument/2006/relationships/hyperlink" Target="https://4ammedia.zendesk.com/agent/tickets/326781" TargetMode="External"/><Relationship Id="rId402" Type="http://schemas.openxmlformats.org/officeDocument/2006/relationships/hyperlink" Target="https://4ammedia.zendesk.com/agent/tickets/325290" TargetMode="External"/><Relationship Id="rId401" Type="http://schemas.openxmlformats.org/officeDocument/2006/relationships/hyperlink" Target="https://4ammedia.zendesk.com/agent/tickets/325171" TargetMode="External"/><Relationship Id="rId408" Type="http://schemas.openxmlformats.org/officeDocument/2006/relationships/hyperlink" Target="https://4ammedia.zendesk.com/agent/tickets/328119" TargetMode="External"/><Relationship Id="rId407" Type="http://schemas.openxmlformats.org/officeDocument/2006/relationships/hyperlink" Target="https://4ammedia.zendesk.com/agent/tickets/328097" TargetMode="External"/><Relationship Id="rId406" Type="http://schemas.openxmlformats.org/officeDocument/2006/relationships/hyperlink" Target="https://4ammedia.zendesk.com/agent/tickets/328083" TargetMode="External"/><Relationship Id="rId405" Type="http://schemas.openxmlformats.org/officeDocument/2006/relationships/hyperlink" Target="https://4ammedia.zendesk.com/agent/tickets/326925" TargetMode="External"/><Relationship Id="rId26" Type="http://schemas.openxmlformats.org/officeDocument/2006/relationships/hyperlink" Target="https://horizondirect.gorgias.com/app/ticket/380260616" TargetMode="External"/><Relationship Id="rId25" Type="http://schemas.openxmlformats.org/officeDocument/2006/relationships/hyperlink" Target="https://horizondirect.gorgias.com/app/ticket/380244984" TargetMode="External"/><Relationship Id="rId28" Type="http://schemas.openxmlformats.org/officeDocument/2006/relationships/hyperlink" Target="https://horizondirect.gorgias.com/app/ticket/380350488" TargetMode="External"/><Relationship Id="rId27" Type="http://schemas.openxmlformats.org/officeDocument/2006/relationships/hyperlink" Target="https://horizondirect.gorgias.com/app/ticket/380275873" TargetMode="External"/><Relationship Id="rId400" Type="http://schemas.openxmlformats.org/officeDocument/2006/relationships/hyperlink" Target="https://4ammedia.zendesk.com/agent/tickets/324870" TargetMode="External"/><Relationship Id="rId29" Type="http://schemas.openxmlformats.org/officeDocument/2006/relationships/hyperlink" Target="https://horizondirect.gorgias.com/app/ticket/380370488" TargetMode="External"/><Relationship Id="rId11" Type="http://schemas.openxmlformats.org/officeDocument/2006/relationships/hyperlink" Target="https://horizondirect.gorgias.com/app/ticket/376724254" TargetMode="External"/><Relationship Id="rId10" Type="http://schemas.openxmlformats.org/officeDocument/2006/relationships/hyperlink" Target="https://horizondirect.gorgias.com/app/ticket/376704054" TargetMode="External"/><Relationship Id="rId13" Type="http://schemas.openxmlformats.org/officeDocument/2006/relationships/hyperlink" Target="https://horizondirect.gorgias.com/app/ticket/376792578" TargetMode="External"/><Relationship Id="rId12" Type="http://schemas.openxmlformats.org/officeDocument/2006/relationships/hyperlink" Target="https://horizondirect.gorgias.com/app/ticket/376706349" TargetMode="External"/><Relationship Id="rId15" Type="http://schemas.openxmlformats.org/officeDocument/2006/relationships/hyperlink" Target="https://horizondirect.gorgias.com/app/ticket/376817573" TargetMode="External"/><Relationship Id="rId14" Type="http://schemas.openxmlformats.org/officeDocument/2006/relationships/hyperlink" Target="https://horizondirect.gorgias.com/app/ticket/376796013" TargetMode="External"/><Relationship Id="rId17" Type="http://schemas.openxmlformats.org/officeDocument/2006/relationships/hyperlink" Target="https://horizondirect.gorgias.com/app/ticket/379687319" TargetMode="External"/><Relationship Id="rId16" Type="http://schemas.openxmlformats.org/officeDocument/2006/relationships/hyperlink" Target="https://horizondirect.gorgias.com/app/ticket/379681295" TargetMode="External"/><Relationship Id="rId19" Type="http://schemas.openxmlformats.org/officeDocument/2006/relationships/hyperlink" Target="https://horizondirect.gorgias.com/app/ticket/379822783" TargetMode="External"/><Relationship Id="rId18" Type="http://schemas.openxmlformats.org/officeDocument/2006/relationships/hyperlink" Target="https://horizondirect.gorgias.com/app/ticket/379704478" TargetMode="External"/><Relationship Id="rId84" Type="http://schemas.openxmlformats.org/officeDocument/2006/relationships/hyperlink" Target="https://horizondirect.gorgias.com/app/ticket/383880434" TargetMode="External"/><Relationship Id="rId83" Type="http://schemas.openxmlformats.org/officeDocument/2006/relationships/hyperlink" Target="https://horizondirect.gorgias.com/app/ticket/383869917" TargetMode="External"/><Relationship Id="rId86" Type="http://schemas.openxmlformats.org/officeDocument/2006/relationships/hyperlink" Target="https://horizondirect.gorgias.com/app/ticket/384100980" TargetMode="External"/><Relationship Id="rId85" Type="http://schemas.openxmlformats.org/officeDocument/2006/relationships/hyperlink" Target="https://horizondirect.gorgias.com/app/ticket/384093797" TargetMode="External"/><Relationship Id="rId88" Type="http://schemas.openxmlformats.org/officeDocument/2006/relationships/hyperlink" Target="https://horizondirect.gorgias.com/app/ticket/384168381" TargetMode="External"/><Relationship Id="rId87" Type="http://schemas.openxmlformats.org/officeDocument/2006/relationships/hyperlink" Target="https://horizondirect.gorgias.com/app/ticket/384104884" TargetMode="External"/><Relationship Id="rId89" Type="http://schemas.openxmlformats.org/officeDocument/2006/relationships/hyperlink" Target="https://horizondirect.gorgias.com/app/ticket/384173964" TargetMode="External"/><Relationship Id="rId80" Type="http://schemas.openxmlformats.org/officeDocument/2006/relationships/hyperlink" Target="https://horizondirect.gorgias.com/app/ticket/383722970" TargetMode="External"/><Relationship Id="rId82" Type="http://schemas.openxmlformats.org/officeDocument/2006/relationships/hyperlink" Target="https://horizondirect.gorgias.com/app/ticket/383863961" TargetMode="External"/><Relationship Id="rId81" Type="http://schemas.openxmlformats.org/officeDocument/2006/relationships/hyperlink" Target="https://horizondirect.gorgias.com/app/ticket/383735260" TargetMode="External"/><Relationship Id="rId73" Type="http://schemas.openxmlformats.org/officeDocument/2006/relationships/hyperlink" Target="https://horizondirect.gorgias.com/app/ticket/383221173" TargetMode="External"/><Relationship Id="rId72" Type="http://schemas.openxmlformats.org/officeDocument/2006/relationships/hyperlink" Target="https://horizondirect.gorgias.com/app/ticket/383157291" TargetMode="External"/><Relationship Id="rId75" Type="http://schemas.openxmlformats.org/officeDocument/2006/relationships/hyperlink" Target="https://horizondirect.gorgias.com/app/ticket/383243868" TargetMode="External"/><Relationship Id="rId74" Type="http://schemas.openxmlformats.org/officeDocument/2006/relationships/hyperlink" Target="https://horizondirect.gorgias.com/app/ticket/383228588" TargetMode="External"/><Relationship Id="rId77" Type="http://schemas.openxmlformats.org/officeDocument/2006/relationships/hyperlink" Target="https://horizondirect.gorgias.com/app/ticket/383449183" TargetMode="External"/><Relationship Id="rId76" Type="http://schemas.openxmlformats.org/officeDocument/2006/relationships/hyperlink" Target="https://horizondirect.gorgias.com/app/ticket/383431861" TargetMode="External"/><Relationship Id="rId79" Type="http://schemas.openxmlformats.org/officeDocument/2006/relationships/hyperlink" Target="https://horizondirect.gorgias.com/app/ticket/383702713" TargetMode="External"/><Relationship Id="rId78" Type="http://schemas.openxmlformats.org/officeDocument/2006/relationships/hyperlink" Target="https://horizondirect.gorgias.com/app/ticket/383464294" TargetMode="External"/><Relationship Id="rId71" Type="http://schemas.openxmlformats.org/officeDocument/2006/relationships/hyperlink" Target="https://horizondirect.gorgias.com/app/ticket/383147677" TargetMode="External"/><Relationship Id="rId70" Type="http://schemas.openxmlformats.org/officeDocument/2006/relationships/hyperlink" Target="https://horizondirect.gorgias.com/app/ticket/383132948" TargetMode="External"/><Relationship Id="rId62" Type="http://schemas.openxmlformats.org/officeDocument/2006/relationships/hyperlink" Target="https://horizondirect.gorgias.com/app/ticket/382572679" TargetMode="External"/><Relationship Id="rId61" Type="http://schemas.openxmlformats.org/officeDocument/2006/relationships/hyperlink" Target="https://horizondirect.gorgias.com/app/ticket/382545099" TargetMode="External"/><Relationship Id="rId64" Type="http://schemas.openxmlformats.org/officeDocument/2006/relationships/hyperlink" Target="https://horizondirect.gorgias.com/app/ticket/382719493" TargetMode="External"/><Relationship Id="rId63" Type="http://schemas.openxmlformats.org/officeDocument/2006/relationships/hyperlink" Target="https://horizondirect.gorgias.com/app/ticket/382591627" TargetMode="External"/><Relationship Id="rId66" Type="http://schemas.openxmlformats.org/officeDocument/2006/relationships/hyperlink" Target="https://horizondirect.gorgias.com/app/ticket/382749837" TargetMode="External"/><Relationship Id="rId65" Type="http://schemas.openxmlformats.org/officeDocument/2006/relationships/hyperlink" Target="https://horizondirect.gorgias.com/app/ticket/382733618" TargetMode="External"/><Relationship Id="rId68" Type="http://schemas.openxmlformats.org/officeDocument/2006/relationships/hyperlink" Target="https://horizondirect.gorgias.com/app/ticket/382872852" TargetMode="External"/><Relationship Id="rId67" Type="http://schemas.openxmlformats.org/officeDocument/2006/relationships/hyperlink" Target="https://horizondirect.gorgias.com/app/ticket/382860297" TargetMode="External"/><Relationship Id="rId60" Type="http://schemas.openxmlformats.org/officeDocument/2006/relationships/hyperlink" Target="https://horizondirect.gorgias.com/app/ticket/382321079" TargetMode="External"/><Relationship Id="rId69" Type="http://schemas.openxmlformats.org/officeDocument/2006/relationships/hyperlink" Target="https://horizondirect.gorgias.com/app/ticket/382891620" TargetMode="External"/><Relationship Id="rId51" Type="http://schemas.openxmlformats.org/officeDocument/2006/relationships/hyperlink" Target="https://horizondirect.gorgias.com/app/ticket/381638990" TargetMode="External"/><Relationship Id="rId50" Type="http://schemas.openxmlformats.org/officeDocument/2006/relationships/hyperlink" Target="https://horizondirect.gorgias.com/app/ticket/381626764" TargetMode="External"/><Relationship Id="rId53" Type="http://schemas.openxmlformats.org/officeDocument/2006/relationships/hyperlink" Target="https://horizondirect.gorgias.com/app/ticket/381782889" TargetMode="External"/><Relationship Id="rId52" Type="http://schemas.openxmlformats.org/officeDocument/2006/relationships/hyperlink" Target="https://horizondirect.gorgias.com/app/ticket/381773285" TargetMode="External"/><Relationship Id="rId55" Type="http://schemas.openxmlformats.org/officeDocument/2006/relationships/hyperlink" Target="https://horizondirect.gorgias.com/app/ticket/382226917" TargetMode="External"/><Relationship Id="rId54" Type="http://schemas.openxmlformats.org/officeDocument/2006/relationships/hyperlink" Target="https://horizondirect.gorgias.com/app/ticket/381800966" TargetMode="External"/><Relationship Id="rId57" Type="http://schemas.openxmlformats.org/officeDocument/2006/relationships/hyperlink" Target="https://horizondirect.gorgias.com/app/ticket/382213811" TargetMode="External"/><Relationship Id="rId56" Type="http://schemas.openxmlformats.org/officeDocument/2006/relationships/hyperlink" Target="https://horizondirect.gorgias.com/app/ticket/382193814" TargetMode="External"/><Relationship Id="rId59" Type="http://schemas.openxmlformats.org/officeDocument/2006/relationships/hyperlink" Target="https://horizondirect.gorgias.com/app/ticket/382311350" TargetMode="External"/><Relationship Id="rId58" Type="http://schemas.openxmlformats.org/officeDocument/2006/relationships/hyperlink" Target="https://horizondirect.gorgias.com/app/ticket/382298673" TargetMode="External"/><Relationship Id="rId107" Type="http://schemas.openxmlformats.org/officeDocument/2006/relationships/hyperlink" Target="https://horizondirect.gorgias.com/app/ticket/385190907" TargetMode="External"/><Relationship Id="rId228" Type="http://schemas.openxmlformats.org/officeDocument/2006/relationships/hyperlink" Target="https://4ammedia.zendesk.com/agent/tickets/162833" TargetMode="External"/><Relationship Id="rId349" Type="http://schemas.openxmlformats.org/officeDocument/2006/relationships/hyperlink" Target="https://4ammedia.zendesk.com/agent/tickets/274417" TargetMode="External"/><Relationship Id="rId106" Type="http://schemas.openxmlformats.org/officeDocument/2006/relationships/hyperlink" Target="https://horizondirect.gorgias.com/app/ticket/385174956" TargetMode="External"/><Relationship Id="rId227" Type="http://schemas.openxmlformats.org/officeDocument/2006/relationships/hyperlink" Target="https://4ammedia.zendesk.com/agent/tickets/162684" TargetMode="External"/><Relationship Id="rId348" Type="http://schemas.openxmlformats.org/officeDocument/2006/relationships/hyperlink" Target="https://4ammedia.zendesk.com/agent/tickets/271259" TargetMode="External"/><Relationship Id="rId469" Type="http://schemas.openxmlformats.org/officeDocument/2006/relationships/hyperlink" Target="https://4ammedia.zendesk.com/agent/tickets/412414" TargetMode="External"/><Relationship Id="rId105" Type="http://schemas.openxmlformats.org/officeDocument/2006/relationships/hyperlink" Target="https://horizondirect.gorgias.com/app/ticket/385066942" TargetMode="External"/><Relationship Id="rId226" Type="http://schemas.openxmlformats.org/officeDocument/2006/relationships/hyperlink" Target="https://4ammedia.zendesk.com/agent/tickets/162610" TargetMode="External"/><Relationship Id="rId347" Type="http://schemas.openxmlformats.org/officeDocument/2006/relationships/hyperlink" Target="https://4ammedia.zendesk.com/agent/tickets/271203" TargetMode="External"/><Relationship Id="rId468" Type="http://schemas.openxmlformats.org/officeDocument/2006/relationships/hyperlink" Target="https://4ammedia.zendesk.com/agent/tickets/409484" TargetMode="External"/><Relationship Id="rId104" Type="http://schemas.openxmlformats.org/officeDocument/2006/relationships/hyperlink" Target="https://horizondirect.gorgias.com/app/ticket/385058950" TargetMode="External"/><Relationship Id="rId225" Type="http://schemas.openxmlformats.org/officeDocument/2006/relationships/hyperlink" Target="http://4ammedia.zendesk.com/agent/tickets/161195" TargetMode="External"/><Relationship Id="rId346" Type="http://schemas.openxmlformats.org/officeDocument/2006/relationships/hyperlink" Target="https://4ammedia.zendesk.com/agent/tickets/271150" TargetMode="External"/><Relationship Id="rId467" Type="http://schemas.openxmlformats.org/officeDocument/2006/relationships/hyperlink" Target="https://4ammedia.zendesk.com/agent/tickets/409220" TargetMode="External"/><Relationship Id="rId109" Type="http://schemas.openxmlformats.org/officeDocument/2006/relationships/hyperlink" Target="https://horizondirect.gorgias.com/app/ticket/385354904" TargetMode="External"/><Relationship Id="rId108" Type="http://schemas.openxmlformats.org/officeDocument/2006/relationships/hyperlink" Target="https://horizondirect.gorgias.com/app/ticket/385200575" TargetMode="External"/><Relationship Id="rId229" Type="http://schemas.openxmlformats.org/officeDocument/2006/relationships/hyperlink" Target="https://4ammedia.zendesk.com/agent/tickets/164241" TargetMode="External"/><Relationship Id="rId220" Type="http://schemas.openxmlformats.org/officeDocument/2006/relationships/hyperlink" Target="https://4ammedia.zendesk.com/agent/tickets/156782" TargetMode="External"/><Relationship Id="rId341" Type="http://schemas.openxmlformats.org/officeDocument/2006/relationships/hyperlink" Target="https://4ammedia.zendesk.com/agent/tickets/265674" TargetMode="External"/><Relationship Id="rId462" Type="http://schemas.openxmlformats.org/officeDocument/2006/relationships/hyperlink" Target="https://4ammedia.zendesk.com/agent/tickets/403594" TargetMode="External"/><Relationship Id="rId340" Type="http://schemas.openxmlformats.org/officeDocument/2006/relationships/hyperlink" Target="https://4ammedia.zendesk.com/agent/tickets/265482" TargetMode="External"/><Relationship Id="rId461" Type="http://schemas.openxmlformats.org/officeDocument/2006/relationships/hyperlink" Target="https://4ammedia.zendesk.com/agent/tickets/403228" TargetMode="External"/><Relationship Id="rId460" Type="http://schemas.openxmlformats.org/officeDocument/2006/relationships/hyperlink" Target="https://4ammedia.zendesk.com/agent/tickets/403070" TargetMode="External"/><Relationship Id="rId103" Type="http://schemas.openxmlformats.org/officeDocument/2006/relationships/hyperlink" Target="https://horizondirect.gorgias.com/app/ticket/385044541" TargetMode="External"/><Relationship Id="rId224" Type="http://schemas.openxmlformats.org/officeDocument/2006/relationships/hyperlink" Target="https://4ammedia.zendesk.com/agent/tickets/161082" TargetMode="External"/><Relationship Id="rId345" Type="http://schemas.openxmlformats.org/officeDocument/2006/relationships/hyperlink" Target="https://4ammedia.zendesk.com/agent/tickets/269964" TargetMode="External"/><Relationship Id="rId466" Type="http://schemas.openxmlformats.org/officeDocument/2006/relationships/hyperlink" Target="https://4ammedia.zendesk.com/agent/tickets/409026" TargetMode="External"/><Relationship Id="rId102" Type="http://schemas.openxmlformats.org/officeDocument/2006/relationships/hyperlink" Target="https://horizondirect.gorgias.com/app/ticket/384741175" TargetMode="External"/><Relationship Id="rId223" Type="http://schemas.openxmlformats.org/officeDocument/2006/relationships/hyperlink" Target="https://4ammedia.zendesk.com/agent/tickets/161013" TargetMode="External"/><Relationship Id="rId344" Type="http://schemas.openxmlformats.org/officeDocument/2006/relationships/hyperlink" Target="https://4ammedia.zendesk.com/agent/tickets/269791" TargetMode="External"/><Relationship Id="rId465" Type="http://schemas.openxmlformats.org/officeDocument/2006/relationships/hyperlink" Target="https://4ammedia.zendesk.com/agent/tickets/406904" TargetMode="External"/><Relationship Id="rId101" Type="http://schemas.openxmlformats.org/officeDocument/2006/relationships/hyperlink" Target="https://horizondirect.gorgias.com/app/ticket/384730924" TargetMode="External"/><Relationship Id="rId222" Type="http://schemas.openxmlformats.org/officeDocument/2006/relationships/hyperlink" Target="https://4ammedia.zendesk.com/agent/tickets/157135" TargetMode="External"/><Relationship Id="rId343" Type="http://schemas.openxmlformats.org/officeDocument/2006/relationships/hyperlink" Target="https://4ammedia.zendesk.com/agent/tickets/269704" TargetMode="External"/><Relationship Id="rId464" Type="http://schemas.openxmlformats.org/officeDocument/2006/relationships/hyperlink" Target="https://4ammedia.zendesk.com/agent/tickets/406247" TargetMode="External"/><Relationship Id="rId100" Type="http://schemas.openxmlformats.org/officeDocument/2006/relationships/hyperlink" Target="https://horizondirect.gorgias.com/app/ticket/384724795" TargetMode="External"/><Relationship Id="rId221" Type="http://schemas.openxmlformats.org/officeDocument/2006/relationships/hyperlink" Target="http://4ammedia.zendesk.com/agent/tickets/155823" TargetMode="External"/><Relationship Id="rId342" Type="http://schemas.openxmlformats.org/officeDocument/2006/relationships/hyperlink" Target="https://4ammedia.zendesk.com/agent/tickets/265739" TargetMode="External"/><Relationship Id="rId463" Type="http://schemas.openxmlformats.org/officeDocument/2006/relationships/hyperlink" Target="https://4ammedia.zendesk.com/agent/tickets/406158" TargetMode="External"/><Relationship Id="rId217" Type="http://schemas.openxmlformats.org/officeDocument/2006/relationships/hyperlink" Target="https://4ammedia.zendesk.com/agent/tickets/155577" TargetMode="External"/><Relationship Id="rId338" Type="http://schemas.openxmlformats.org/officeDocument/2006/relationships/hyperlink" Target="https://4ammedia.zendesk.com/agent/tickets/263668" TargetMode="External"/><Relationship Id="rId459" Type="http://schemas.openxmlformats.org/officeDocument/2006/relationships/hyperlink" Target="https://4ammedia.zendesk.com/agent/tickets/393299" TargetMode="External"/><Relationship Id="rId216" Type="http://schemas.openxmlformats.org/officeDocument/2006/relationships/hyperlink" Target="https://4ammedia.zendesk.com/agent/tickets/154319" TargetMode="External"/><Relationship Id="rId337" Type="http://schemas.openxmlformats.org/officeDocument/2006/relationships/hyperlink" Target="https://4ammedia.zendesk.com/agent/tickets/263346" TargetMode="External"/><Relationship Id="rId458" Type="http://schemas.openxmlformats.org/officeDocument/2006/relationships/hyperlink" Target="https://4ammedia.zendesk.com/agent/tickets/393256" TargetMode="External"/><Relationship Id="rId215" Type="http://schemas.openxmlformats.org/officeDocument/2006/relationships/hyperlink" Target="https://4ammedia.zendesk.com/agent/tickets/154217" TargetMode="External"/><Relationship Id="rId336" Type="http://schemas.openxmlformats.org/officeDocument/2006/relationships/hyperlink" Target="https://4ammedia.zendesk.com/agent/tickets/261780" TargetMode="External"/><Relationship Id="rId457" Type="http://schemas.openxmlformats.org/officeDocument/2006/relationships/hyperlink" Target="https://4ammedia.zendesk.com/agent/tickets/393120" TargetMode="External"/><Relationship Id="rId214" Type="http://schemas.openxmlformats.org/officeDocument/2006/relationships/hyperlink" Target="https://4ammedia.zendesk.com/agent/tickets/154118" TargetMode="External"/><Relationship Id="rId335" Type="http://schemas.openxmlformats.org/officeDocument/2006/relationships/hyperlink" Target="https://4ammedia.zendesk.com/agent/tickets/261644" TargetMode="External"/><Relationship Id="rId456" Type="http://schemas.openxmlformats.org/officeDocument/2006/relationships/hyperlink" Target="https://4ammedia.zendesk.com/agent/tickets/389949" TargetMode="External"/><Relationship Id="rId219" Type="http://schemas.openxmlformats.org/officeDocument/2006/relationships/hyperlink" Target="https://4ammedia.zendesk.com/agent/tickets/155903" TargetMode="External"/><Relationship Id="rId218" Type="http://schemas.openxmlformats.org/officeDocument/2006/relationships/hyperlink" Target="https://4ammedia.zendesk.com/agent/tickets/155748" TargetMode="External"/><Relationship Id="rId339" Type="http://schemas.openxmlformats.org/officeDocument/2006/relationships/hyperlink" Target="https://4ammedia.zendesk.com/agent/tickets/263941" TargetMode="External"/><Relationship Id="rId330" Type="http://schemas.openxmlformats.org/officeDocument/2006/relationships/hyperlink" Target="https://4ammedia.zendesk.com/agent/tickets/257965" TargetMode="External"/><Relationship Id="rId451" Type="http://schemas.openxmlformats.org/officeDocument/2006/relationships/hyperlink" Target="https://4ammedia.zendesk.com/agent/tickets/382553" TargetMode="External"/><Relationship Id="rId450" Type="http://schemas.openxmlformats.org/officeDocument/2006/relationships/hyperlink" Target="https://4ammedia.zendesk.com/agent/tickets/384928" TargetMode="External"/><Relationship Id="rId213" Type="http://schemas.openxmlformats.org/officeDocument/2006/relationships/hyperlink" Target="https://4ammedia.zendesk.com/agent/tickets/152674" TargetMode="External"/><Relationship Id="rId334" Type="http://schemas.openxmlformats.org/officeDocument/2006/relationships/hyperlink" Target="https://4ammedia.zendesk.com/agent/tickets/261436" TargetMode="External"/><Relationship Id="rId455" Type="http://schemas.openxmlformats.org/officeDocument/2006/relationships/hyperlink" Target="https://4ammedia.zendesk.com/agent/tickets/389793" TargetMode="External"/><Relationship Id="rId212" Type="http://schemas.openxmlformats.org/officeDocument/2006/relationships/hyperlink" Target="https://4ammedia.zendesk.com/agent/tickets/152588" TargetMode="External"/><Relationship Id="rId333" Type="http://schemas.openxmlformats.org/officeDocument/2006/relationships/hyperlink" Target="https://4ammedia.zendesk.com/agent/tickets/260398" TargetMode="External"/><Relationship Id="rId454" Type="http://schemas.openxmlformats.org/officeDocument/2006/relationships/hyperlink" Target="https://4ammedia.zendesk.com/agent/tickets/389641" TargetMode="External"/><Relationship Id="rId211" Type="http://schemas.openxmlformats.org/officeDocument/2006/relationships/hyperlink" Target="https://4ammedia.zendesk.com/agent/tickets/152495" TargetMode="External"/><Relationship Id="rId332" Type="http://schemas.openxmlformats.org/officeDocument/2006/relationships/hyperlink" Target="https://4ammedia.zendesk.com/agent/tickets/260296" TargetMode="External"/><Relationship Id="rId453" Type="http://schemas.openxmlformats.org/officeDocument/2006/relationships/hyperlink" Target="https://4ammedia.zendesk.com/agent/tickets/387195" TargetMode="External"/><Relationship Id="rId210" Type="http://schemas.openxmlformats.org/officeDocument/2006/relationships/hyperlink" Target="https://4ammedia.zendesk.com/agent/tickets/151093" TargetMode="External"/><Relationship Id="rId331" Type="http://schemas.openxmlformats.org/officeDocument/2006/relationships/hyperlink" Target="https://4ammedia.zendesk.com/agent/tickets/259953" TargetMode="External"/><Relationship Id="rId452" Type="http://schemas.openxmlformats.org/officeDocument/2006/relationships/hyperlink" Target="https://4ammedia.zendesk.com/agent/tickets/384884" TargetMode="External"/><Relationship Id="rId370" Type="http://schemas.openxmlformats.org/officeDocument/2006/relationships/hyperlink" Target="https://4ammedia.zendesk.com/agent/tickets/295688" TargetMode="External"/><Relationship Id="rId129" Type="http://schemas.openxmlformats.org/officeDocument/2006/relationships/hyperlink" Target="https://horizondirect.gorgias.com/app/ticket/386392709" TargetMode="External"/><Relationship Id="rId128" Type="http://schemas.openxmlformats.org/officeDocument/2006/relationships/hyperlink" Target="https://horizondirect.gorgias.com/app/ticket/386384644" TargetMode="External"/><Relationship Id="rId249" Type="http://schemas.openxmlformats.org/officeDocument/2006/relationships/hyperlink" Target="https://4ammedia.zendesk.com/agent/tickets/177465" TargetMode="External"/><Relationship Id="rId127" Type="http://schemas.openxmlformats.org/officeDocument/2006/relationships/hyperlink" Target="https://horizondirect.gorgias.com/app/ticket/386356120" TargetMode="External"/><Relationship Id="rId248" Type="http://schemas.openxmlformats.org/officeDocument/2006/relationships/hyperlink" Target="https://4ammedia.zendesk.com/agent/tickets/177379" TargetMode="External"/><Relationship Id="rId369" Type="http://schemas.openxmlformats.org/officeDocument/2006/relationships/hyperlink" Target="https://4ammedia.zendesk.com/agent/tickets/289913" TargetMode="External"/><Relationship Id="rId126" Type="http://schemas.openxmlformats.org/officeDocument/2006/relationships/hyperlink" Target="https://horizondirect.gorgias.com/app/ticket/386224699" TargetMode="External"/><Relationship Id="rId247" Type="http://schemas.openxmlformats.org/officeDocument/2006/relationships/hyperlink" Target="https://4ammedia.zendesk.com/agent/tickets/177313" TargetMode="External"/><Relationship Id="rId368" Type="http://schemas.openxmlformats.org/officeDocument/2006/relationships/hyperlink" Target="https://4ammedia.zendesk.com/agent/tickets/289642" TargetMode="External"/><Relationship Id="rId121" Type="http://schemas.openxmlformats.org/officeDocument/2006/relationships/hyperlink" Target="https://horizondirect.gorgias.com/app/ticket/386072788" TargetMode="External"/><Relationship Id="rId242" Type="http://schemas.openxmlformats.org/officeDocument/2006/relationships/hyperlink" Target="https://4ammedia.zendesk.com/agent/tickets/173210" TargetMode="External"/><Relationship Id="rId363" Type="http://schemas.openxmlformats.org/officeDocument/2006/relationships/hyperlink" Target="https://4ammedia.zendesk.com/agent/tickets/284629" TargetMode="External"/><Relationship Id="rId484" Type="http://schemas.openxmlformats.org/officeDocument/2006/relationships/table" Target="../tables/table52.xml"/><Relationship Id="rId120" Type="http://schemas.openxmlformats.org/officeDocument/2006/relationships/hyperlink" Target="https://horizondirect.gorgias.com/app/ticket/385941473" TargetMode="External"/><Relationship Id="rId241" Type="http://schemas.openxmlformats.org/officeDocument/2006/relationships/hyperlink" Target="https://4ammedia.zendesk.com/agent/tickets/173125" TargetMode="External"/><Relationship Id="rId362" Type="http://schemas.openxmlformats.org/officeDocument/2006/relationships/hyperlink" Target="https://4ammedia.zendesk.com/agent/tickets/284461" TargetMode="External"/><Relationship Id="rId240" Type="http://schemas.openxmlformats.org/officeDocument/2006/relationships/hyperlink" Target="https://4ammedia.zendesk.com/agent/tickets/171815" TargetMode="External"/><Relationship Id="rId361" Type="http://schemas.openxmlformats.org/officeDocument/2006/relationships/hyperlink" Target="https://4ammedia.zendesk.com/agent/tickets/284247" TargetMode="External"/><Relationship Id="rId360" Type="http://schemas.openxmlformats.org/officeDocument/2006/relationships/hyperlink" Target="https://4ammedia.zendesk.com/agent/tickets/282875" TargetMode="External"/><Relationship Id="rId481" Type="http://schemas.openxmlformats.org/officeDocument/2006/relationships/drawing" Target="../drawings/drawing13.xml"/><Relationship Id="rId125" Type="http://schemas.openxmlformats.org/officeDocument/2006/relationships/hyperlink" Target="https://horizondirect.gorgias.com/app/ticket/386228626" TargetMode="External"/><Relationship Id="rId246" Type="http://schemas.openxmlformats.org/officeDocument/2006/relationships/hyperlink" Target="https://4ammedia.zendesk.com/agent/tickets/174926" TargetMode="External"/><Relationship Id="rId367" Type="http://schemas.openxmlformats.org/officeDocument/2006/relationships/hyperlink" Target="https://4ammedia.zendesk.com/agent/tickets/289270" TargetMode="External"/><Relationship Id="rId124" Type="http://schemas.openxmlformats.org/officeDocument/2006/relationships/hyperlink" Target="https://horizondirect.gorgias.com/app/ticket/386235092" TargetMode="External"/><Relationship Id="rId245" Type="http://schemas.openxmlformats.org/officeDocument/2006/relationships/hyperlink" Target="https://4ammedia.zendesk.com/agent/tickets/174904" TargetMode="External"/><Relationship Id="rId366" Type="http://schemas.openxmlformats.org/officeDocument/2006/relationships/hyperlink" Target="https://4ammedia.zendesk.com/agent/tickets/286278" TargetMode="External"/><Relationship Id="rId123" Type="http://schemas.openxmlformats.org/officeDocument/2006/relationships/hyperlink" Target="https://horizondirect.gorgias.com/app/ticket/386096588" TargetMode="External"/><Relationship Id="rId244" Type="http://schemas.openxmlformats.org/officeDocument/2006/relationships/hyperlink" Target="http://4ammedia.zendesk.com/agent/tickets/174853" TargetMode="External"/><Relationship Id="rId365" Type="http://schemas.openxmlformats.org/officeDocument/2006/relationships/hyperlink" Target="https://4ammedia.zendesk.com/agent/tickets/286058" TargetMode="External"/><Relationship Id="rId122" Type="http://schemas.openxmlformats.org/officeDocument/2006/relationships/hyperlink" Target="https://horizondirect.gorgias.com/app/ticket/386081252" TargetMode="External"/><Relationship Id="rId243" Type="http://schemas.openxmlformats.org/officeDocument/2006/relationships/hyperlink" Target="https://4ammedia.zendesk.com/agent/tickets/173332" TargetMode="External"/><Relationship Id="rId364" Type="http://schemas.openxmlformats.org/officeDocument/2006/relationships/hyperlink" Target="https://4ammedia.zendesk.com/agent/tickets/285871" TargetMode="External"/><Relationship Id="rId485" Type="http://schemas.openxmlformats.org/officeDocument/2006/relationships/table" Target="../tables/table53.xml"/><Relationship Id="rId95" Type="http://schemas.openxmlformats.org/officeDocument/2006/relationships/hyperlink" Target="https://horizondirect.gorgias.com/app/ticket/384461390" TargetMode="External"/><Relationship Id="rId94" Type="http://schemas.openxmlformats.org/officeDocument/2006/relationships/hyperlink" Target="https://horizondirect.gorgias.com/app/ticket/384452602" TargetMode="External"/><Relationship Id="rId97" Type="http://schemas.openxmlformats.org/officeDocument/2006/relationships/hyperlink" Target="https://horizondirect.gorgias.com/app/ticket/384576499" TargetMode="External"/><Relationship Id="rId96" Type="http://schemas.openxmlformats.org/officeDocument/2006/relationships/hyperlink" Target="https://horizondirect.gorgias.com/app/ticket/384454691" TargetMode="External"/><Relationship Id="rId99" Type="http://schemas.openxmlformats.org/officeDocument/2006/relationships/hyperlink" Target="https://horizondirect.gorgias.com/app/ticket/384594944" TargetMode="External"/><Relationship Id="rId480" Type="http://schemas.openxmlformats.org/officeDocument/2006/relationships/hyperlink" Target="https://4ammedia.zendesk.com/agent/tickets/430118" TargetMode="External"/><Relationship Id="rId98" Type="http://schemas.openxmlformats.org/officeDocument/2006/relationships/hyperlink" Target="https://horizondirect.gorgias.com/app/ticket/384586904" TargetMode="External"/><Relationship Id="rId91" Type="http://schemas.openxmlformats.org/officeDocument/2006/relationships/hyperlink" Target="https://horizondirect.gorgias.com/app/ticket/384296283" TargetMode="External"/><Relationship Id="rId90" Type="http://schemas.openxmlformats.org/officeDocument/2006/relationships/hyperlink" Target="https://horizondirect.gorgias.com/app/ticket/384185906" TargetMode="External"/><Relationship Id="rId93" Type="http://schemas.openxmlformats.org/officeDocument/2006/relationships/hyperlink" Target="https://horizondirect.gorgias.com/app/ticket/384313108" TargetMode="External"/><Relationship Id="rId92" Type="http://schemas.openxmlformats.org/officeDocument/2006/relationships/hyperlink" Target="https://horizondirect.gorgias.com/app/ticket/384303422" TargetMode="External"/><Relationship Id="rId118" Type="http://schemas.openxmlformats.org/officeDocument/2006/relationships/hyperlink" Target="https://horizondirect.gorgias.com/app/ticket/385953180" TargetMode="External"/><Relationship Id="rId239" Type="http://schemas.openxmlformats.org/officeDocument/2006/relationships/hyperlink" Target="https://4ammedia.zendesk.com/agent/tickets/171752" TargetMode="External"/><Relationship Id="rId117" Type="http://schemas.openxmlformats.org/officeDocument/2006/relationships/hyperlink" Target="https://horizondirect.gorgias.com/app/ticket/385852001" TargetMode="External"/><Relationship Id="rId238" Type="http://schemas.openxmlformats.org/officeDocument/2006/relationships/hyperlink" Target="https://4ammedia.zendesk.com/agent/tickets/171480" TargetMode="External"/><Relationship Id="rId359" Type="http://schemas.openxmlformats.org/officeDocument/2006/relationships/hyperlink" Target="https://4ammedia.zendesk.com/agent/tickets/282636" TargetMode="External"/><Relationship Id="rId116" Type="http://schemas.openxmlformats.org/officeDocument/2006/relationships/hyperlink" Target="https://horizondirect.gorgias.com/app/ticket/385856072" TargetMode="External"/><Relationship Id="rId237" Type="http://schemas.openxmlformats.org/officeDocument/2006/relationships/hyperlink" Target="https://4ammedia.zendesk.com/agent/tickets/167218" TargetMode="External"/><Relationship Id="rId358" Type="http://schemas.openxmlformats.org/officeDocument/2006/relationships/hyperlink" Target="https://4ammedia.zendesk.com/agent/tickets/282532" TargetMode="External"/><Relationship Id="rId479" Type="http://schemas.openxmlformats.org/officeDocument/2006/relationships/hyperlink" Target="https://4ammedia.zendesk.com/agent/tickets/430051" TargetMode="External"/><Relationship Id="rId115" Type="http://schemas.openxmlformats.org/officeDocument/2006/relationships/hyperlink" Target="https://horizondirect.gorgias.com/app/ticket/385861537" TargetMode="External"/><Relationship Id="rId236" Type="http://schemas.openxmlformats.org/officeDocument/2006/relationships/hyperlink" Target="https://4ammedia.zendesk.com/agent/tickets/167202" TargetMode="External"/><Relationship Id="rId357" Type="http://schemas.openxmlformats.org/officeDocument/2006/relationships/hyperlink" Target="https://4ammedia.zendesk.com/agent/tickets/278403" TargetMode="External"/><Relationship Id="rId478" Type="http://schemas.openxmlformats.org/officeDocument/2006/relationships/hyperlink" Target="https://4ammedia.zendesk.com/agent/tickets/429563" TargetMode="External"/><Relationship Id="rId119" Type="http://schemas.openxmlformats.org/officeDocument/2006/relationships/hyperlink" Target="https://horizondirect.gorgias.com/app/ticket/385944377" TargetMode="External"/><Relationship Id="rId110" Type="http://schemas.openxmlformats.org/officeDocument/2006/relationships/hyperlink" Target="https://horizondirect.gorgias.com/app/ticket/385338498" TargetMode="External"/><Relationship Id="rId231" Type="http://schemas.openxmlformats.org/officeDocument/2006/relationships/hyperlink" Target="https://4ammedia.zendesk.com/agent/tickets/164474" TargetMode="External"/><Relationship Id="rId352" Type="http://schemas.openxmlformats.org/officeDocument/2006/relationships/hyperlink" Target="https://4ammedia.zendesk.com/agent/tickets/276284" TargetMode="External"/><Relationship Id="rId473" Type="http://schemas.openxmlformats.org/officeDocument/2006/relationships/hyperlink" Target="https://4ammedia.zendesk.com/agent/tickets/423017" TargetMode="External"/><Relationship Id="rId230" Type="http://schemas.openxmlformats.org/officeDocument/2006/relationships/hyperlink" Target="https://4ammedia.zendesk.com/agent/tickets/164334" TargetMode="External"/><Relationship Id="rId351" Type="http://schemas.openxmlformats.org/officeDocument/2006/relationships/hyperlink" Target="https://4ammedia.zendesk.com/agent/tickets/274684" TargetMode="External"/><Relationship Id="rId472" Type="http://schemas.openxmlformats.org/officeDocument/2006/relationships/hyperlink" Target="https://4ammedia.zendesk.com/agent/tickets/422703" TargetMode="External"/><Relationship Id="rId350" Type="http://schemas.openxmlformats.org/officeDocument/2006/relationships/hyperlink" Target="https://4ammedia.zendesk.com/agent/tickets/274617" TargetMode="External"/><Relationship Id="rId471" Type="http://schemas.openxmlformats.org/officeDocument/2006/relationships/hyperlink" Target="https://4ammedia.zendesk.com/agent/tickets/412855" TargetMode="External"/><Relationship Id="rId470" Type="http://schemas.openxmlformats.org/officeDocument/2006/relationships/hyperlink" Target="https://4ammedia.zendesk.com/agent/tickets/412653" TargetMode="External"/><Relationship Id="rId114" Type="http://schemas.openxmlformats.org/officeDocument/2006/relationships/hyperlink" Target="https://horizondirect.gorgias.com/app/ticket/385481664" TargetMode="External"/><Relationship Id="rId235" Type="http://schemas.openxmlformats.org/officeDocument/2006/relationships/hyperlink" Target="https://4ammedia.zendesk.com/agent/tickets/167101" TargetMode="External"/><Relationship Id="rId356" Type="http://schemas.openxmlformats.org/officeDocument/2006/relationships/hyperlink" Target="https://4ammedia.zendesk.com/agent/tickets/278380" TargetMode="External"/><Relationship Id="rId477" Type="http://schemas.openxmlformats.org/officeDocument/2006/relationships/hyperlink" Target="https://4ammedia.zendesk.com/agent/tickets/426824" TargetMode="External"/><Relationship Id="rId113" Type="http://schemas.openxmlformats.org/officeDocument/2006/relationships/hyperlink" Target="https://horizondirect.gorgias.com/app/ticket/385476457" TargetMode="External"/><Relationship Id="rId234" Type="http://schemas.openxmlformats.org/officeDocument/2006/relationships/hyperlink" Target="https://4ammedia.zendesk.com/agent/tickets/165873" TargetMode="External"/><Relationship Id="rId355" Type="http://schemas.openxmlformats.org/officeDocument/2006/relationships/hyperlink" Target="https://4ammedia.zendesk.com/agent/tickets/278260" TargetMode="External"/><Relationship Id="rId476" Type="http://schemas.openxmlformats.org/officeDocument/2006/relationships/hyperlink" Target="https://4ammedia.zendesk.com/agent/tickets/426636" TargetMode="External"/><Relationship Id="rId112" Type="http://schemas.openxmlformats.org/officeDocument/2006/relationships/hyperlink" Target="https://horizondirect.gorgias.com/app/ticket/385461727" TargetMode="External"/><Relationship Id="rId233" Type="http://schemas.openxmlformats.org/officeDocument/2006/relationships/hyperlink" Target="https://4ammedia.zendesk.com/agent/tickets/165802" TargetMode="External"/><Relationship Id="rId354" Type="http://schemas.openxmlformats.org/officeDocument/2006/relationships/hyperlink" Target="https://4ammedia.zendesk.com/agent/tickets/276644" TargetMode="External"/><Relationship Id="rId475" Type="http://schemas.openxmlformats.org/officeDocument/2006/relationships/hyperlink" Target="https://4ammedia.zendesk.com/agent/tickets/426214" TargetMode="External"/><Relationship Id="rId111" Type="http://schemas.openxmlformats.org/officeDocument/2006/relationships/hyperlink" Target="https://horizondirect.gorgias.com/app/ticket/385341670" TargetMode="External"/><Relationship Id="rId232" Type="http://schemas.openxmlformats.org/officeDocument/2006/relationships/hyperlink" Target="https://4ammedia.zendesk.com/agent/tickets/165632" TargetMode="External"/><Relationship Id="rId353" Type="http://schemas.openxmlformats.org/officeDocument/2006/relationships/hyperlink" Target="https://4ammedia.zendesk.com/agent/tickets/276415" TargetMode="External"/><Relationship Id="rId474" Type="http://schemas.openxmlformats.org/officeDocument/2006/relationships/hyperlink" Target="https://4ammedia.zendesk.com/agent/tickets/423347" TargetMode="External"/><Relationship Id="rId305" Type="http://schemas.openxmlformats.org/officeDocument/2006/relationships/hyperlink" Target="https://4ammedia.zendesk.com/agent/tickets/234047" TargetMode="External"/><Relationship Id="rId426" Type="http://schemas.openxmlformats.org/officeDocument/2006/relationships/hyperlink" Target="https://4ammedia.zendesk.com/agent/tickets/351370" TargetMode="External"/><Relationship Id="rId304" Type="http://schemas.openxmlformats.org/officeDocument/2006/relationships/hyperlink" Target="https://4ammedia.zendesk.com/agent/tickets/233958" TargetMode="External"/><Relationship Id="rId425" Type="http://schemas.openxmlformats.org/officeDocument/2006/relationships/hyperlink" Target="https://4ammedia.zendesk.com/agent/tickets/350966" TargetMode="External"/><Relationship Id="rId303" Type="http://schemas.openxmlformats.org/officeDocument/2006/relationships/hyperlink" Target="https://4ammedia.zendesk.com/agent/tickets/232629" TargetMode="External"/><Relationship Id="rId424" Type="http://schemas.openxmlformats.org/officeDocument/2006/relationships/hyperlink" Target="https://4ammedia.zendesk.com/agent/tickets/350624" TargetMode="External"/><Relationship Id="rId302" Type="http://schemas.openxmlformats.org/officeDocument/2006/relationships/hyperlink" Target="https://4ammedia.zendesk.com/agent/tickets/232568" TargetMode="External"/><Relationship Id="rId423" Type="http://schemas.openxmlformats.org/officeDocument/2006/relationships/hyperlink" Target="https://4ammedia.zendesk.com/agent/tickets/346795" TargetMode="External"/><Relationship Id="rId309" Type="http://schemas.openxmlformats.org/officeDocument/2006/relationships/hyperlink" Target="https://4ammedia.zendesk.com/agent/tickets/237281" TargetMode="External"/><Relationship Id="rId308" Type="http://schemas.openxmlformats.org/officeDocument/2006/relationships/hyperlink" Target="https://4ammedia.zendesk.com/agent/tickets/237064" TargetMode="External"/><Relationship Id="rId429" Type="http://schemas.openxmlformats.org/officeDocument/2006/relationships/hyperlink" Target="https://4ammedia.zendesk.com/agent/tickets/358529" TargetMode="External"/><Relationship Id="rId307" Type="http://schemas.openxmlformats.org/officeDocument/2006/relationships/hyperlink" Target="https://4ammedia.zendesk.com/agent/tickets/237005" TargetMode="External"/><Relationship Id="rId428" Type="http://schemas.openxmlformats.org/officeDocument/2006/relationships/hyperlink" Target="https://4ammedia.zendesk.com/agent/tickets/358299" TargetMode="External"/><Relationship Id="rId306" Type="http://schemas.openxmlformats.org/officeDocument/2006/relationships/hyperlink" Target="https://4ammedia.zendesk.com/agent/tickets/234008" TargetMode="External"/><Relationship Id="rId427" Type="http://schemas.openxmlformats.org/officeDocument/2006/relationships/hyperlink" Target="https://4ammedia.zendesk.com/agent/tickets/358018" TargetMode="External"/><Relationship Id="rId301" Type="http://schemas.openxmlformats.org/officeDocument/2006/relationships/hyperlink" Target="https://4ammedia.zendesk.com/agent/tickets/232412" TargetMode="External"/><Relationship Id="rId422" Type="http://schemas.openxmlformats.org/officeDocument/2006/relationships/hyperlink" Target="https://4ammedia.zendesk.com/agent/tickets/346734" TargetMode="External"/><Relationship Id="rId300" Type="http://schemas.openxmlformats.org/officeDocument/2006/relationships/hyperlink" Target="https://4ammedia.zendesk.com/agent/tickets/230606" TargetMode="External"/><Relationship Id="rId421" Type="http://schemas.openxmlformats.org/officeDocument/2006/relationships/hyperlink" Target="https://4ammedia.zendesk.com/agent/tickets/346516" TargetMode="External"/><Relationship Id="rId420" Type="http://schemas.openxmlformats.org/officeDocument/2006/relationships/hyperlink" Target="https://4ammedia.zendesk.com/agent/tickets/344475" TargetMode="External"/><Relationship Id="rId415" Type="http://schemas.openxmlformats.org/officeDocument/2006/relationships/hyperlink" Target="https://4ammedia.zendesk.com/agent/tickets/340506" TargetMode="External"/><Relationship Id="rId414" Type="http://schemas.openxmlformats.org/officeDocument/2006/relationships/hyperlink" Target="https://4ammedia.zendesk.com/agent/tickets/331703" TargetMode="External"/><Relationship Id="rId413" Type="http://schemas.openxmlformats.org/officeDocument/2006/relationships/hyperlink" Target="https://4ammedia.zendesk.com/agent/tickets/331590" TargetMode="External"/><Relationship Id="rId412" Type="http://schemas.openxmlformats.org/officeDocument/2006/relationships/hyperlink" Target="https://4ammedia.zendesk.com/agent/tickets/331530" TargetMode="External"/><Relationship Id="rId419" Type="http://schemas.openxmlformats.org/officeDocument/2006/relationships/hyperlink" Target="https://4ammedia.zendesk.com/agent/tickets/344432" TargetMode="External"/><Relationship Id="rId418" Type="http://schemas.openxmlformats.org/officeDocument/2006/relationships/hyperlink" Target="https://4ammedia.zendesk.com/agent/tickets/343972" TargetMode="External"/><Relationship Id="rId417" Type="http://schemas.openxmlformats.org/officeDocument/2006/relationships/hyperlink" Target="https://4ammedia.zendesk.com/agent/tickets/340814" TargetMode="External"/><Relationship Id="rId416" Type="http://schemas.openxmlformats.org/officeDocument/2006/relationships/hyperlink" Target="https://4ammedia.zendesk.com/agent/tickets/340657" TargetMode="External"/><Relationship Id="rId411" Type="http://schemas.openxmlformats.org/officeDocument/2006/relationships/hyperlink" Target="https://4ammedia.zendesk.com/agent/tickets/329678" TargetMode="External"/><Relationship Id="rId410" Type="http://schemas.openxmlformats.org/officeDocument/2006/relationships/hyperlink" Target="https://4ammedia.zendesk.com/agent/tickets/329611" TargetMode="External"/><Relationship Id="rId206" Type="http://schemas.openxmlformats.org/officeDocument/2006/relationships/hyperlink" Target="https://4ammedia.zendesk.com/agent/tickets/147667" TargetMode="External"/><Relationship Id="rId327" Type="http://schemas.openxmlformats.org/officeDocument/2006/relationships/hyperlink" Target="https://4ammedia.zendesk.com/agent/tickets/256576" TargetMode="External"/><Relationship Id="rId448" Type="http://schemas.openxmlformats.org/officeDocument/2006/relationships/hyperlink" Target="https://4ammedia.zendesk.com/agent/tickets/384699" TargetMode="External"/><Relationship Id="rId205" Type="http://schemas.openxmlformats.org/officeDocument/2006/relationships/hyperlink" Target="http://4ammedia.zendesk.com/agent/tickets/147504" TargetMode="External"/><Relationship Id="rId326" Type="http://schemas.openxmlformats.org/officeDocument/2006/relationships/hyperlink" Target="https://4ammedia.zendesk.com/agent/tickets/256417" TargetMode="External"/><Relationship Id="rId447" Type="http://schemas.openxmlformats.org/officeDocument/2006/relationships/hyperlink" Target="https://4ammedia.zendesk.com/agent/tickets/382350" TargetMode="External"/><Relationship Id="rId204" Type="http://schemas.openxmlformats.org/officeDocument/2006/relationships/hyperlink" Target="https://4ammedia.zendesk.com/agent/tickets/146522" TargetMode="External"/><Relationship Id="rId325" Type="http://schemas.openxmlformats.org/officeDocument/2006/relationships/hyperlink" Target="https://4ammedia.zendesk.com/agent/tickets/256317" TargetMode="External"/><Relationship Id="rId446" Type="http://schemas.openxmlformats.org/officeDocument/2006/relationships/hyperlink" Target="https://4ammedia.zendesk.com/agent/tickets/382216" TargetMode="External"/><Relationship Id="rId203" Type="http://schemas.openxmlformats.org/officeDocument/2006/relationships/hyperlink" Target="https://4ammedia.zendesk.com/agent/tickets/146420" TargetMode="External"/><Relationship Id="rId324" Type="http://schemas.openxmlformats.org/officeDocument/2006/relationships/hyperlink" Target="https://4ammedia.zendesk.com/agent/tickets/250321" TargetMode="External"/><Relationship Id="rId445" Type="http://schemas.openxmlformats.org/officeDocument/2006/relationships/hyperlink" Target="https://4ammedia.zendesk.com/agent/tickets/382167" TargetMode="External"/><Relationship Id="rId209" Type="http://schemas.openxmlformats.org/officeDocument/2006/relationships/hyperlink" Target="https://4ammedia.zendesk.com/agent/tickets/150997" TargetMode="External"/><Relationship Id="rId208" Type="http://schemas.openxmlformats.org/officeDocument/2006/relationships/hyperlink" Target="https://4ammedia.zendesk.com/agent/tickets/150861" TargetMode="External"/><Relationship Id="rId329" Type="http://schemas.openxmlformats.org/officeDocument/2006/relationships/hyperlink" Target="https://4ammedia.zendesk.com/agent/tickets/257899" TargetMode="External"/><Relationship Id="rId207" Type="http://schemas.openxmlformats.org/officeDocument/2006/relationships/hyperlink" Target="https://4ammedia.zendesk.com/agent/tickets/147798" TargetMode="External"/><Relationship Id="rId328" Type="http://schemas.openxmlformats.org/officeDocument/2006/relationships/hyperlink" Target="https://4ammedia.zendesk.com/agent/tickets/257853" TargetMode="External"/><Relationship Id="rId449" Type="http://schemas.openxmlformats.org/officeDocument/2006/relationships/hyperlink" Target="https://4ammedia.zendesk.com/agent/tickets/384877" TargetMode="External"/><Relationship Id="rId440" Type="http://schemas.openxmlformats.org/officeDocument/2006/relationships/hyperlink" Target="https://4ammedia.zendesk.com/agent/tickets/369865" TargetMode="External"/><Relationship Id="rId202" Type="http://schemas.openxmlformats.org/officeDocument/2006/relationships/hyperlink" Target="https://4ammedia.zendesk.com/agent/tickets/146395" TargetMode="External"/><Relationship Id="rId323" Type="http://schemas.openxmlformats.org/officeDocument/2006/relationships/hyperlink" Target="https://4ammedia.zendesk.com/agent/tickets/250118" TargetMode="External"/><Relationship Id="rId444" Type="http://schemas.openxmlformats.org/officeDocument/2006/relationships/hyperlink" Target="https://4ammedia.zendesk.com/agent/tickets/379704" TargetMode="External"/><Relationship Id="rId201" Type="http://schemas.openxmlformats.org/officeDocument/2006/relationships/hyperlink" Target="https://4ammedia.zendesk.com/agent/tickets/145310" TargetMode="External"/><Relationship Id="rId322" Type="http://schemas.openxmlformats.org/officeDocument/2006/relationships/hyperlink" Target="https://4ammedia.zendesk.com/agent/tickets/249935" TargetMode="External"/><Relationship Id="rId443" Type="http://schemas.openxmlformats.org/officeDocument/2006/relationships/hyperlink" Target="https://4ammedia.zendesk.com/agent/tickets/379623" TargetMode="External"/><Relationship Id="rId200" Type="http://schemas.openxmlformats.org/officeDocument/2006/relationships/hyperlink" Target="https://4ammedia.zendesk.com/agent/tickets/145228" TargetMode="External"/><Relationship Id="rId321" Type="http://schemas.openxmlformats.org/officeDocument/2006/relationships/hyperlink" Target="https://4ammedia.zendesk.com/agent/tickets/248435" TargetMode="External"/><Relationship Id="rId442" Type="http://schemas.openxmlformats.org/officeDocument/2006/relationships/hyperlink" Target="https://4ammedia.zendesk.com/agent/tickets/379408" TargetMode="External"/><Relationship Id="rId320" Type="http://schemas.openxmlformats.org/officeDocument/2006/relationships/hyperlink" Target="https://4ammedia.zendesk.com/agent/tickets/248422" TargetMode="External"/><Relationship Id="rId441" Type="http://schemas.openxmlformats.org/officeDocument/2006/relationships/hyperlink" Target="https://4ammedia.zendesk.com/agent/tickets/370101" TargetMode="External"/><Relationship Id="rId316" Type="http://schemas.openxmlformats.org/officeDocument/2006/relationships/hyperlink" Target="https://4ammedia.zendesk.com/agent/tickets/246811" TargetMode="External"/><Relationship Id="rId437" Type="http://schemas.openxmlformats.org/officeDocument/2006/relationships/hyperlink" Target="https://4ammedia.zendesk.com/agent/tickets/366646" TargetMode="External"/><Relationship Id="rId315" Type="http://schemas.openxmlformats.org/officeDocument/2006/relationships/hyperlink" Target="https://4ammedia.zendesk.com/agent/tickets/245728" TargetMode="External"/><Relationship Id="rId436" Type="http://schemas.openxmlformats.org/officeDocument/2006/relationships/hyperlink" Target="https://4ammedia.zendesk.com/agent/tickets/366378" TargetMode="External"/><Relationship Id="rId314" Type="http://schemas.openxmlformats.org/officeDocument/2006/relationships/hyperlink" Target="https://4ammedia.zendesk.com/agent/tickets/245630" TargetMode="External"/><Relationship Id="rId435" Type="http://schemas.openxmlformats.org/officeDocument/2006/relationships/hyperlink" Target="https://4ammedia.zendesk.com/agent/tickets/363961" TargetMode="External"/><Relationship Id="rId313" Type="http://schemas.openxmlformats.org/officeDocument/2006/relationships/hyperlink" Target="https://4ammedia.zendesk.com/agent/tickets/245482" TargetMode="External"/><Relationship Id="rId434" Type="http://schemas.openxmlformats.org/officeDocument/2006/relationships/hyperlink" Target="https://4ammedia.zendesk.com/agent/tickets/363901" TargetMode="External"/><Relationship Id="rId319" Type="http://schemas.openxmlformats.org/officeDocument/2006/relationships/hyperlink" Target="https://4ammedia.zendesk.com/agent/tickets/248385" TargetMode="External"/><Relationship Id="rId318" Type="http://schemas.openxmlformats.org/officeDocument/2006/relationships/hyperlink" Target="https://4ammedia.zendesk.com/agent/tickets/246996" TargetMode="External"/><Relationship Id="rId439" Type="http://schemas.openxmlformats.org/officeDocument/2006/relationships/hyperlink" Target="https://4ammedia.zendesk.com/agent/tickets/369637" TargetMode="External"/><Relationship Id="rId317" Type="http://schemas.openxmlformats.org/officeDocument/2006/relationships/hyperlink" Target="https://4ammedia.zendesk.com/agent/tickets/246900" TargetMode="External"/><Relationship Id="rId438" Type="http://schemas.openxmlformats.org/officeDocument/2006/relationships/hyperlink" Target="https://4ammedia.zendesk.com/agent/tickets/366664" TargetMode="External"/><Relationship Id="rId312" Type="http://schemas.openxmlformats.org/officeDocument/2006/relationships/hyperlink" Target="https://4ammedia.zendesk.com/agent/tickets/243597" TargetMode="External"/><Relationship Id="rId433" Type="http://schemas.openxmlformats.org/officeDocument/2006/relationships/hyperlink" Target="https://4ammedia.zendesk.com/agent/tickets/363752" TargetMode="External"/><Relationship Id="rId311" Type="http://schemas.openxmlformats.org/officeDocument/2006/relationships/hyperlink" Target="https://4ammedia.zendesk.com/agent/tickets/243530" TargetMode="External"/><Relationship Id="rId432" Type="http://schemas.openxmlformats.org/officeDocument/2006/relationships/hyperlink" Target="https://4ammedia.zendesk.com/agent/tickets/361867" TargetMode="External"/><Relationship Id="rId310" Type="http://schemas.openxmlformats.org/officeDocument/2006/relationships/hyperlink" Target="https://4ammedia.zendesk.com/agent/tickets/243375" TargetMode="External"/><Relationship Id="rId431" Type="http://schemas.openxmlformats.org/officeDocument/2006/relationships/hyperlink" Target="https://4ammedia.zendesk.com/agent/tickets/361581" TargetMode="External"/><Relationship Id="rId430" Type="http://schemas.openxmlformats.org/officeDocument/2006/relationships/hyperlink" Target="https://4ammedia.zendesk.com/agent/tickets/361359"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5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8.25"/>
    <col customWidth="1" min="2" max="2" width="21.75"/>
    <col customWidth="1" min="3" max="3" width="15.0"/>
  </cols>
  <sheetData>
    <row r="1">
      <c r="A1" s="1" t="s">
        <v>0</v>
      </c>
      <c r="B1" s="2"/>
      <c r="C1" s="3"/>
    </row>
    <row r="2">
      <c r="A2" s="4" t="s">
        <v>1</v>
      </c>
      <c r="B2" s="4" t="s">
        <v>2</v>
      </c>
      <c r="C2" s="4" t="s">
        <v>3</v>
      </c>
    </row>
    <row r="3">
      <c r="A3" s="5" t="s">
        <v>4</v>
      </c>
      <c r="B3" s="6" t="s">
        <v>5</v>
      </c>
      <c r="C3" s="7" t="s">
        <v>6</v>
      </c>
    </row>
    <row r="4">
      <c r="A4" s="5" t="s">
        <v>7</v>
      </c>
      <c r="B4" s="6" t="s">
        <v>8</v>
      </c>
      <c r="C4" s="7" t="s">
        <v>9</v>
      </c>
    </row>
    <row r="5">
      <c r="A5" s="8" t="s">
        <v>10</v>
      </c>
      <c r="B5" s="6" t="s">
        <v>11</v>
      </c>
      <c r="C5" s="7" t="s">
        <v>12</v>
      </c>
    </row>
    <row r="6">
      <c r="A6" s="5" t="s">
        <v>13</v>
      </c>
      <c r="B6" s="6" t="s">
        <v>14</v>
      </c>
      <c r="C6" s="7" t="s">
        <v>15</v>
      </c>
    </row>
    <row r="7">
      <c r="A7" s="8" t="s">
        <v>16</v>
      </c>
      <c r="B7" s="9" t="s">
        <v>17</v>
      </c>
      <c r="C7" s="7" t="s">
        <v>18</v>
      </c>
    </row>
    <row r="8">
      <c r="A8" s="10" t="s">
        <v>19</v>
      </c>
      <c r="B8" s="9" t="s">
        <v>20</v>
      </c>
      <c r="C8" s="7" t="s">
        <v>21</v>
      </c>
    </row>
    <row r="9">
      <c r="A9" s="5" t="s">
        <v>22</v>
      </c>
      <c r="B9" s="9" t="s">
        <v>23</v>
      </c>
      <c r="C9" s="7" t="s">
        <v>24</v>
      </c>
    </row>
    <row r="10">
      <c r="A10" s="5" t="s">
        <v>25</v>
      </c>
      <c r="B10" s="9" t="s">
        <v>26</v>
      </c>
      <c r="C10" s="7" t="s">
        <v>27</v>
      </c>
    </row>
    <row r="11">
      <c r="A11" s="11"/>
      <c r="B11" s="7"/>
      <c r="C11" s="7"/>
    </row>
  </sheetData>
  <mergeCells count="1">
    <mergeCell ref="A1:C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25.0"/>
    <col customWidth="1" min="2" max="2" width="32.63"/>
    <col customWidth="1" min="3" max="3" width="15.0"/>
    <col customWidth="1" min="4" max="4" width="17.63"/>
    <col customWidth="1" hidden="1" min="5" max="10" width="17.63"/>
  </cols>
  <sheetData>
    <row r="1">
      <c r="A1" s="20" t="s">
        <v>1</v>
      </c>
      <c r="B1" s="20" t="s">
        <v>2</v>
      </c>
      <c r="C1" s="20" t="s">
        <v>33</v>
      </c>
      <c r="D1" s="20" t="s">
        <v>34</v>
      </c>
      <c r="E1" s="24" t="s">
        <v>35</v>
      </c>
      <c r="F1" s="24" t="s">
        <v>38</v>
      </c>
      <c r="G1" s="24" t="s">
        <v>39</v>
      </c>
      <c r="H1" s="24" t="s">
        <v>40</v>
      </c>
      <c r="I1" s="24" t="s">
        <v>41</v>
      </c>
      <c r="J1" s="24" t="s">
        <v>42</v>
      </c>
    </row>
    <row r="2">
      <c r="A2" s="29" t="s">
        <v>43</v>
      </c>
      <c r="B2" s="31" t="s">
        <v>44</v>
      </c>
      <c r="C2" s="33">
        <v>9.082352381E9</v>
      </c>
      <c r="D2" s="35">
        <v>36790.0</v>
      </c>
      <c r="E2" s="37" t="s">
        <v>46</v>
      </c>
      <c r="F2" s="33" t="s">
        <v>47</v>
      </c>
      <c r="G2" s="33" t="s">
        <v>48</v>
      </c>
      <c r="H2" s="33" t="s">
        <v>50</v>
      </c>
      <c r="I2" s="33">
        <v>4123.0</v>
      </c>
      <c r="J2" s="33" t="s">
        <v>51</v>
      </c>
    </row>
    <row r="3">
      <c r="A3" s="39" t="s">
        <v>25</v>
      </c>
      <c r="B3" s="41" t="s">
        <v>52</v>
      </c>
      <c r="C3" s="43">
        <v>6.39665294367E11</v>
      </c>
      <c r="D3" s="46">
        <v>34108.0</v>
      </c>
      <c r="E3" s="48"/>
      <c r="F3" s="46"/>
      <c r="G3" s="46"/>
      <c r="H3" s="46"/>
      <c r="I3" s="46"/>
      <c r="J3" s="46"/>
    </row>
    <row r="4">
      <c r="A4" s="39" t="s">
        <v>54</v>
      </c>
      <c r="B4" s="41" t="s">
        <v>55</v>
      </c>
      <c r="C4" s="43">
        <v>9.811265923E9</v>
      </c>
      <c r="D4" s="46">
        <v>36816.0</v>
      </c>
      <c r="E4" s="48"/>
      <c r="F4" s="46"/>
      <c r="G4" s="46"/>
      <c r="H4" s="46"/>
      <c r="I4" s="46"/>
      <c r="J4" s="46"/>
    </row>
    <row r="5">
      <c r="A5" s="39" t="s">
        <v>19</v>
      </c>
      <c r="B5" s="41" t="s">
        <v>56</v>
      </c>
      <c r="C5" s="43">
        <v>9.190726863E9</v>
      </c>
      <c r="D5" s="46">
        <v>31947.0</v>
      </c>
      <c r="E5" s="48"/>
      <c r="F5" s="46"/>
      <c r="G5" s="46"/>
      <c r="H5" s="46"/>
      <c r="I5" s="46"/>
      <c r="J5" s="46"/>
    </row>
    <row r="6">
      <c r="A6" s="39" t="s">
        <v>30</v>
      </c>
      <c r="B6" s="41" t="s">
        <v>58</v>
      </c>
      <c r="C6" s="43">
        <v>9.776239411E9</v>
      </c>
      <c r="D6" s="46">
        <v>35924.0</v>
      </c>
      <c r="E6" s="48"/>
      <c r="F6" s="46"/>
      <c r="G6" s="46"/>
      <c r="H6" s="46"/>
      <c r="I6" s="46"/>
      <c r="J6" s="46"/>
    </row>
    <row r="7">
      <c r="A7" s="55" t="s">
        <v>22</v>
      </c>
      <c r="B7" s="41" t="s">
        <v>59</v>
      </c>
      <c r="C7" s="43">
        <v>9.050312839E9</v>
      </c>
      <c r="D7" s="46">
        <v>36453.0</v>
      </c>
      <c r="E7" s="48"/>
      <c r="F7" s="46"/>
      <c r="G7" s="46"/>
      <c r="H7" s="46"/>
      <c r="I7" s="46"/>
      <c r="J7" s="46"/>
    </row>
    <row r="8">
      <c r="A8" s="56" t="s">
        <v>60</v>
      </c>
      <c r="B8" s="31" t="s">
        <v>61</v>
      </c>
      <c r="C8" s="33">
        <v>9.23300598E9</v>
      </c>
      <c r="D8" s="35">
        <v>36668.0</v>
      </c>
      <c r="E8" s="37"/>
      <c r="F8" s="35"/>
      <c r="G8" s="35"/>
      <c r="H8" s="35"/>
      <c r="I8" s="35"/>
      <c r="J8" s="35"/>
    </row>
    <row r="9">
      <c r="A9" s="55" t="s">
        <v>13</v>
      </c>
      <c r="B9" s="41" t="s">
        <v>62</v>
      </c>
      <c r="C9" s="43">
        <v>9.754168344E9</v>
      </c>
      <c r="D9" s="46">
        <v>35305.0</v>
      </c>
      <c r="E9" s="48"/>
      <c r="F9" s="46"/>
      <c r="G9" s="46"/>
      <c r="H9" s="46"/>
      <c r="I9" s="46"/>
      <c r="J9" s="46"/>
    </row>
    <row r="10">
      <c r="A10" s="59" t="s">
        <v>64</v>
      </c>
      <c r="B10" s="31" t="s">
        <v>65</v>
      </c>
      <c r="C10" s="33">
        <v>9.630166253E9</v>
      </c>
      <c r="D10" s="35">
        <v>34352.0</v>
      </c>
      <c r="E10" s="37"/>
      <c r="F10" s="35"/>
      <c r="G10" s="35"/>
      <c r="H10" s="35"/>
      <c r="I10" s="35"/>
      <c r="J10" s="35"/>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18.75"/>
    <col customWidth="1" min="6" max="6" width="14.5"/>
  </cols>
  <sheetData>
    <row r="1" collapsed="1">
      <c r="A1" s="190">
        <v>46054.0</v>
      </c>
    </row>
    <row r="2" hidden="1" outlineLevel="1" collapsed="1">
      <c r="A2" s="192" t="s">
        <v>185</v>
      </c>
    </row>
    <row r="3" hidden="1" outlineLevel="2">
      <c r="A3" s="195" t="s">
        <v>186</v>
      </c>
    </row>
    <row r="4" hidden="1" outlineLevel="2">
      <c r="A4" s="196" t="s">
        <v>187</v>
      </c>
      <c r="B4" s="197" t="s">
        <v>77</v>
      </c>
      <c r="C4" s="197" t="s">
        <v>189</v>
      </c>
      <c r="D4" s="198">
        <v>46055.0</v>
      </c>
      <c r="E4" s="198">
        <v>46056.0</v>
      </c>
      <c r="F4" s="198">
        <v>46057.0</v>
      </c>
      <c r="G4" s="198">
        <v>46058.0</v>
      </c>
      <c r="H4" s="198">
        <v>46059.0</v>
      </c>
      <c r="I4" s="198">
        <v>46060.0</v>
      </c>
      <c r="J4" s="198">
        <v>46061.0</v>
      </c>
      <c r="K4" s="199" t="s">
        <v>190</v>
      </c>
      <c r="L4" s="201" t="s">
        <v>191</v>
      </c>
    </row>
    <row r="5" hidden="1" outlineLevel="2">
      <c r="A5" s="202"/>
      <c r="B5" s="203"/>
      <c r="C5" s="203"/>
      <c r="D5" s="205" t="s">
        <v>192</v>
      </c>
      <c r="E5" s="205" t="str">
        <f t="shared" ref="E5:J5" si="1">text(E4,"ddd")</f>
        <v>Tue</v>
      </c>
      <c r="F5" s="205" t="str">
        <f t="shared" si="1"/>
        <v>Wed</v>
      </c>
      <c r="G5" s="205" t="str">
        <f t="shared" si="1"/>
        <v>Thu</v>
      </c>
      <c r="H5" s="205" t="str">
        <f t="shared" si="1"/>
        <v>Fri</v>
      </c>
      <c r="I5" s="205" t="str">
        <f t="shared" si="1"/>
        <v>Sat</v>
      </c>
      <c r="J5" s="205" t="str">
        <f t="shared" si="1"/>
        <v>Sun</v>
      </c>
      <c r="K5" s="206"/>
      <c r="L5" s="203"/>
    </row>
    <row r="6" hidden="1" outlineLevel="2">
      <c r="A6" s="207" t="s">
        <v>194</v>
      </c>
      <c r="B6" s="209">
        <f>30+30+15+20+5+25</f>
        <v>125</v>
      </c>
      <c r="C6" s="209">
        <f t="shared" ref="C6:C12" si="2">SUM(D6:J6)</f>
        <v>126</v>
      </c>
      <c r="D6" s="211">
        <v>33.0</v>
      </c>
      <c r="E6" s="211">
        <v>30.0</v>
      </c>
      <c r="F6" s="211">
        <v>16.0</v>
      </c>
      <c r="G6" s="211">
        <v>18.0</v>
      </c>
      <c r="H6" s="212">
        <v>5.0</v>
      </c>
      <c r="I6" s="213" t="s">
        <v>92</v>
      </c>
      <c r="J6" s="212">
        <v>24.0</v>
      </c>
      <c r="K6" s="214">
        <f t="shared" ref="K6:K12" si="3">iferror(C6/B6,"-")</f>
        <v>1.008</v>
      </c>
      <c r="L6" s="219">
        <f t="shared" ref="L6:L12" si="4">(IF(K6="",(0),IF(K6&gt;=1,(5),IF(K6&gt;=0.9,(4),IF(K6&gt;=0.8,(3),IF(K6&gt;=0.69,(2),IF(K6&lt;=0.69,(1))))))))</f>
        <v>5</v>
      </c>
    </row>
    <row r="7" hidden="1" outlineLevel="2">
      <c r="A7" s="220" t="s">
        <v>118</v>
      </c>
      <c r="B7" s="221">
        <f>30+30+25+25+30+20</f>
        <v>160</v>
      </c>
      <c r="C7" s="221">
        <f t="shared" si="2"/>
        <v>155</v>
      </c>
      <c r="D7" s="212">
        <v>31.0</v>
      </c>
      <c r="E7" s="211">
        <v>27.0</v>
      </c>
      <c r="F7" s="212">
        <v>24.0</v>
      </c>
      <c r="G7" s="211">
        <v>23.0</v>
      </c>
      <c r="H7" s="212">
        <v>32.0</v>
      </c>
      <c r="I7" s="213" t="s">
        <v>92</v>
      </c>
      <c r="J7" s="212">
        <v>18.0</v>
      </c>
      <c r="K7" s="214">
        <f t="shared" si="3"/>
        <v>0.96875</v>
      </c>
      <c r="L7" s="219">
        <f t="shared" si="4"/>
        <v>4</v>
      </c>
    </row>
    <row r="8" hidden="1" outlineLevel="2">
      <c r="A8" s="207" t="s">
        <v>19</v>
      </c>
      <c r="B8" s="209">
        <f>35+30+35+40+35</f>
        <v>175</v>
      </c>
      <c r="C8" s="209">
        <f t="shared" si="2"/>
        <v>180</v>
      </c>
      <c r="D8" s="211">
        <v>36.0</v>
      </c>
      <c r="E8" s="213" t="s">
        <v>92</v>
      </c>
      <c r="F8" s="212">
        <v>30.0</v>
      </c>
      <c r="G8" s="211">
        <v>42.0</v>
      </c>
      <c r="H8" s="212">
        <v>39.0</v>
      </c>
      <c r="I8" s="212">
        <v>33.0</v>
      </c>
      <c r="J8" s="213" t="s">
        <v>92</v>
      </c>
      <c r="K8" s="214">
        <f t="shared" si="3"/>
        <v>1.028571429</v>
      </c>
      <c r="L8" s="219">
        <f t="shared" si="4"/>
        <v>5</v>
      </c>
    </row>
    <row r="9" hidden="1" outlineLevel="2">
      <c r="A9" s="220" t="s">
        <v>120</v>
      </c>
      <c r="B9" s="221">
        <f>35+35+25+25+30+10</f>
        <v>160</v>
      </c>
      <c r="C9" s="221">
        <f t="shared" si="2"/>
        <v>178</v>
      </c>
      <c r="D9" s="211">
        <v>42.0</v>
      </c>
      <c r="E9" s="211">
        <v>35.0</v>
      </c>
      <c r="F9" s="211">
        <v>26.0</v>
      </c>
      <c r="G9" s="211">
        <v>37.0</v>
      </c>
      <c r="H9" s="212">
        <v>30.0</v>
      </c>
      <c r="I9" s="212">
        <v>8.0</v>
      </c>
      <c r="J9" s="213" t="s">
        <v>92</v>
      </c>
      <c r="K9" s="214">
        <f t="shared" si="3"/>
        <v>1.1125</v>
      </c>
      <c r="L9" s="219">
        <f t="shared" si="4"/>
        <v>5</v>
      </c>
    </row>
    <row r="10" hidden="1" outlineLevel="2">
      <c r="A10" s="222" t="s">
        <v>22</v>
      </c>
      <c r="B10" s="209">
        <f>30+25+30</f>
        <v>85</v>
      </c>
      <c r="C10" s="221">
        <f t="shared" si="2"/>
        <v>85</v>
      </c>
      <c r="D10" s="211">
        <v>32.0</v>
      </c>
      <c r="E10" s="211">
        <v>26.0</v>
      </c>
      <c r="F10" s="212">
        <v>27.0</v>
      </c>
      <c r="G10" s="213" t="s">
        <v>92</v>
      </c>
      <c r="H10" s="213" t="s">
        <v>92</v>
      </c>
      <c r="I10" s="212" t="s">
        <v>197</v>
      </c>
      <c r="J10" s="212" t="s">
        <v>197</v>
      </c>
      <c r="K10" s="214">
        <f t="shared" si="3"/>
        <v>1</v>
      </c>
      <c r="L10" s="219">
        <f t="shared" si="4"/>
        <v>5</v>
      </c>
    </row>
    <row r="11" hidden="1" outlineLevel="2">
      <c r="A11" s="223" t="s">
        <v>129</v>
      </c>
      <c r="B11" s="209">
        <f>30+30+25+25+40+25</f>
        <v>175</v>
      </c>
      <c r="C11" s="209">
        <f t="shared" si="2"/>
        <v>176</v>
      </c>
      <c r="D11" s="211">
        <v>29.0</v>
      </c>
      <c r="E11" s="211">
        <v>31.0</v>
      </c>
      <c r="F11" s="224">
        <v>20.0</v>
      </c>
      <c r="G11" s="211">
        <v>26.0</v>
      </c>
      <c r="H11" s="213" t="s">
        <v>92</v>
      </c>
      <c r="I11" s="212">
        <v>44.0</v>
      </c>
      <c r="J11" s="212">
        <v>26.0</v>
      </c>
      <c r="K11" s="214">
        <f t="shared" si="3"/>
        <v>1.005714286</v>
      </c>
      <c r="L11" s="219">
        <f t="shared" si="4"/>
        <v>5</v>
      </c>
    </row>
    <row r="12" hidden="1" outlineLevel="2">
      <c r="A12" s="223" t="s">
        <v>216</v>
      </c>
      <c r="B12" s="209">
        <f>20*6</f>
        <v>120</v>
      </c>
      <c r="C12" s="209">
        <f t="shared" si="2"/>
        <v>119</v>
      </c>
      <c r="D12" s="211">
        <v>21.0</v>
      </c>
      <c r="E12" s="211">
        <v>20.0</v>
      </c>
      <c r="F12" s="211">
        <v>17.0</v>
      </c>
      <c r="G12" s="224">
        <v>19.0</v>
      </c>
      <c r="H12" s="212">
        <v>22.0</v>
      </c>
      <c r="I12" s="212">
        <v>20.0</v>
      </c>
      <c r="J12" s="213" t="s">
        <v>92</v>
      </c>
      <c r="K12" s="214">
        <f t="shared" si="3"/>
        <v>0.9916666667</v>
      </c>
      <c r="L12" s="219">
        <f t="shared" si="4"/>
        <v>4</v>
      </c>
    </row>
    <row r="13" hidden="1" outlineLevel="2"/>
    <row r="14" hidden="1" outlineLevel="2">
      <c r="A14" s="195" t="s">
        <v>135</v>
      </c>
    </row>
    <row r="15" hidden="1" outlineLevel="2">
      <c r="A15" s="196" t="s">
        <v>187</v>
      </c>
      <c r="B15" s="225" t="s">
        <v>218</v>
      </c>
      <c r="C15" s="225" t="s">
        <v>219</v>
      </c>
      <c r="D15" s="225" t="s">
        <v>139</v>
      </c>
      <c r="E15" s="225" t="s">
        <v>140</v>
      </c>
      <c r="F15" s="225" t="s">
        <v>141</v>
      </c>
      <c r="G15" s="226" t="s">
        <v>143</v>
      </c>
      <c r="H15" s="226" t="s">
        <v>221</v>
      </c>
    </row>
    <row r="16" hidden="1" outlineLevel="2">
      <c r="A16" s="202"/>
      <c r="B16" s="203"/>
      <c r="C16" s="227"/>
      <c r="D16" s="227"/>
      <c r="E16" s="227"/>
      <c r="F16" s="227"/>
      <c r="G16" s="227"/>
      <c r="H16" s="227"/>
    </row>
    <row r="17" hidden="1" outlineLevel="2">
      <c r="A17" s="207" t="s">
        <v>194</v>
      </c>
      <c r="B17" s="228">
        <v>130.0</v>
      </c>
      <c r="C17" s="228">
        <v>126.0</v>
      </c>
      <c r="D17" s="229">
        <f t="shared" ref="D17:D24" si="5">B17-C17</f>
        <v>4</v>
      </c>
      <c r="E17" s="230">
        <f t="shared" ref="E17:E24" si="6">IFERROR(C17/B17,"")</f>
        <v>0.9692307692</v>
      </c>
      <c r="F17" s="232">
        <v>0.002361111111111111</v>
      </c>
      <c r="G17" s="240">
        <f t="shared" ref="G17:G24" si="7">IFERROR((IF(E17="",(0),IF(E17&gt;=0.98,(5),IF(E17&gt;=0.95,(4.5),IF(E17&gt;=0.9,(4),IF(E17&gt;=0.8,(3),IF(E17&lt;=0.69,(1)))))))),"")</f>
        <v>4.5</v>
      </c>
      <c r="H17" s="240">
        <f>ROUND(
IF(F17="",
0,
MAX(1, 5 - MAX(0, (F17 - TIME(0,4,0)) / TIME(0,1,0) * 0.5))
),
2
)
</f>
        <v>5</v>
      </c>
    </row>
    <row r="18" hidden="1" outlineLevel="2">
      <c r="A18" s="220" t="s">
        <v>118</v>
      </c>
      <c r="B18" s="251">
        <v>155.0</v>
      </c>
      <c r="C18" s="251">
        <v>154.0</v>
      </c>
      <c r="D18" s="229">
        <f t="shared" si="5"/>
        <v>1</v>
      </c>
      <c r="E18" s="254">
        <f t="shared" si="6"/>
        <v>0.9935483871</v>
      </c>
      <c r="F18" s="255">
        <v>0.003969907407407407</v>
      </c>
      <c r="G18" s="240">
        <f t="shared" si="7"/>
        <v>5</v>
      </c>
      <c r="H18" s="240">
        <f>ROUND(
IF(F18="",
0,
MAX(1, 5 - MAX(0, (F18 - TIME(0,6,0)) / TIME(0,1,0) * 0.5))
),
2
)
</f>
        <v>5</v>
      </c>
    </row>
    <row r="19" hidden="1" outlineLevel="2">
      <c r="A19" s="207" t="s">
        <v>19</v>
      </c>
      <c r="B19" s="251">
        <v>178.0</v>
      </c>
      <c r="C19" s="251">
        <v>174.0</v>
      </c>
      <c r="D19" s="229">
        <f t="shared" si="5"/>
        <v>4</v>
      </c>
      <c r="E19" s="254">
        <f t="shared" si="6"/>
        <v>0.9775280899</v>
      </c>
      <c r="F19" s="255">
        <v>0.0032175925925925926</v>
      </c>
      <c r="G19" s="240">
        <f t="shared" si="7"/>
        <v>4.5</v>
      </c>
      <c r="H19" s="240">
        <f>ROUND(
IF(F19="",
0,
MAX(1, 5 - MAX(0, (F19 - TIME(0,4,0)) / TIME(0,1,0) * 0.5))
),
2
)
</f>
        <v>4.68</v>
      </c>
    </row>
    <row r="20" hidden="1" outlineLevel="2">
      <c r="A20" s="220" t="s">
        <v>120</v>
      </c>
      <c r="B20" s="228">
        <v>183.0</v>
      </c>
      <c r="C20" s="228">
        <v>180.0</v>
      </c>
      <c r="D20" s="229">
        <f t="shared" si="5"/>
        <v>3</v>
      </c>
      <c r="E20" s="230">
        <f t="shared" si="6"/>
        <v>0.9836065574</v>
      </c>
      <c r="F20" s="232">
        <v>0.0031944444444444446</v>
      </c>
      <c r="G20" s="240">
        <f t="shared" si="7"/>
        <v>5</v>
      </c>
      <c r="H20" s="240">
        <f>ROUND(
IF(F20="",
0,
MAX(1, 5 - MAX(0, (F20 - TIME(0,6,0)) / TIME(0,1,0) * 0.5))
),
2
)
</f>
        <v>5</v>
      </c>
    </row>
    <row r="21" hidden="1" outlineLevel="2">
      <c r="A21" s="222" t="s">
        <v>22</v>
      </c>
      <c r="B21" s="228">
        <v>90.0</v>
      </c>
      <c r="C21" s="228">
        <v>89.0</v>
      </c>
      <c r="D21" s="229">
        <f t="shared" si="5"/>
        <v>1</v>
      </c>
      <c r="E21" s="230">
        <f t="shared" si="6"/>
        <v>0.9888888889</v>
      </c>
      <c r="F21" s="232">
        <v>0.0030787037037037037</v>
      </c>
      <c r="G21" s="240">
        <f t="shared" si="7"/>
        <v>5</v>
      </c>
      <c r="H21" s="240">
        <f>ROUND(
IF(F21="",
0,
MAX(1, 5 - MAX(0, (F21 - TIME(0,4,0)) / TIME(0,1,0) * 0.5))
),
2
)
</f>
        <v>4.78</v>
      </c>
    </row>
    <row r="22" hidden="1" outlineLevel="2">
      <c r="A22" s="223" t="s">
        <v>129</v>
      </c>
      <c r="B22" s="251">
        <v>172.0</v>
      </c>
      <c r="C22" s="251">
        <v>172.0</v>
      </c>
      <c r="D22" s="229">
        <f t="shared" si="5"/>
        <v>0</v>
      </c>
      <c r="E22" s="254">
        <f t="shared" si="6"/>
        <v>1</v>
      </c>
      <c r="F22" s="255">
        <v>0.0033333333333333335</v>
      </c>
      <c r="G22" s="240">
        <f t="shared" si="7"/>
        <v>5</v>
      </c>
      <c r="H22" s="240">
        <f>ROUND(
IF(F22="",
0,
MAX(1, 5 - MAX(0, (F22 - TIME(0,7,0)) / TIME(0,1,0) * 0.5))
),
2
)
</f>
        <v>5</v>
      </c>
    </row>
    <row r="23" hidden="1" outlineLevel="2">
      <c r="A23" s="223" t="s">
        <v>216</v>
      </c>
      <c r="B23" s="228">
        <v>119.0</v>
      </c>
      <c r="C23" s="228">
        <v>116.0</v>
      </c>
      <c r="D23" s="229">
        <f t="shared" si="5"/>
        <v>3</v>
      </c>
      <c r="E23" s="230">
        <f t="shared" si="6"/>
        <v>0.974789916</v>
      </c>
      <c r="F23" s="232">
        <v>0.0044907407407407405</v>
      </c>
      <c r="G23" s="240">
        <f t="shared" si="7"/>
        <v>4.5</v>
      </c>
      <c r="H23" s="240">
        <f t="shared" ref="H23:H24" si="8">ROUND(
IF(F23="",
0,
MAX(1, 5 - MAX(0, (F23 - TIME(0,8,0)) / TIME(0,1,0) * 0.5))
),
2
)
</f>
        <v>5</v>
      </c>
    </row>
    <row r="24" hidden="1" outlineLevel="2">
      <c r="A24" s="223" t="s">
        <v>238</v>
      </c>
      <c r="B24" s="228">
        <v>19.0</v>
      </c>
      <c r="C24" s="228">
        <v>19.0</v>
      </c>
      <c r="D24" s="229">
        <f t="shared" si="5"/>
        <v>0</v>
      </c>
      <c r="E24" s="230">
        <f t="shared" si="6"/>
        <v>1</v>
      </c>
      <c r="F24" s="232">
        <v>0.0015972222222222223</v>
      </c>
      <c r="G24" s="240">
        <f t="shared" si="7"/>
        <v>5</v>
      </c>
      <c r="H24" s="240">
        <f t="shared" si="8"/>
        <v>5</v>
      </c>
    </row>
    <row r="25" hidden="1" outlineLevel="2"/>
    <row r="26" hidden="1" outlineLevel="2">
      <c r="A26" s="195" t="s">
        <v>239</v>
      </c>
    </row>
    <row r="27" hidden="1" outlineLevel="2">
      <c r="A27" s="260" t="s">
        <v>240</v>
      </c>
      <c r="B27" s="262" t="s">
        <v>241</v>
      </c>
      <c r="C27" s="264" t="s">
        <v>242</v>
      </c>
      <c r="D27" s="264" t="s">
        <v>243</v>
      </c>
      <c r="E27" s="265" t="s">
        <v>244</v>
      </c>
      <c r="F27" s="267" t="s">
        <v>247</v>
      </c>
      <c r="G27" s="268"/>
    </row>
    <row r="28" hidden="1" outlineLevel="2">
      <c r="A28" s="269" t="s">
        <v>25</v>
      </c>
      <c r="B28" s="271" t="str">
        <f t="shared" ref="B28:B34" si="9">(C28*0.3)+(D28*0.1)</f>
        <v>#REF!</v>
      </c>
      <c r="C28" s="272">
        <v>1.0</v>
      </c>
      <c r="D28" s="272" t="str">
        <f t="shared" ref="D28:D33" si="10">#REF!</f>
        <v>#REF!</v>
      </c>
      <c r="E28" s="273">
        <f t="shared" ref="E28:E34" si="11">(L6+G17+H17)/15*0.3</f>
        <v>0.29</v>
      </c>
      <c r="F28" s="274">
        <f t="shared" ref="F28:F34" si="12">(E28/30%)*10</f>
        <v>9.666666667</v>
      </c>
      <c r="G28" s="268"/>
      <c r="H28" s="268"/>
      <c r="I28" s="268"/>
      <c r="J28" s="268"/>
    </row>
    <row r="29" hidden="1" outlineLevel="2">
      <c r="A29" s="275" t="s">
        <v>4</v>
      </c>
      <c r="B29" s="276" t="str">
        <f t="shared" si="9"/>
        <v>#REF!</v>
      </c>
      <c r="C29" s="272">
        <v>1.0</v>
      </c>
      <c r="D29" s="272" t="str">
        <f t="shared" si="10"/>
        <v>#REF!</v>
      </c>
      <c r="E29" s="277">
        <f t="shared" si="11"/>
        <v>0.28</v>
      </c>
      <c r="F29" s="274">
        <f t="shared" si="12"/>
        <v>9.333333333</v>
      </c>
      <c r="G29" s="268"/>
      <c r="H29" s="268"/>
      <c r="I29" s="268"/>
      <c r="J29" s="268"/>
    </row>
    <row r="30" hidden="1" outlineLevel="2">
      <c r="A30" s="278" t="s">
        <v>19</v>
      </c>
      <c r="B30" s="279" t="str">
        <f t="shared" si="9"/>
        <v>#REF!</v>
      </c>
      <c r="C30" s="272">
        <v>1.0</v>
      </c>
      <c r="D30" s="280" t="str">
        <f t="shared" si="10"/>
        <v>#REF!</v>
      </c>
      <c r="E30" s="281">
        <f t="shared" si="11"/>
        <v>0.2836</v>
      </c>
      <c r="F30" s="274">
        <f t="shared" si="12"/>
        <v>9.453333333</v>
      </c>
      <c r="G30" s="268"/>
      <c r="H30" s="268"/>
      <c r="I30" s="268"/>
      <c r="J30" s="268"/>
    </row>
    <row r="31" hidden="1" outlineLevel="2">
      <c r="A31" s="275" t="s">
        <v>30</v>
      </c>
      <c r="B31" s="276" t="str">
        <f t="shared" si="9"/>
        <v>#REF!</v>
      </c>
      <c r="C31" s="272">
        <v>1.0</v>
      </c>
      <c r="D31" s="280" t="str">
        <f t="shared" si="10"/>
        <v>#REF!</v>
      </c>
      <c r="E31" s="277">
        <f t="shared" si="11"/>
        <v>0.3</v>
      </c>
      <c r="F31" s="274">
        <f t="shared" si="12"/>
        <v>10</v>
      </c>
      <c r="G31" s="268"/>
      <c r="H31" s="268"/>
      <c r="I31" s="268"/>
      <c r="J31" s="268"/>
    </row>
    <row r="32" hidden="1" outlineLevel="2">
      <c r="A32" s="282" t="s">
        <v>31</v>
      </c>
      <c r="B32" s="279" t="str">
        <f t="shared" si="9"/>
        <v>#REF!</v>
      </c>
      <c r="C32" s="272">
        <v>1.0</v>
      </c>
      <c r="D32" s="280" t="str">
        <f t="shared" si="10"/>
        <v>#REF!</v>
      </c>
      <c r="E32" s="281">
        <f t="shared" si="11"/>
        <v>0.2956</v>
      </c>
      <c r="F32" s="274">
        <f t="shared" si="12"/>
        <v>9.853333333</v>
      </c>
      <c r="G32" s="268"/>
      <c r="H32" s="268"/>
      <c r="I32" s="268"/>
      <c r="J32" s="268"/>
    </row>
    <row r="33" hidden="1" outlineLevel="2">
      <c r="A33" s="283" t="s">
        <v>129</v>
      </c>
      <c r="B33" s="276" t="str">
        <f t="shared" si="9"/>
        <v>#REF!</v>
      </c>
      <c r="C33" s="272">
        <v>1.0</v>
      </c>
      <c r="D33" s="280" t="str">
        <f t="shared" si="10"/>
        <v>#REF!</v>
      </c>
      <c r="E33" s="277">
        <f t="shared" si="11"/>
        <v>0.3</v>
      </c>
      <c r="F33" s="274">
        <f t="shared" si="12"/>
        <v>10</v>
      </c>
      <c r="G33" s="268"/>
      <c r="H33" s="268"/>
      <c r="I33" s="268"/>
      <c r="J33" s="268"/>
    </row>
    <row r="34" hidden="1" outlineLevel="2">
      <c r="A34" s="284" t="s">
        <v>216</v>
      </c>
      <c r="B34" s="279" t="str">
        <f t="shared" si="9"/>
        <v>#REF!</v>
      </c>
      <c r="C34" s="272">
        <v>0.71</v>
      </c>
      <c r="D34" s="280" t="str">
        <f>Faith!D54</f>
        <v>#REF!</v>
      </c>
      <c r="E34" s="281">
        <f t="shared" si="11"/>
        <v>0.27</v>
      </c>
      <c r="F34" s="274">
        <f t="shared" si="12"/>
        <v>9</v>
      </c>
      <c r="G34" s="268"/>
      <c r="H34" s="268"/>
      <c r="I34" s="268"/>
      <c r="J34" s="268"/>
    </row>
    <row r="35" hidden="1" outlineLevel="2">
      <c r="A35" s="285"/>
      <c r="B35" s="286"/>
      <c r="C35" s="287"/>
      <c r="D35" s="288"/>
      <c r="E35" s="289"/>
      <c r="F35" s="268"/>
      <c r="G35" s="268"/>
      <c r="H35" s="268"/>
      <c r="I35" s="268"/>
      <c r="J35" s="268"/>
    </row>
    <row r="36" hidden="1" outlineLevel="2">
      <c r="A36" s="195" t="s">
        <v>269</v>
      </c>
      <c r="B36" s="286"/>
      <c r="C36" s="287"/>
      <c r="D36" s="288"/>
      <c r="E36" s="289"/>
      <c r="F36" s="268"/>
      <c r="G36" s="268"/>
      <c r="H36" s="268"/>
      <c r="I36" s="268"/>
      <c r="J36" s="268"/>
    </row>
    <row r="37" hidden="1" outlineLevel="2">
      <c r="A37" s="290" t="s">
        <v>240</v>
      </c>
      <c r="B37" s="291" t="s">
        <v>270</v>
      </c>
      <c r="C37" s="198">
        <v>46055.0</v>
      </c>
      <c r="D37" s="198">
        <v>46056.0</v>
      </c>
      <c r="E37" s="198">
        <v>46057.0</v>
      </c>
      <c r="F37" s="198">
        <v>46058.0</v>
      </c>
      <c r="G37" s="198">
        <v>46059.0</v>
      </c>
      <c r="H37" s="198">
        <v>46060.0</v>
      </c>
      <c r="I37" s="198">
        <v>46061.0</v>
      </c>
    </row>
    <row r="38" hidden="1" outlineLevel="2">
      <c r="A38" s="292"/>
      <c r="B38" s="292"/>
      <c r="C38" s="205" t="s">
        <v>192</v>
      </c>
      <c r="D38" s="205" t="s">
        <v>272</v>
      </c>
      <c r="E38" s="205" t="s">
        <v>273</v>
      </c>
      <c r="F38" s="205" t="s">
        <v>274</v>
      </c>
      <c r="G38" s="205" t="s">
        <v>275</v>
      </c>
      <c r="H38" s="205" t="s">
        <v>276</v>
      </c>
      <c r="I38" s="205" t="s">
        <v>277</v>
      </c>
    </row>
    <row r="39" hidden="1" outlineLevel="2">
      <c r="A39" s="275" t="s">
        <v>25</v>
      </c>
      <c r="B39" s="293">
        <f t="shared" ref="B39:B45" si="13">Sum(C39:I39)</f>
        <v>8</v>
      </c>
      <c r="C39" s="294"/>
      <c r="D39" s="294"/>
      <c r="E39" s="294"/>
      <c r="F39" s="294"/>
      <c r="G39" s="295">
        <v>8.0</v>
      </c>
      <c r="H39" s="294"/>
      <c r="I39" s="294"/>
    </row>
    <row r="40" hidden="1" outlineLevel="2">
      <c r="A40" s="278" t="s">
        <v>4</v>
      </c>
      <c r="B40" s="293">
        <f t="shared" si="13"/>
        <v>14</v>
      </c>
      <c r="C40" s="296">
        <v>2.0</v>
      </c>
      <c r="D40" s="297"/>
      <c r="E40" s="296">
        <v>2.0</v>
      </c>
      <c r="F40" s="297"/>
      <c r="G40" s="296">
        <v>2.0</v>
      </c>
      <c r="H40" s="297"/>
      <c r="I40" s="296">
        <v>8.0</v>
      </c>
    </row>
    <row r="41" hidden="1" outlineLevel="2">
      <c r="A41" s="275" t="s">
        <v>19</v>
      </c>
      <c r="B41" s="293">
        <f t="shared" si="13"/>
        <v>6</v>
      </c>
      <c r="C41" s="294"/>
      <c r="D41" s="294"/>
      <c r="E41" s="294"/>
      <c r="F41" s="295">
        <v>2.0</v>
      </c>
      <c r="G41" s="295">
        <v>2.0</v>
      </c>
      <c r="H41" s="295">
        <v>2.0</v>
      </c>
      <c r="I41" s="294"/>
    </row>
    <row r="42" hidden="1" outlineLevel="2">
      <c r="A42" s="278" t="s">
        <v>30</v>
      </c>
      <c r="B42" s="293">
        <f t="shared" si="13"/>
        <v>12</v>
      </c>
      <c r="C42" s="297"/>
      <c r="D42" s="296">
        <v>2.0</v>
      </c>
      <c r="E42" s="297"/>
      <c r="F42" s="296">
        <v>2.0</v>
      </c>
      <c r="G42" s="297"/>
      <c r="H42" s="296">
        <v>8.0</v>
      </c>
      <c r="I42" s="297"/>
    </row>
    <row r="43" hidden="1" outlineLevel="2">
      <c r="A43" s="301" t="s">
        <v>31</v>
      </c>
      <c r="B43" s="293">
        <f t="shared" si="13"/>
        <v>6</v>
      </c>
      <c r="C43" s="295">
        <v>2.0</v>
      </c>
      <c r="D43" s="295">
        <v>2.0</v>
      </c>
      <c r="E43" s="295">
        <v>2.0</v>
      </c>
      <c r="F43" s="294"/>
      <c r="G43" s="294"/>
      <c r="H43" s="294"/>
      <c r="I43" s="294"/>
    </row>
    <row r="44" hidden="1" outlineLevel="2">
      <c r="A44" s="284" t="s">
        <v>129</v>
      </c>
      <c r="B44" s="293">
        <f t="shared" si="13"/>
        <v>12</v>
      </c>
      <c r="C44" s="297"/>
      <c r="D44" s="296">
        <v>2.0</v>
      </c>
      <c r="E44" s="297"/>
      <c r="F44" s="296">
        <v>8.0</v>
      </c>
      <c r="G44" s="297"/>
      <c r="H44" s="296">
        <v>2.0</v>
      </c>
      <c r="I44" s="297"/>
    </row>
    <row r="45" hidden="1" outlineLevel="2">
      <c r="A45" s="283" t="s">
        <v>216</v>
      </c>
      <c r="B45" s="293">
        <f t="shared" si="13"/>
        <v>8</v>
      </c>
      <c r="C45" s="294"/>
      <c r="D45" s="294"/>
      <c r="E45" s="294"/>
      <c r="F45" s="294"/>
      <c r="G45" s="295"/>
      <c r="H45" s="295">
        <v>8.0</v>
      </c>
      <c r="I45" s="294"/>
    </row>
    <row r="46" hidden="1" outlineLevel="1" collapsed="1">
      <c r="A46" s="192" t="s">
        <v>282</v>
      </c>
    </row>
    <row r="47" hidden="1" outlineLevel="2">
      <c r="A47" s="195" t="s">
        <v>186</v>
      </c>
    </row>
    <row r="48" hidden="1" outlineLevel="2">
      <c r="A48" s="196" t="s">
        <v>187</v>
      </c>
      <c r="B48" s="197" t="s">
        <v>77</v>
      </c>
      <c r="C48" s="197" t="s">
        <v>189</v>
      </c>
      <c r="D48" s="198">
        <v>46062.0</v>
      </c>
      <c r="E48" s="198">
        <v>46063.0</v>
      </c>
      <c r="F48" s="198">
        <v>46064.0</v>
      </c>
      <c r="G48" s="198">
        <v>46065.0</v>
      </c>
      <c r="H48" s="198">
        <v>46066.0</v>
      </c>
      <c r="I48" s="198">
        <v>46067.0</v>
      </c>
      <c r="J48" s="198">
        <v>46068.0</v>
      </c>
      <c r="K48" s="199" t="s">
        <v>190</v>
      </c>
      <c r="L48" s="201" t="s">
        <v>191</v>
      </c>
    </row>
    <row r="49" hidden="1" outlineLevel="2">
      <c r="A49" s="202"/>
      <c r="B49" s="203"/>
      <c r="C49" s="203"/>
      <c r="D49" s="205" t="s">
        <v>192</v>
      </c>
      <c r="E49" s="205" t="str">
        <f t="shared" ref="E49:J49" si="14">text(E48,"ddd")</f>
        <v>Tue</v>
      </c>
      <c r="F49" s="205" t="str">
        <f t="shared" si="14"/>
        <v>Wed</v>
      </c>
      <c r="G49" s="205" t="str">
        <f t="shared" si="14"/>
        <v>Thu</v>
      </c>
      <c r="H49" s="205" t="str">
        <f t="shared" si="14"/>
        <v>Fri</v>
      </c>
      <c r="I49" s="205" t="str">
        <f t="shared" si="14"/>
        <v>Sat</v>
      </c>
      <c r="J49" s="205" t="str">
        <f t="shared" si="14"/>
        <v>Sun</v>
      </c>
      <c r="K49" s="206"/>
      <c r="L49" s="203"/>
    </row>
    <row r="50" hidden="1" outlineLevel="2">
      <c r="A50" s="207" t="s">
        <v>194</v>
      </c>
      <c r="B50" s="209">
        <f>25+35+25+15+5</f>
        <v>105</v>
      </c>
      <c r="C50" s="209">
        <f t="shared" ref="C50:C57" si="15">SUM(D50:J50)</f>
        <v>76</v>
      </c>
      <c r="D50" s="211">
        <v>24.0</v>
      </c>
      <c r="E50" s="211">
        <v>36.0</v>
      </c>
      <c r="F50" s="211" t="s">
        <v>196</v>
      </c>
      <c r="G50" s="211">
        <v>11.0</v>
      </c>
      <c r="H50" s="212">
        <v>5.0</v>
      </c>
      <c r="I50" s="224" t="s">
        <v>92</v>
      </c>
      <c r="J50" s="224" t="s">
        <v>92</v>
      </c>
      <c r="K50" s="214">
        <f t="shared" ref="K50:K57" si="16">iferror(C50/B50,"-")</f>
        <v>0.7238095238</v>
      </c>
      <c r="L50" s="219">
        <f t="shared" ref="L50:L57" si="17">(IF(K50="",(0),IF(K50&gt;=1,(5),IF(K50&gt;=0.9,(4),IF(K50&gt;=0.8,(3),IF(K50&gt;=0.69,(2),IF(K50&lt;=0.69,(1))))))))</f>
        <v>2</v>
      </c>
    </row>
    <row r="51" hidden="1" outlineLevel="2">
      <c r="A51" s="220" t="s">
        <v>118</v>
      </c>
      <c r="B51" s="221">
        <f>30+25+25+30+25+13</f>
        <v>148</v>
      </c>
      <c r="C51" s="221">
        <f t="shared" si="15"/>
        <v>137</v>
      </c>
      <c r="D51" s="212">
        <v>28.0</v>
      </c>
      <c r="E51" s="211">
        <v>23.0</v>
      </c>
      <c r="F51" s="212">
        <v>27.0</v>
      </c>
      <c r="G51" s="211">
        <v>26.0</v>
      </c>
      <c r="H51" s="212">
        <v>21.0</v>
      </c>
      <c r="I51" s="224" t="s">
        <v>92</v>
      </c>
      <c r="J51" s="212">
        <v>12.0</v>
      </c>
      <c r="K51" s="214">
        <f t="shared" si="16"/>
        <v>0.9256756757</v>
      </c>
      <c r="L51" s="219">
        <f t="shared" si="17"/>
        <v>4</v>
      </c>
    </row>
    <row r="52" hidden="1" outlineLevel="2">
      <c r="A52" s="207" t="s">
        <v>19</v>
      </c>
      <c r="B52" s="209">
        <f>35+45+25+25+25</f>
        <v>155</v>
      </c>
      <c r="C52" s="209">
        <f t="shared" si="15"/>
        <v>159</v>
      </c>
      <c r="D52" s="211">
        <v>38.0</v>
      </c>
      <c r="E52" s="224" t="s">
        <v>92</v>
      </c>
      <c r="F52" s="212">
        <v>46.0</v>
      </c>
      <c r="G52" s="211">
        <v>24.0</v>
      </c>
      <c r="H52" s="212">
        <v>25.0</v>
      </c>
      <c r="I52" s="212">
        <v>26.0</v>
      </c>
      <c r="J52" s="224" t="s">
        <v>92</v>
      </c>
      <c r="K52" s="214">
        <f t="shared" si="16"/>
        <v>1.025806452</v>
      </c>
      <c r="L52" s="219">
        <f t="shared" si="17"/>
        <v>5</v>
      </c>
    </row>
    <row r="53" hidden="1" outlineLevel="2">
      <c r="A53" s="220" t="s">
        <v>120</v>
      </c>
      <c r="B53" s="221">
        <f>30+25+30+25+7</f>
        <v>117</v>
      </c>
      <c r="C53" s="221">
        <f t="shared" si="15"/>
        <v>119</v>
      </c>
      <c r="D53" s="224" t="s">
        <v>92</v>
      </c>
      <c r="E53" s="211">
        <v>33.0</v>
      </c>
      <c r="F53" s="211">
        <v>23.0</v>
      </c>
      <c r="G53" s="211">
        <v>38.0</v>
      </c>
      <c r="H53" s="212">
        <v>19.0</v>
      </c>
      <c r="I53" s="212">
        <v>6.0</v>
      </c>
      <c r="J53" s="224" t="s">
        <v>92</v>
      </c>
      <c r="K53" s="214">
        <f t="shared" si="16"/>
        <v>1.017094017</v>
      </c>
      <c r="L53" s="219">
        <f t="shared" si="17"/>
        <v>5</v>
      </c>
    </row>
    <row r="54" hidden="1" outlineLevel="2">
      <c r="A54" s="222" t="s">
        <v>22</v>
      </c>
      <c r="B54" s="209">
        <f>25+35+25+25+25+20</f>
        <v>155</v>
      </c>
      <c r="C54" s="221">
        <f t="shared" si="15"/>
        <v>162</v>
      </c>
      <c r="D54" s="211">
        <v>21.0</v>
      </c>
      <c r="E54" s="211">
        <v>41.0</v>
      </c>
      <c r="F54" s="212">
        <v>26.0</v>
      </c>
      <c r="G54" s="224" t="s">
        <v>92</v>
      </c>
      <c r="H54" s="211">
        <v>23.0</v>
      </c>
      <c r="I54" s="212">
        <v>29.0</v>
      </c>
      <c r="J54" s="212">
        <v>22.0</v>
      </c>
      <c r="K54" s="214">
        <f t="shared" si="16"/>
        <v>1.04516129</v>
      </c>
      <c r="L54" s="219">
        <f t="shared" si="17"/>
        <v>5</v>
      </c>
    </row>
    <row r="55" hidden="1" outlineLevel="2">
      <c r="A55" s="223" t="s">
        <v>129</v>
      </c>
      <c r="B55" s="209">
        <f>35+25+30+25+25+13</f>
        <v>153</v>
      </c>
      <c r="C55" s="209">
        <f t="shared" si="15"/>
        <v>140</v>
      </c>
      <c r="D55" s="211">
        <v>35.0</v>
      </c>
      <c r="E55" s="211">
        <v>18.0</v>
      </c>
      <c r="F55" s="224">
        <v>32.0</v>
      </c>
      <c r="G55" s="211">
        <v>17.0</v>
      </c>
      <c r="H55" s="224" t="s">
        <v>92</v>
      </c>
      <c r="I55" s="310">
        <v>26.0</v>
      </c>
      <c r="J55" s="212">
        <v>12.0</v>
      </c>
      <c r="K55" s="214">
        <f t="shared" si="16"/>
        <v>0.9150326797</v>
      </c>
      <c r="L55" s="219">
        <f t="shared" si="17"/>
        <v>4</v>
      </c>
    </row>
    <row r="56" hidden="1" outlineLevel="2">
      <c r="A56" s="223" t="s">
        <v>216</v>
      </c>
      <c r="B56" s="209">
        <f>20*6</f>
        <v>120</v>
      </c>
      <c r="C56" s="209">
        <f t="shared" si="15"/>
        <v>128</v>
      </c>
      <c r="D56" s="211">
        <v>28.0</v>
      </c>
      <c r="E56" s="211">
        <v>18.0</v>
      </c>
      <c r="F56" s="211">
        <v>18.0</v>
      </c>
      <c r="G56" s="224">
        <v>22.0</v>
      </c>
      <c r="H56" s="212">
        <v>25.0</v>
      </c>
      <c r="I56" s="212">
        <v>17.0</v>
      </c>
      <c r="J56" s="224" t="s">
        <v>92</v>
      </c>
      <c r="K56" s="214">
        <f t="shared" si="16"/>
        <v>1.066666667</v>
      </c>
      <c r="L56" s="219">
        <f t="shared" si="17"/>
        <v>5</v>
      </c>
    </row>
    <row r="57" hidden="1" outlineLevel="2">
      <c r="A57" s="223" t="s">
        <v>13</v>
      </c>
      <c r="B57" s="209">
        <f>20+10+10+13</f>
        <v>53</v>
      </c>
      <c r="C57" s="209">
        <f t="shared" si="15"/>
        <v>55</v>
      </c>
      <c r="D57" s="311" t="s">
        <v>289</v>
      </c>
      <c r="E57" s="211">
        <v>23.0</v>
      </c>
      <c r="F57" s="224" t="s">
        <v>92</v>
      </c>
      <c r="G57" s="224" t="s">
        <v>92</v>
      </c>
      <c r="H57" s="212">
        <v>10.0</v>
      </c>
      <c r="I57" s="212">
        <v>9.0</v>
      </c>
      <c r="J57" s="212">
        <v>13.0</v>
      </c>
      <c r="K57" s="214">
        <f t="shared" si="16"/>
        <v>1.037735849</v>
      </c>
      <c r="L57" s="219">
        <f t="shared" si="17"/>
        <v>5</v>
      </c>
    </row>
    <row r="58" hidden="1" outlineLevel="2"/>
    <row r="59" hidden="1" outlineLevel="2">
      <c r="A59" s="195" t="s">
        <v>135</v>
      </c>
    </row>
    <row r="60" hidden="1" outlineLevel="2">
      <c r="A60" s="196" t="s">
        <v>187</v>
      </c>
      <c r="B60" s="225" t="s">
        <v>218</v>
      </c>
      <c r="C60" s="225" t="s">
        <v>219</v>
      </c>
      <c r="D60" s="225" t="s">
        <v>139</v>
      </c>
      <c r="E60" s="225" t="s">
        <v>140</v>
      </c>
      <c r="F60" s="225" t="s">
        <v>141</v>
      </c>
      <c r="G60" s="226" t="s">
        <v>143</v>
      </c>
      <c r="H60" s="226" t="s">
        <v>221</v>
      </c>
    </row>
    <row r="61" hidden="1" outlineLevel="2">
      <c r="A61" s="202"/>
      <c r="B61" s="203"/>
      <c r="C61" s="227"/>
      <c r="D61" s="227"/>
      <c r="E61" s="227"/>
      <c r="F61" s="227"/>
      <c r="G61" s="227"/>
      <c r="H61" s="227"/>
    </row>
    <row r="62" hidden="1" outlineLevel="2">
      <c r="A62" s="207" t="s">
        <v>194</v>
      </c>
      <c r="B62" s="228">
        <v>78.0</v>
      </c>
      <c r="C62" s="228">
        <v>76.0</v>
      </c>
      <c r="D62" s="229">
        <f t="shared" ref="D62:D69" si="18">B62-C62</f>
        <v>2</v>
      </c>
      <c r="E62" s="230">
        <f t="shared" ref="E62:E69" si="19">IFERROR(C62/B62,"")</f>
        <v>0.9743589744</v>
      </c>
      <c r="F62" s="232">
        <v>0.0026157407407407405</v>
      </c>
      <c r="G62" s="240">
        <f t="shared" ref="G62:G69" si="20">IFERROR((IF(E62="",(0),IF(E62&gt;=0.98,(5),IF(E62&gt;=0.95,(4.5),IF(E62&gt;=0.9,(4),IF(E62&gt;=0.8,(3),IF(E62&lt;=0.69,(1)))))))),"")</f>
        <v>4.5</v>
      </c>
      <c r="H62" s="240">
        <f>ROUND(
IF(F62="",
0,
MAX(1, 5 - MAX(0, (F62 - TIME(0,4,0)) / TIME(0,1,0) * 0.5))
),
2
)
</f>
        <v>5</v>
      </c>
    </row>
    <row r="63" hidden="1" outlineLevel="2">
      <c r="A63" s="220" t="s">
        <v>118</v>
      </c>
      <c r="B63" s="251">
        <v>138.0</v>
      </c>
      <c r="C63" s="251">
        <v>136.0</v>
      </c>
      <c r="D63" s="229">
        <f t="shared" si="18"/>
        <v>2</v>
      </c>
      <c r="E63" s="254">
        <f t="shared" si="19"/>
        <v>0.9855072464</v>
      </c>
      <c r="F63" s="255">
        <v>0.004548611111111111</v>
      </c>
      <c r="G63" s="240">
        <f t="shared" si="20"/>
        <v>5</v>
      </c>
      <c r="H63" s="240">
        <f>ROUND(
IF(F63="",
0,
MAX(1, 5 - MAX(0, (F63 - TIME(0,6,0)) / TIME(0,1,0) * 0.5))
),
2
)
</f>
        <v>4.73</v>
      </c>
    </row>
    <row r="64" hidden="1" outlineLevel="2">
      <c r="A64" s="207" t="s">
        <v>19</v>
      </c>
      <c r="B64" s="251">
        <v>151.0</v>
      </c>
      <c r="C64" s="251">
        <v>147.0</v>
      </c>
      <c r="D64" s="229">
        <f t="shared" si="18"/>
        <v>4</v>
      </c>
      <c r="E64" s="254">
        <f t="shared" si="19"/>
        <v>0.9735099338</v>
      </c>
      <c r="F64" s="255">
        <v>0.0033564814814814816</v>
      </c>
      <c r="G64" s="240">
        <f t="shared" si="20"/>
        <v>4.5</v>
      </c>
      <c r="H64" s="240">
        <f>ROUND(
IF(F64="",
0,
MAX(1, 5 - MAX(0, (F64 - TIME(0,4,0)) / TIME(0,1,0) * 0.5))
),
2
)
</f>
        <v>4.58</v>
      </c>
    </row>
    <row r="65" hidden="1" outlineLevel="2">
      <c r="A65" s="220" t="s">
        <v>120</v>
      </c>
      <c r="B65" s="228">
        <v>119.0</v>
      </c>
      <c r="C65" s="228">
        <v>118.0</v>
      </c>
      <c r="D65" s="229">
        <f t="shared" si="18"/>
        <v>1</v>
      </c>
      <c r="E65" s="230">
        <f t="shared" si="19"/>
        <v>0.9915966387</v>
      </c>
      <c r="F65" s="232">
        <v>0.003136574074074074</v>
      </c>
      <c r="G65" s="240">
        <f t="shared" si="20"/>
        <v>5</v>
      </c>
      <c r="H65" s="240">
        <f>ROUND(
IF(F65="",
0,
MAX(1, 5 - MAX(0, (F65 - TIME(0,6,0)) / TIME(0,1,0) * 0.5))
),
2
)
</f>
        <v>5</v>
      </c>
    </row>
    <row r="66" hidden="1" outlineLevel="2">
      <c r="A66" s="222" t="s">
        <v>22</v>
      </c>
      <c r="B66" s="228">
        <v>163.0</v>
      </c>
      <c r="C66" s="228">
        <v>161.0</v>
      </c>
      <c r="D66" s="229">
        <f t="shared" si="18"/>
        <v>2</v>
      </c>
      <c r="E66" s="230">
        <f t="shared" si="19"/>
        <v>0.9877300613</v>
      </c>
      <c r="F66" s="232">
        <v>0.002962962962962963</v>
      </c>
      <c r="G66" s="240">
        <f t="shared" si="20"/>
        <v>5</v>
      </c>
      <c r="H66" s="240">
        <f>ROUND(
IF(F66="",
0,
MAX(1, 5 - MAX(0, (F66 - TIME(0,4,0)) / TIME(0,1,0) * 0.5))
),
2
)
</f>
        <v>4.87</v>
      </c>
    </row>
    <row r="67" hidden="1" outlineLevel="2">
      <c r="A67" s="223" t="s">
        <v>129</v>
      </c>
      <c r="B67" s="251">
        <v>140.0</v>
      </c>
      <c r="C67" s="251">
        <v>139.0</v>
      </c>
      <c r="D67" s="229">
        <f t="shared" si="18"/>
        <v>1</v>
      </c>
      <c r="E67" s="254">
        <f t="shared" si="19"/>
        <v>0.9928571429</v>
      </c>
      <c r="F67" s="255">
        <v>0.0038425925925925928</v>
      </c>
      <c r="G67" s="240">
        <f t="shared" si="20"/>
        <v>5</v>
      </c>
      <c r="H67" s="240">
        <f t="shared" ref="H67:H68" si="21">ROUND(
IF(F67="",
0,
MAX(1, 5 - MAX(0, (F67 - TIME(0,6,0)) / TIME(0,1,0) * 0.5))
),
2
)
</f>
        <v>5</v>
      </c>
    </row>
    <row r="68" hidden="1" outlineLevel="2">
      <c r="A68" s="223" t="s">
        <v>216</v>
      </c>
      <c r="B68" s="228">
        <v>127.0</v>
      </c>
      <c r="C68" s="228">
        <v>126.0</v>
      </c>
      <c r="D68" s="229">
        <f t="shared" si="18"/>
        <v>1</v>
      </c>
      <c r="E68" s="230">
        <f t="shared" si="19"/>
        <v>0.9921259843</v>
      </c>
      <c r="F68" s="232">
        <v>0.0043518518518518515</v>
      </c>
      <c r="G68" s="240">
        <f t="shared" si="20"/>
        <v>5</v>
      </c>
      <c r="H68" s="240">
        <f t="shared" si="21"/>
        <v>4.87</v>
      </c>
    </row>
    <row r="69" hidden="1" outlineLevel="2">
      <c r="A69" s="223" t="s">
        <v>13</v>
      </c>
      <c r="B69" s="228">
        <v>30.0</v>
      </c>
      <c r="C69" s="228">
        <v>30.0</v>
      </c>
      <c r="D69" s="229">
        <f t="shared" si="18"/>
        <v>0</v>
      </c>
      <c r="E69" s="230">
        <f t="shared" si="19"/>
        <v>1</v>
      </c>
      <c r="F69" s="232">
        <v>0.005347222222222222</v>
      </c>
      <c r="G69" s="240">
        <f t="shared" si="20"/>
        <v>5</v>
      </c>
      <c r="H69" s="240">
        <f>ROUND(
IF(F69="",
0,
MAX(1, 5 - MAX(0, (F69 - TIME(0,8,0)) / TIME(0,1,0) * 0.5))
),
2
)
</f>
        <v>5</v>
      </c>
    </row>
    <row r="70" hidden="1" outlineLevel="2"/>
    <row r="71" hidden="1" outlineLevel="2">
      <c r="A71" s="195" t="s">
        <v>239</v>
      </c>
    </row>
    <row r="72" hidden="1" outlineLevel="2">
      <c r="A72" s="260" t="s">
        <v>240</v>
      </c>
      <c r="B72" s="262" t="s">
        <v>241</v>
      </c>
      <c r="C72" s="264" t="s">
        <v>242</v>
      </c>
      <c r="D72" s="264" t="s">
        <v>243</v>
      </c>
      <c r="E72" s="265" t="s">
        <v>244</v>
      </c>
      <c r="F72" s="267" t="s">
        <v>247</v>
      </c>
      <c r="G72" s="268"/>
    </row>
    <row r="73" hidden="1" outlineLevel="2">
      <c r="A73" s="269" t="s">
        <v>25</v>
      </c>
      <c r="B73" s="271" t="str">
        <f t="shared" ref="B73:B80" si="22">(C73*0.3)+(D73*0.1)</f>
        <v>#REF!</v>
      </c>
      <c r="C73" s="272">
        <v>1.0</v>
      </c>
      <c r="D73" s="272" t="str">
        <f t="shared" ref="D73:D78" si="23">#REF!</f>
        <v>#REF!</v>
      </c>
      <c r="E73" s="273">
        <f t="shared" ref="E73:E80" si="24">(L50+G62+H62)/15*0.3</f>
        <v>0.23</v>
      </c>
      <c r="F73" s="274">
        <f t="shared" ref="F73:F80" si="25">(E73/30%)*10</f>
        <v>7.666666667</v>
      </c>
      <c r="G73" s="268"/>
      <c r="H73" s="268"/>
      <c r="I73" s="268"/>
      <c r="J73" s="268"/>
    </row>
    <row r="74" hidden="1" outlineLevel="2">
      <c r="A74" s="275" t="s">
        <v>4</v>
      </c>
      <c r="B74" s="276" t="str">
        <f t="shared" si="22"/>
        <v>#REF!</v>
      </c>
      <c r="C74" s="272">
        <v>1.0</v>
      </c>
      <c r="D74" s="272" t="str">
        <f t="shared" si="23"/>
        <v>#REF!</v>
      </c>
      <c r="E74" s="277">
        <f t="shared" si="24"/>
        <v>0.2746</v>
      </c>
      <c r="F74" s="274">
        <f t="shared" si="25"/>
        <v>9.153333333</v>
      </c>
      <c r="G74" s="268"/>
      <c r="H74" s="268"/>
      <c r="I74" s="268"/>
      <c r="J74" s="268"/>
    </row>
    <row r="75" hidden="1" outlineLevel="2">
      <c r="A75" s="278" t="s">
        <v>19</v>
      </c>
      <c r="B75" s="279" t="str">
        <f t="shared" si="22"/>
        <v>#REF!</v>
      </c>
      <c r="C75" s="272">
        <v>1.0</v>
      </c>
      <c r="D75" s="280" t="str">
        <f t="shared" si="23"/>
        <v>#REF!</v>
      </c>
      <c r="E75" s="281">
        <f t="shared" si="24"/>
        <v>0.2816</v>
      </c>
      <c r="F75" s="274">
        <f t="shared" si="25"/>
        <v>9.386666667</v>
      </c>
      <c r="G75" s="268"/>
      <c r="H75" s="268"/>
      <c r="I75" s="268"/>
      <c r="J75" s="268"/>
    </row>
    <row r="76" hidden="1" outlineLevel="2">
      <c r="A76" s="275" t="s">
        <v>30</v>
      </c>
      <c r="B76" s="276" t="str">
        <f t="shared" si="22"/>
        <v>#REF!</v>
      </c>
      <c r="C76" s="272">
        <v>1.0</v>
      </c>
      <c r="D76" s="280" t="str">
        <f t="shared" si="23"/>
        <v>#REF!</v>
      </c>
      <c r="E76" s="277">
        <f t="shared" si="24"/>
        <v>0.3</v>
      </c>
      <c r="F76" s="274">
        <f t="shared" si="25"/>
        <v>10</v>
      </c>
      <c r="G76" s="268"/>
      <c r="H76" s="268"/>
      <c r="I76" s="268"/>
      <c r="J76" s="268"/>
    </row>
    <row r="77" hidden="1" outlineLevel="2">
      <c r="A77" s="282" t="s">
        <v>31</v>
      </c>
      <c r="B77" s="279" t="str">
        <f t="shared" si="22"/>
        <v>#REF!</v>
      </c>
      <c r="C77" s="272">
        <v>1.0</v>
      </c>
      <c r="D77" s="280" t="str">
        <f t="shared" si="23"/>
        <v>#REF!</v>
      </c>
      <c r="E77" s="281">
        <f t="shared" si="24"/>
        <v>0.2974</v>
      </c>
      <c r="F77" s="274">
        <f t="shared" si="25"/>
        <v>9.913333333</v>
      </c>
      <c r="G77" s="268"/>
      <c r="H77" s="268"/>
      <c r="I77" s="268"/>
      <c r="J77" s="268"/>
    </row>
    <row r="78" hidden="1" outlineLevel="2">
      <c r="A78" s="283" t="s">
        <v>129</v>
      </c>
      <c r="B78" s="276" t="str">
        <f t="shared" si="22"/>
        <v>#REF!</v>
      </c>
      <c r="C78" s="272">
        <v>1.0</v>
      </c>
      <c r="D78" s="280" t="str">
        <f t="shared" si="23"/>
        <v>#REF!</v>
      </c>
      <c r="E78" s="277">
        <f t="shared" si="24"/>
        <v>0.28</v>
      </c>
      <c r="F78" s="274">
        <f t="shared" si="25"/>
        <v>9.333333333</v>
      </c>
      <c r="G78" s="268"/>
      <c r="H78" s="268"/>
      <c r="I78" s="268"/>
      <c r="J78" s="268"/>
    </row>
    <row r="79" hidden="1" outlineLevel="2">
      <c r="A79" s="284" t="s">
        <v>216</v>
      </c>
      <c r="B79" s="279" t="str">
        <f t="shared" si="22"/>
        <v>#REF!</v>
      </c>
      <c r="C79" s="272">
        <v>0.5</v>
      </c>
      <c r="D79" s="280" t="str">
        <f>Faith!D72</f>
        <v>#REF!</v>
      </c>
      <c r="E79" s="281">
        <f t="shared" si="24"/>
        <v>0.2974</v>
      </c>
      <c r="F79" s="274">
        <f t="shared" si="25"/>
        <v>9.913333333</v>
      </c>
      <c r="G79" s="268"/>
      <c r="H79" s="268"/>
      <c r="I79" s="268"/>
      <c r="J79" s="268"/>
    </row>
    <row r="80" hidden="1" outlineLevel="2">
      <c r="A80" s="283" t="s">
        <v>13</v>
      </c>
      <c r="B80" s="276">
        <f t="shared" si="22"/>
        <v>0.364</v>
      </c>
      <c r="C80" s="272">
        <v>0.88</v>
      </c>
      <c r="D80" s="280">
        <f>Lyra!D53</f>
        <v>1</v>
      </c>
      <c r="E80" s="277">
        <f t="shared" si="24"/>
        <v>0.3</v>
      </c>
      <c r="F80" s="274">
        <f t="shared" si="25"/>
        <v>10</v>
      </c>
      <c r="G80" s="268"/>
      <c r="H80" s="268"/>
      <c r="I80" s="268"/>
      <c r="J80" s="268"/>
    </row>
    <row r="81" hidden="1" outlineLevel="2">
      <c r="A81" s="324"/>
      <c r="B81" s="286"/>
      <c r="C81" s="287"/>
      <c r="D81" s="288"/>
      <c r="E81" s="289"/>
      <c r="F81" s="268"/>
      <c r="G81" s="268"/>
      <c r="H81" s="268"/>
      <c r="I81" s="268"/>
      <c r="J81" s="268"/>
    </row>
    <row r="82" hidden="1" outlineLevel="2">
      <c r="A82" s="195" t="s">
        <v>269</v>
      </c>
      <c r="B82" s="286"/>
      <c r="C82" s="287"/>
      <c r="D82" s="288"/>
      <c r="E82" s="289"/>
      <c r="F82" s="268"/>
      <c r="G82" s="268"/>
      <c r="H82" s="268"/>
      <c r="I82" s="268"/>
      <c r="J82" s="268"/>
    </row>
    <row r="83" hidden="1" outlineLevel="2">
      <c r="A83" s="290" t="s">
        <v>240</v>
      </c>
      <c r="B83" s="291" t="s">
        <v>270</v>
      </c>
      <c r="C83" s="198">
        <v>46062.0</v>
      </c>
      <c r="D83" s="198">
        <v>46063.0</v>
      </c>
      <c r="E83" s="198">
        <v>46064.0</v>
      </c>
      <c r="F83" s="198">
        <v>46065.0</v>
      </c>
      <c r="G83" s="198">
        <v>46066.0</v>
      </c>
      <c r="H83" s="198">
        <v>46067.0</v>
      </c>
      <c r="I83" s="198">
        <v>46068.0</v>
      </c>
      <c r="J83" s="268"/>
    </row>
    <row r="84" hidden="1" outlineLevel="2">
      <c r="A84" s="325"/>
      <c r="B84" s="325"/>
      <c r="C84" s="205" t="s">
        <v>192</v>
      </c>
      <c r="D84" s="205" t="s">
        <v>272</v>
      </c>
      <c r="E84" s="205" t="s">
        <v>273</v>
      </c>
      <c r="F84" s="205" t="s">
        <v>274</v>
      </c>
      <c r="G84" s="205" t="s">
        <v>275</v>
      </c>
      <c r="H84" s="205" t="s">
        <v>276</v>
      </c>
      <c r="I84" s="205" t="s">
        <v>277</v>
      </c>
    </row>
    <row r="85" hidden="1" outlineLevel="2">
      <c r="A85" s="278" t="s">
        <v>25</v>
      </c>
      <c r="B85" s="293">
        <f t="shared" ref="B85:B91" si="26">Sum(C85:I85)</f>
        <v>0</v>
      </c>
      <c r="C85" s="297"/>
      <c r="D85" s="297"/>
      <c r="E85" s="297"/>
      <c r="F85" s="297"/>
      <c r="G85" s="296"/>
      <c r="H85" s="297"/>
      <c r="I85" s="297"/>
    </row>
    <row r="86" hidden="1" outlineLevel="2">
      <c r="A86" s="275" t="s">
        <v>4</v>
      </c>
      <c r="B86" s="293">
        <f t="shared" si="26"/>
        <v>14</v>
      </c>
      <c r="C86" s="295">
        <v>2.0</v>
      </c>
      <c r="D86" s="294"/>
      <c r="E86" s="295">
        <v>2.0</v>
      </c>
      <c r="F86" s="294"/>
      <c r="G86" s="295">
        <v>2.0</v>
      </c>
      <c r="H86" s="294"/>
      <c r="I86" s="295">
        <v>8.0</v>
      </c>
    </row>
    <row r="87" hidden="1" outlineLevel="2">
      <c r="A87" s="278" t="s">
        <v>19</v>
      </c>
      <c r="B87" s="293">
        <f t="shared" si="26"/>
        <v>6</v>
      </c>
      <c r="C87" s="296">
        <v>2.0</v>
      </c>
      <c r="D87" s="297"/>
      <c r="E87" s="296">
        <v>2.0</v>
      </c>
      <c r="F87" s="296"/>
      <c r="G87" s="296">
        <v>2.0</v>
      </c>
      <c r="H87" s="296"/>
      <c r="I87" s="297"/>
    </row>
    <row r="88" hidden="1" outlineLevel="2">
      <c r="A88" s="275" t="s">
        <v>30</v>
      </c>
      <c r="B88" s="293">
        <f t="shared" si="26"/>
        <v>12</v>
      </c>
      <c r="C88" s="294"/>
      <c r="D88" s="295">
        <v>2.0</v>
      </c>
      <c r="E88" s="294"/>
      <c r="F88" s="295">
        <v>2.0</v>
      </c>
      <c r="G88" s="294"/>
      <c r="H88" s="295">
        <v>8.0</v>
      </c>
      <c r="I88" s="294"/>
    </row>
    <row r="89" hidden="1" outlineLevel="2">
      <c r="A89" s="282" t="s">
        <v>31</v>
      </c>
      <c r="B89" s="293">
        <f t="shared" si="26"/>
        <v>14</v>
      </c>
      <c r="C89" s="296"/>
      <c r="D89" s="296">
        <v>2.0</v>
      </c>
      <c r="E89" s="296">
        <v>8.0</v>
      </c>
      <c r="F89" s="297"/>
      <c r="G89" s="296">
        <v>2.0</v>
      </c>
      <c r="H89" s="296">
        <v>2.0</v>
      </c>
      <c r="I89" s="297"/>
    </row>
    <row r="90" ht="16.5" hidden="1" customHeight="1" outlineLevel="2">
      <c r="A90" s="283" t="s">
        <v>129</v>
      </c>
      <c r="B90" s="293">
        <f t="shared" si="26"/>
        <v>14</v>
      </c>
      <c r="C90" s="295">
        <v>2.0</v>
      </c>
      <c r="D90" s="295"/>
      <c r="E90" s="295">
        <v>2.0</v>
      </c>
      <c r="F90" s="295">
        <v>8.0</v>
      </c>
      <c r="G90" s="294"/>
      <c r="H90" s="295">
        <v>2.0</v>
      </c>
      <c r="I90" s="294"/>
    </row>
    <row r="91" hidden="1" outlineLevel="2">
      <c r="A91" s="284" t="s">
        <v>216</v>
      </c>
      <c r="B91" s="293">
        <f t="shared" si="26"/>
        <v>10</v>
      </c>
      <c r="C91" s="297"/>
      <c r="D91" s="297"/>
      <c r="E91" s="297"/>
      <c r="F91" s="297"/>
      <c r="G91" s="296">
        <v>8.0</v>
      </c>
      <c r="H91" s="296">
        <v>2.0</v>
      </c>
      <c r="I91" s="297"/>
    </row>
    <row r="92" hidden="1" outlineLevel="2">
      <c r="A92" s="285"/>
      <c r="B92" s="326"/>
      <c r="C92" s="327"/>
      <c r="D92" s="327"/>
      <c r="E92" s="327"/>
      <c r="F92" s="327"/>
      <c r="G92" s="328"/>
      <c r="H92" s="328"/>
      <c r="I92" s="327"/>
    </row>
    <row r="93" hidden="1" outlineLevel="2">
      <c r="A93" s="329" t="s">
        <v>322</v>
      </c>
      <c r="B93" s="330" t="s">
        <v>323</v>
      </c>
      <c r="C93" s="198">
        <v>46062.0</v>
      </c>
      <c r="D93" s="198">
        <v>46063.0</v>
      </c>
      <c r="E93" s="198">
        <v>46064.0</v>
      </c>
      <c r="F93" s="198">
        <v>46065.0</v>
      </c>
      <c r="G93" s="198">
        <v>46066.0</v>
      </c>
      <c r="H93" s="198">
        <v>46067.0</v>
      </c>
      <c r="I93" s="198">
        <v>46068.0</v>
      </c>
    </row>
    <row r="94" hidden="1" outlineLevel="2">
      <c r="A94" s="283" t="s">
        <v>13</v>
      </c>
      <c r="B94" s="293">
        <f>SUM(C94:I94)</f>
        <v>40</v>
      </c>
      <c r="C94" s="295">
        <v>8.0</v>
      </c>
      <c r="D94" s="295">
        <v>8.0</v>
      </c>
      <c r="E94" s="331" t="s">
        <v>92</v>
      </c>
      <c r="F94" s="331" t="s">
        <v>92</v>
      </c>
      <c r="G94" s="295">
        <v>8.0</v>
      </c>
      <c r="H94" s="295">
        <v>8.0</v>
      </c>
      <c r="I94" s="295">
        <v>8.0</v>
      </c>
    </row>
    <row r="95" hidden="1" outlineLevel="1" collapsed="1">
      <c r="A95" s="192" t="s">
        <v>325</v>
      </c>
    </row>
    <row r="96" hidden="1" outlineLevel="2">
      <c r="A96" s="195" t="s">
        <v>186</v>
      </c>
    </row>
    <row r="97" hidden="1" outlineLevel="2">
      <c r="A97" s="196" t="s">
        <v>187</v>
      </c>
      <c r="B97" s="197" t="s">
        <v>77</v>
      </c>
      <c r="C97" s="197" t="s">
        <v>189</v>
      </c>
      <c r="D97" s="198">
        <v>46069.0</v>
      </c>
      <c r="E97" s="198">
        <v>46070.0</v>
      </c>
      <c r="F97" s="198">
        <v>46071.0</v>
      </c>
      <c r="G97" s="198">
        <v>46072.0</v>
      </c>
      <c r="H97" s="198">
        <v>46073.0</v>
      </c>
      <c r="I97" s="198">
        <v>46074.0</v>
      </c>
      <c r="J97" s="198">
        <v>46075.0</v>
      </c>
      <c r="K97" s="199" t="s">
        <v>190</v>
      </c>
      <c r="L97" s="201" t="s">
        <v>191</v>
      </c>
    </row>
    <row r="98" hidden="1" outlineLevel="2">
      <c r="A98" s="202"/>
      <c r="B98" s="203"/>
      <c r="C98" s="203"/>
      <c r="D98" s="205" t="s">
        <v>192</v>
      </c>
      <c r="E98" s="205" t="str">
        <f t="shared" ref="E98:J98" si="27">text(E97,"ddd")</f>
        <v>Tue</v>
      </c>
      <c r="F98" s="205" t="str">
        <f t="shared" si="27"/>
        <v>Wed</v>
      </c>
      <c r="G98" s="205" t="str">
        <f t="shared" si="27"/>
        <v>Thu</v>
      </c>
      <c r="H98" s="205" t="str">
        <f t="shared" si="27"/>
        <v>Fri</v>
      </c>
      <c r="I98" s="205" t="str">
        <f t="shared" si="27"/>
        <v>Sat</v>
      </c>
      <c r="J98" s="205" t="str">
        <f t="shared" si="27"/>
        <v>Sun</v>
      </c>
      <c r="K98" s="206"/>
      <c r="L98" s="203"/>
    </row>
    <row r="99" hidden="1" outlineLevel="2">
      <c r="A99" s="207" t="s">
        <v>194</v>
      </c>
      <c r="B99" s="209">
        <f>25+30+15+15+5+15</f>
        <v>105</v>
      </c>
      <c r="C99" s="209">
        <f t="shared" ref="C99:C106" si="28">SUM(D99:J99)</f>
        <v>106</v>
      </c>
      <c r="D99" s="211">
        <v>26.0</v>
      </c>
      <c r="E99" s="211">
        <v>30.0</v>
      </c>
      <c r="F99" s="211">
        <v>16.0</v>
      </c>
      <c r="G99" s="211">
        <v>14.0</v>
      </c>
      <c r="H99" s="212">
        <v>4.0</v>
      </c>
      <c r="I99" s="224" t="s">
        <v>92</v>
      </c>
      <c r="J99" s="224">
        <v>16.0</v>
      </c>
      <c r="K99" s="214">
        <f t="shared" ref="K99:K106" si="29">iferror(C99/B99,"-")</f>
        <v>1.00952381</v>
      </c>
      <c r="L99" s="219">
        <f t="shared" ref="L99:L106" si="30">(IF(K99="",(0),IF(K99&gt;=1,(5),IF(K99&gt;=0.9,(4),IF(K99&gt;=0.8,(3),IF(K99&gt;=0.69,(2),IF(K99&lt;=0.69,(1))))))))</f>
        <v>5</v>
      </c>
    </row>
    <row r="100" hidden="1" outlineLevel="2">
      <c r="A100" s="220" t="s">
        <v>118</v>
      </c>
      <c r="B100" s="221">
        <f>30+30+35+30+25+25</f>
        <v>175</v>
      </c>
      <c r="C100" s="221">
        <f t="shared" si="28"/>
        <v>166</v>
      </c>
      <c r="D100" s="211">
        <v>28.0</v>
      </c>
      <c r="E100" s="211">
        <v>31.0</v>
      </c>
      <c r="F100" s="211">
        <v>29.0</v>
      </c>
      <c r="G100" s="211">
        <v>32.0</v>
      </c>
      <c r="H100" s="212">
        <v>23.0</v>
      </c>
      <c r="I100" s="224" t="s">
        <v>92</v>
      </c>
      <c r="J100" s="224">
        <v>23.0</v>
      </c>
      <c r="K100" s="214">
        <f t="shared" si="29"/>
        <v>0.9485714286</v>
      </c>
      <c r="L100" s="219">
        <f t="shared" si="30"/>
        <v>4</v>
      </c>
    </row>
    <row r="101" hidden="1" outlineLevel="2">
      <c r="A101" s="207" t="s">
        <v>19</v>
      </c>
      <c r="B101" s="209">
        <f>25+35+30+35+30</f>
        <v>155</v>
      </c>
      <c r="C101" s="209">
        <f t="shared" si="28"/>
        <v>156</v>
      </c>
      <c r="D101" s="211">
        <v>23.0</v>
      </c>
      <c r="E101" s="224" t="s">
        <v>92</v>
      </c>
      <c r="F101" s="211">
        <v>35.0</v>
      </c>
      <c r="G101" s="211">
        <v>33.0</v>
      </c>
      <c r="H101" s="212">
        <v>35.0</v>
      </c>
      <c r="I101" s="224">
        <v>30.0</v>
      </c>
      <c r="J101" s="224" t="s">
        <v>92</v>
      </c>
      <c r="K101" s="214">
        <f t="shared" si="29"/>
        <v>1.006451613</v>
      </c>
      <c r="L101" s="219">
        <f t="shared" si="30"/>
        <v>5</v>
      </c>
    </row>
    <row r="102" hidden="1" outlineLevel="2">
      <c r="A102" s="220" t="s">
        <v>120</v>
      </c>
      <c r="B102" s="221">
        <f>30+20+30+25+30+2</f>
        <v>137</v>
      </c>
      <c r="C102" s="221">
        <f t="shared" si="28"/>
        <v>137</v>
      </c>
      <c r="D102" s="211">
        <v>30.0</v>
      </c>
      <c r="E102" s="211">
        <v>18.0</v>
      </c>
      <c r="F102" s="211">
        <v>35.0</v>
      </c>
      <c r="G102" s="211">
        <v>24.0</v>
      </c>
      <c r="H102" s="212">
        <v>28.0</v>
      </c>
      <c r="I102" s="224">
        <v>2.0</v>
      </c>
      <c r="J102" s="224" t="s">
        <v>92</v>
      </c>
      <c r="K102" s="214">
        <f t="shared" si="29"/>
        <v>1</v>
      </c>
      <c r="L102" s="219">
        <f t="shared" si="30"/>
        <v>5</v>
      </c>
    </row>
    <row r="103" hidden="1" outlineLevel="2">
      <c r="A103" s="222" t="s">
        <v>22</v>
      </c>
      <c r="B103" s="209">
        <f>25+30+35+25+15</f>
        <v>130</v>
      </c>
      <c r="C103" s="221">
        <f t="shared" si="28"/>
        <v>118</v>
      </c>
      <c r="D103" s="211">
        <v>22.0</v>
      </c>
      <c r="E103" s="211">
        <v>27.0</v>
      </c>
      <c r="F103" s="224" t="s">
        <v>92</v>
      </c>
      <c r="G103" s="224" t="s">
        <v>92</v>
      </c>
      <c r="H103" s="212">
        <v>35.0</v>
      </c>
      <c r="I103" s="224">
        <v>21.0</v>
      </c>
      <c r="J103" s="224">
        <v>13.0</v>
      </c>
      <c r="K103" s="214">
        <f t="shared" si="29"/>
        <v>0.9076923077</v>
      </c>
      <c r="L103" s="219">
        <f t="shared" si="30"/>
        <v>4</v>
      </c>
    </row>
    <row r="104" hidden="1" outlineLevel="2">
      <c r="A104" s="223" t="s">
        <v>129</v>
      </c>
      <c r="B104" s="209">
        <f>30+30+30+30+15</f>
        <v>135</v>
      </c>
      <c r="C104" s="209">
        <f t="shared" si="28"/>
        <v>137</v>
      </c>
      <c r="D104" s="211">
        <v>29.0</v>
      </c>
      <c r="E104" s="211">
        <v>33.0</v>
      </c>
      <c r="F104" s="211">
        <v>25.0</v>
      </c>
      <c r="G104" s="224" t="s">
        <v>92</v>
      </c>
      <c r="H104" s="224" t="s">
        <v>92</v>
      </c>
      <c r="I104" s="224">
        <v>33.0</v>
      </c>
      <c r="J104" s="224">
        <v>17.0</v>
      </c>
      <c r="K104" s="214">
        <f t="shared" si="29"/>
        <v>1.014814815</v>
      </c>
      <c r="L104" s="219">
        <f t="shared" si="30"/>
        <v>5</v>
      </c>
    </row>
    <row r="105" hidden="1" outlineLevel="2">
      <c r="A105" s="223" t="s">
        <v>216</v>
      </c>
      <c r="B105" s="209">
        <f>25*6</f>
        <v>150</v>
      </c>
      <c r="C105" s="209">
        <f t="shared" si="28"/>
        <v>131</v>
      </c>
      <c r="D105" s="211">
        <v>23.0</v>
      </c>
      <c r="E105" s="211">
        <v>21.0</v>
      </c>
      <c r="F105" s="211">
        <v>26.0</v>
      </c>
      <c r="G105" s="211">
        <v>21.0</v>
      </c>
      <c r="H105" s="212">
        <v>23.0</v>
      </c>
      <c r="I105" s="224">
        <v>17.0</v>
      </c>
      <c r="J105" s="224" t="s">
        <v>92</v>
      </c>
      <c r="K105" s="214">
        <f t="shared" si="29"/>
        <v>0.8733333333</v>
      </c>
      <c r="L105" s="219">
        <f t="shared" si="30"/>
        <v>3</v>
      </c>
    </row>
    <row r="106" hidden="1" outlineLevel="2">
      <c r="A106" s="223" t="s">
        <v>13</v>
      </c>
      <c r="B106" s="209">
        <f>15*6</f>
        <v>90</v>
      </c>
      <c r="C106" s="209">
        <f t="shared" si="28"/>
        <v>98</v>
      </c>
      <c r="D106" s="211">
        <v>15.0</v>
      </c>
      <c r="E106" s="211">
        <v>16.0</v>
      </c>
      <c r="F106" s="224" t="s">
        <v>92</v>
      </c>
      <c r="G106" s="211">
        <v>19.0</v>
      </c>
      <c r="H106" s="212">
        <v>17.0</v>
      </c>
      <c r="I106" s="224">
        <v>13.0</v>
      </c>
      <c r="J106" s="224">
        <v>18.0</v>
      </c>
      <c r="K106" s="214">
        <f t="shared" si="29"/>
        <v>1.088888889</v>
      </c>
      <c r="L106" s="219">
        <f t="shared" si="30"/>
        <v>5</v>
      </c>
    </row>
    <row r="107" hidden="1" outlineLevel="2"/>
    <row r="108" hidden="1" outlineLevel="2">
      <c r="A108" s="195" t="s">
        <v>135</v>
      </c>
    </row>
    <row r="109" hidden="1" outlineLevel="2">
      <c r="A109" s="196" t="s">
        <v>187</v>
      </c>
      <c r="B109" s="225" t="s">
        <v>218</v>
      </c>
      <c r="C109" s="225" t="s">
        <v>219</v>
      </c>
      <c r="D109" s="225" t="s">
        <v>139</v>
      </c>
      <c r="E109" s="225" t="s">
        <v>140</v>
      </c>
      <c r="F109" s="225" t="s">
        <v>141</v>
      </c>
      <c r="G109" s="226" t="s">
        <v>143</v>
      </c>
      <c r="H109" s="226" t="s">
        <v>221</v>
      </c>
    </row>
    <row r="110" hidden="1" outlineLevel="2">
      <c r="A110" s="202"/>
      <c r="B110" s="203"/>
      <c r="C110" s="227"/>
      <c r="D110" s="227"/>
      <c r="E110" s="227"/>
      <c r="F110" s="227"/>
      <c r="G110" s="227"/>
      <c r="H110" s="227"/>
    </row>
    <row r="111" hidden="1" outlineLevel="2">
      <c r="A111" s="207" t="s">
        <v>194</v>
      </c>
      <c r="B111" s="335">
        <v>108.0</v>
      </c>
      <c r="C111" s="335">
        <v>106.0</v>
      </c>
      <c r="D111" s="229">
        <f t="shared" ref="D111:D118" si="31">B111-C111</f>
        <v>2</v>
      </c>
      <c r="E111" s="230">
        <f t="shared" ref="E111:E118" si="32">IFERROR(C111/B111,"")</f>
        <v>0.9814814815</v>
      </c>
      <c r="F111" s="339">
        <v>0.0022569444444444442</v>
      </c>
      <c r="G111" s="240">
        <f t="shared" ref="G111:G118" si="33">IFERROR((IF(E111="",(0),IF(E111&gt;=0.98,(5),IF(E111&gt;=0.95,(4.5),IF(E111&gt;=0.9,(4),IF(E111&gt;=0.8,(3),IF(E111&lt;=0.69,(1)))))))),"")</f>
        <v>5</v>
      </c>
      <c r="H111" s="240">
        <f>ROUND(
IF(F111="",
0,
MAX(1, 5 - MAX(0, (F111 - TIME(0,4,0)) / TIME(0,1,0) * 0.5))
),
2
)
</f>
        <v>5</v>
      </c>
    </row>
    <row r="112" hidden="1" outlineLevel="2">
      <c r="A112" s="220" t="s">
        <v>118</v>
      </c>
      <c r="B112" s="341">
        <v>166.0</v>
      </c>
      <c r="C112" s="341">
        <v>165.0</v>
      </c>
      <c r="D112" s="342">
        <f t="shared" si="31"/>
        <v>1</v>
      </c>
      <c r="E112" s="254">
        <f t="shared" si="32"/>
        <v>0.9939759036</v>
      </c>
      <c r="F112" s="344">
        <v>0.004050925925925926</v>
      </c>
      <c r="G112" s="240">
        <f t="shared" si="33"/>
        <v>5</v>
      </c>
      <c r="H112" s="240">
        <f>ROUND(
IF(F112="",
0,
MAX(1, 5 - MAX(0, (F112 - TIME(0,6,0)) / TIME(0,1,0) * 0.5))
),
2
)
</f>
        <v>5</v>
      </c>
    </row>
    <row r="113" hidden="1" outlineLevel="2">
      <c r="A113" s="207" t="s">
        <v>19</v>
      </c>
      <c r="B113" s="341">
        <v>153.0</v>
      </c>
      <c r="C113" s="341">
        <v>151.0</v>
      </c>
      <c r="D113" s="342">
        <f t="shared" si="31"/>
        <v>2</v>
      </c>
      <c r="E113" s="254">
        <f t="shared" si="32"/>
        <v>0.9869281046</v>
      </c>
      <c r="F113" s="344">
        <v>0.0035185185185185185</v>
      </c>
      <c r="G113" s="240">
        <f t="shared" si="33"/>
        <v>5</v>
      </c>
      <c r="H113" s="240">
        <f>ROUND(
IF(F113="",
0,
MAX(1, 5 - MAX(0, (F113 - TIME(0,4,0)) / TIME(0,1,0) * 0.5))
),
2
)
</f>
        <v>4.47</v>
      </c>
    </row>
    <row r="114" hidden="1" outlineLevel="2">
      <c r="A114" s="220" t="s">
        <v>120</v>
      </c>
      <c r="B114" s="335">
        <v>138.0</v>
      </c>
      <c r="C114" s="335">
        <v>137.0</v>
      </c>
      <c r="D114" s="229">
        <f t="shared" si="31"/>
        <v>1</v>
      </c>
      <c r="E114" s="230">
        <f t="shared" si="32"/>
        <v>0.9927536232</v>
      </c>
      <c r="F114" s="339">
        <v>0.0032291666666666666</v>
      </c>
      <c r="G114" s="240">
        <f t="shared" si="33"/>
        <v>5</v>
      </c>
      <c r="H114" s="240">
        <f>ROUND(
IF(F114="",
0,
MAX(1, 5 - MAX(0, (F114 - TIME(0,6,0)) / TIME(0,1,0) * 0.5))
),
2
)
</f>
        <v>5</v>
      </c>
    </row>
    <row r="115" hidden="1" outlineLevel="2">
      <c r="A115" s="222" t="s">
        <v>22</v>
      </c>
      <c r="B115" s="335">
        <v>120.0</v>
      </c>
      <c r="C115" s="335">
        <v>118.0</v>
      </c>
      <c r="D115" s="229">
        <f t="shared" si="31"/>
        <v>2</v>
      </c>
      <c r="E115" s="230">
        <f t="shared" si="32"/>
        <v>0.9833333333</v>
      </c>
      <c r="F115" s="339">
        <v>0.002916666666666667</v>
      </c>
      <c r="G115" s="240">
        <f t="shared" si="33"/>
        <v>5</v>
      </c>
      <c r="H115" s="240">
        <f>ROUND(
IF(F115="",
0,
MAX(1, 5 - MAX(0, (F115 - TIME(0,4,0)) / TIME(0,1,0) * 0.5))
),
2
)
</f>
        <v>4.9</v>
      </c>
    </row>
    <row r="116" hidden="1" outlineLevel="2">
      <c r="A116" s="223" t="s">
        <v>129</v>
      </c>
      <c r="B116" s="341">
        <v>138.0</v>
      </c>
      <c r="C116" s="341">
        <v>137.0</v>
      </c>
      <c r="D116" s="342">
        <f t="shared" si="31"/>
        <v>1</v>
      </c>
      <c r="E116" s="254">
        <f t="shared" si="32"/>
        <v>0.9927536232</v>
      </c>
      <c r="F116" s="344">
        <v>0.0036574074074074074</v>
      </c>
      <c r="G116" s="240">
        <f t="shared" si="33"/>
        <v>5</v>
      </c>
      <c r="H116" s="240">
        <f t="shared" ref="H116:H117" si="34">ROUND(
IF(F116="",
0,
MAX(1, 5 - MAX(0, (F116 - TIME(0,6,0)) / TIME(0,1,0) * 0.5))
),
2
)
</f>
        <v>5</v>
      </c>
    </row>
    <row r="117" hidden="1" outlineLevel="2">
      <c r="A117" s="223" t="s">
        <v>216</v>
      </c>
      <c r="B117" s="335">
        <v>131.0</v>
      </c>
      <c r="C117" s="335">
        <v>131.0</v>
      </c>
      <c r="D117" s="229">
        <f t="shared" si="31"/>
        <v>0</v>
      </c>
      <c r="E117" s="230">
        <f t="shared" si="32"/>
        <v>1</v>
      </c>
      <c r="F117" s="339">
        <v>0.0043287037037037035</v>
      </c>
      <c r="G117" s="240">
        <f t="shared" si="33"/>
        <v>5</v>
      </c>
      <c r="H117" s="240">
        <f t="shared" si="34"/>
        <v>4.88</v>
      </c>
    </row>
    <row r="118" hidden="1" outlineLevel="2">
      <c r="A118" s="223" t="s">
        <v>13</v>
      </c>
      <c r="B118" s="341">
        <v>99.0</v>
      </c>
      <c r="C118" s="341">
        <v>98.0</v>
      </c>
      <c r="D118" s="342">
        <f t="shared" si="31"/>
        <v>1</v>
      </c>
      <c r="E118" s="254">
        <f t="shared" si="32"/>
        <v>0.9898989899</v>
      </c>
      <c r="F118" s="344">
        <v>0.0044907407407407405</v>
      </c>
      <c r="G118" s="240">
        <f t="shared" si="33"/>
        <v>5</v>
      </c>
      <c r="H118" s="240">
        <f>ROUND(
IF(F118="",
0,
MAX(1, 5 - MAX(0, (F118 - TIME(0,8,0)) / TIME(0,1,0) * 0.5))
),
2
)
</f>
        <v>5</v>
      </c>
    </row>
    <row r="119" hidden="1" outlineLevel="2"/>
    <row r="120" hidden="1" outlineLevel="2">
      <c r="A120" s="195" t="s">
        <v>239</v>
      </c>
    </row>
    <row r="121" hidden="1" outlineLevel="2">
      <c r="A121" s="260" t="s">
        <v>240</v>
      </c>
      <c r="B121" s="262" t="s">
        <v>241</v>
      </c>
      <c r="C121" s="264" t="s">
        <v>242</v>
      </c>
      <c r="D121" s="264" t="s">
        <v>243</v>
      </c>
      <c r="E121" s="265" t="s">
        <v>244</v>
      </c>
      <c r="F121" s="267" t="s">
        <v>247</v>
      </c>
      <c r="G121" s="268"/>
    </row>
    <row r="122" hidden="1" outlineLevel="2">
      <c r="A122" s="269" t="s">
        <v>25</v>
      </c>
      <c r="B122" s="271" t="str">
        <f t="shared" ref="B122:B129" si="35">(C122*0.3)+(D122*0.1)</f>
        <v>#REF!</v>
      </c>
      <c r="C122" s="272">
        <v>1.0</v>
      </c>
      <c r="D122" s="272" t="str">
        <f t="shared" ref="D122:D127" si="36">#REF!</f>
        <v>#REF!</v>
      </c>
      <c r="E122" s="273">
        <f t="shared" ref="E122:E129" si="37">(L99+G111+H111)/15*0.3</f>
        <v>0.3</v>
      </c>
      <c r="F122" s="274">
        <f t="shared" ref="F122:F129" si="38">(E122/30%)*10</f>
        <v>10</v>
      </c>
      <c r="G122" s="268"/>
      <c r="H122" s="268"/>
      <c r="I122" s="268"/>
      <c r="J122" s="268"/>
    </row>
    <row r="123" hidden="1" outlineLevel="2">
      <c r="A123" s="275" t="s">
        <v>4</v>
      </c>
      <c r="B123" s="276" t="str">
        <f t="shared" si="35"/>
        <v>#REF!</v>
      </c>
      <c r="C123" s="272">
        <v>1.0</v>
      </c>
      <c r="D123" s="272" t="str">
        <f t="shared" si="36"/>
        <v>#REF!</v>
      </c>
      <c r="E123" s="277">
        <f t="shared" si="37"/>
        <v>0.28</v>
      </c>
      <c r="F123" s="274">
        <f t="shared" si="38"/>
        <v>9.333333333</v>
      </c>
      <c r="G123" s="268"/>
      <c r="H123" s="268"/>
      <c r="I123" s="268"/>
      <c r="J123" s="268"/>
    </row>
    <row r="124" hidden="1" outlineLevel="2">
      <c r="A124" s="278" t="s">
        <v>19</v>
      </c>
      <c r="B124" s="279" t="str">
        <f t="shared" si="35"/>
        <v>#REF!</v>
      </c>
      <c r="C124" s="272">
        <v>0.5833</v>
      </c>
      <c r="D124" s="280" t="str">
        <f t="shared" si="36"/>
        <v>#REF!</v>
      </c>
      <c r="E124" s="281">
        <f t="shared" si="37"/>
        <v>0.2894</v>
      </c>
      <c r="F124" s="274">
        <f t="shared" si="38"/>
        <v>9.646666667</v>
      </c>
      <c r="G124" s="268"/>
      <c r="H124" s="268"/>
      <c r="I124" s="268"/>
      <c r="J124" s="268"/>
    </row>
    <row r="125" hidden="1" outlineLevel="2">
      <c r="A125" s="275" t="s">
        <v>30</v>
      </c>
      <c r="B125" s="276" t="str">
        <f t="shared" si="35"/>
        <v>#REF!</v>
      </c>
      <c r="C125" s="272">
        <v>0.6</v>
      </c>
      <c r="D125" s="280" t="str">
        <f t="shared" si="36"/>
        <v>#REF!</v>
      </c>
      <c r="E125" s="277">
        <f t="shared" si="37"/>
        <v>0.3</v>
      </c>
      <c r="F125" s="274">
        <f t="shared" si="38"/>
        <v>10</v>
      </c>
      <c r="G125" s="268"/>
      <c r="H125" s="268"/>
      <c r="I125" s="268"/>
      <c r="J125" s="268"/>
    </row>
    <row r="126" hidden="1" outlineLevel="2">
      <c r="A126" s="282" t="s">
        <v>31</v>
      </c>
      <c r="B126" s="279" t="str">
        <f t="shared" si="35"/>
        <v>#REF!</v>
      </c>
      <c r="C126" s="272">
        <v>1.0</v>
      </c>
      <c r="D126" s="280" t="str">
        <f t="shared" si="36"/>
        <v>#REF!</v>
      </c>
      <c r="E126" s="281">
        <f t="shared" si="37"/>
        <v>0.278</v>
      </c>
      <c r="F126" s="274">
        <f t="shared" si="38"/>
        <v>9.266666667</v>
      </c>
      <c r="G126" s="268"/>
      <c r="H126" s="268"/>
      <c r="I126" s="268"/>
      <c r="J126" s="268"/>
    </row>
    <row r="127" hidden="1" outlineLevel="2">
      <c r="A127" s="283" t="s">
        <v>129</v>
      </c>
      <c r="B127" s="276" t="str">
        <f t="shared" si="35"/>
        <v>#REF!</v>
      </c>
      <c r="C127" s="272">
        <v>1.0</v>
      </c>
      <c r="D127" s="280" t="str">
        <f t="shared" si="36"/>
        <v>#REF!</v>
      </c>
      <c r="E127" s="277">
        <f t="shared" si="37"/>
        <v>0.3</v>
      </c>
      <c r="F127" s="274">
        <f t="shared" si="38"/>
        <v>10</v>
      </c>
      <c r="G127" s="268"/>
      <c r="H127" s="268"/>
      <c r="I127" s="268"/>
      <c r="J127" s="268"/>
    </row>
    <row r="128" hidden="1" outlineLevel="2">
      <c r="A128" s="284" t="s">
        <v>216</v>
      </c>
      <c r="B128" s="279" t="str">
        <f t="shared" si="35"/>
        <v>#REF!</v>
      </c>
      <c r="C128" s="272">
        <v>0.56</v>
      </c>
      <c r="D128" s="280" t="str">
        <f>Faith!D90</f>
        <v>#REF!</v>
      </c>
      <c r="E128" s="281">
        <f t="shared" si="37"/>
        <v>0.2576</v>
      </c>
      <c r="F128" s="274">
        <f t="shared" si="38"/>
        <v>8.586666667</v>
      </c>
      <c r="G128" s="268"/>
      <c r="H128" s="268"/>
      <c r="I128" s="268"/>
      <c r="J128" s="268"/>
    </row>
    <row r="129" hidden="1" outlineLevel="2">
      <c r="A129" s="283" t="s">
        <v>13</v>
      </c>
      <c r="B129" s="276">
        <f t="shared" si="35"/>
        <v>0.3973333333</v>
      </c>
      <c r="C129" s="272">
        <v>1.0</v>
      </c>
      <c r="D129" s="280">
        <f>Lyra!D71</f>
        <v>0.9733333333</v>
      </c>
      <c r="E129" s="277">
        <f t="shared" si="37"/>
        <v>0.3</v>
      </c>
      <c r="F129" s="274">
        <f t="shared" si="38"/>
        <v>10</v>
      </c>
      <c r="G129" s="268"/>
      <c r="H129" s="268"/>
      <c r="I129" s="268"/>
      <c r="J129" s="268"/>
    </row>
    <row r="130" hidden="1" outlineLevel="2">
      <c r="A130" s="286"/>
      <c r="B130" s="286"/>
      <c r="C130" s="287"/>
      <c r="D130" s="288"/>
      <c r="E130" s="289"/>
      <c r="F130" s="268"/>
      <c r="G130" s="268"/>
      <c r="H130" s="268"/>
      <c r="I130" s="268"/>
      <c r="J130" s="268"/>
    </row>
    <row r="131" hidden="1" outlineLevel="2">
      <c r="A131" s="195" t="s">
        <v>269</v>
      </c>
      <c r="B131" s="286"/>
      <c r="C131" s="287"/>
      <c r="D131" s="288"/>
      <c r="E131" s="289"/>
      <c r="F131" s="268"/>
      <c r="G131" s="268"/>
      <c r="H131" s="268"/>
      <c r="I131" s="268"/>
      <c r="J131" s="268"/>
    </row>
    <row r="132" hidden="1" outlineLevel="2">
      <c r="A132" s="290" t="s">
        <v>240</v>
      </c>
      <c r="B132" s="291" t="s">
        <v>270</v>
      </c>
      <c r="C132" s="198">
        <v>46069.0</v>
      </c>
      <c r="D132" s="198">
        <v>46070.0</v>
      </c>
      <c r="E132" s="198">
        <v>46071.0</v>
      </c>
      <c r="F132" s="198">
        <v>46072.0</v>
      </c>
      <c r="G132" s="198">
        <v>46073.0</v>
      </c>
      <c r="H132" s="198">
        <v>46074.0</v>
      </c>
      <c r="I132" s="198">
        <v>46075.0</v>
      </c>
      <c r="J132" s="268"/>
    </row>
    <row r="133" hidden="1" outlineLevel="2">
      <c r="A133" s="325"/>
      <c r="B133" s="325"/>
      <c r="C133" s="205" t="s">
        <v>192</v>
      </c>
      <c r="D133" s="205" t="s">
        <v>272</v>
      </c>
      <c r="E133" s="205" t="s">
        <v>273</v>
      </c>
      <c r="F133" s="205" t="s">
        <v>274</v>
      </c>
      <c r="G133" s="205" t="s">
        <v>275</v>
      </c>
      <c r="H133" s="205" t="s">
        <v>276</v>
      </c>
      <c r="I133" s="205" t="s">
        <v>277</v>
      </c>
    </row>
    <row r="134" hidden="1" outlineLevel="2">
      <c r="A134" s="278" t="s">
        <v>25</v>
      </c>
      <c r="B134" s="293">
        <f t="shared" ref="B134:B141" si="39">Sum(C134:I134)</f>
        <v>8</v>
      </c>
      <c r="C134" s="297"/>
      <c r="D134" s="297"/>
      <c r="E134" s="297"/>
      <c r="F134" s="297"/>
      <c r="G134" s="296"/>
      <c r="H134" s="297"/>
      <c r="I134" s="296">
        <v>8.0</v>
      </c>
    </row>
    <row r="135" hidden="1" outlineLevel="2">
      <c r="A135" s="275" t="s">
        <v>4</v>
      </c>
      <c r="B135" s="293">
        <f t="shared" si="39"/>
        <v>12</v>
      </c>
      <c r="C135" s="295"/>
      <c r="D135" s="295">
        <v>2.0</v>
      </c>
      <c r="E135" s="295"/>
      <c r="F135" s="295">
        <v>2.0</v>
      </c>
      <c r="G135" s="295">
        <v>8.0</v>
      </c>
      <c r="H135" s="294"/>
      <c r="I135" s="295"/>
    </row>
    <row r="136" hidden="1" outlineLevel="2">
      <c r="A136" s="278" t="s">
        <v>19</v>
      </c>
      <c r="B136" s="293">
        <f t="shared" si="39"/>
        <v>6</v>
      </c>
      <c r="C136" s="296"/>
      <c r="D136" s="297"/>
      <c r="E136" s="296"/>
      <c r="F136" s="296">
        <v>2.0</v>
      </c>
      <c r="G136" s="296">
        <v>2.0</v>
      </c>
      <c r="H136" s="296">
        <v>2.0</v>
      </c>
      <c r="I136" s="297"/>
    </row>
    <row r="137" hidden="1" outlineLevel="2">
      <c r="A137" s="275" t="s">
        <v>30</v>
      </c>
      <c r="B137" s="293">
        <f t="shared" si="39"/>
        <v>14</v>
      </c>
      <c r="C137" s="295">
        <v>2.0</v>
      </c>
      <c r="D137" s="295"/>
      <c r="E137" s="295">
        <v>2.0</v>
      </c>
      <c r="F137" s="295"/>
      <c r="G137" s="295">
        <v>2.0</v>
      </c>
      <c r="H137" s="295">
        <v>8.0</v>
      </c>
      <c r="I137" s="294"/>
    </row>
    <row r="138" hidden="1" outlineLevel="2">
      <c r="A138" s="282" t="s">
        <v>31</v>
      </c>
      <c r="B138" s="293">
        <f t="shared" si="39"/>
        <v>6</v>
      </c>
      <c r="C138" s="296">
        <v>2.0</v>
      </c>
      <c r="D138" s="296">
        <v>2.0</v>
      </c>
      <c r="E138" s="296"/>
      <c r="F138" s="297"/>
      <c r="G138" s="296"/>
      <c r="H138" s="296">
        <v>2.0</v>
      </c>
      <c r="I138" s="297"/>
    </row>
    <row r="139" ht="16.5" hidden="1" customHeight="1" outlineLevel="2">
      <c r="A139" s="283" t="s">
        <v>129</v>
      </c>
      <c r="B139" s="293">
        <f t="shared" si="39"/>
        <v>6</v>
      </c>
      <c r="C139" s="295">
        <v>2.0</v>
      </c>
      <c r="D139" s="295">
        <v>2.0</v>
      </c>
      <c r="E139" s="295"/>
      <c r="F139" s="295"/>
      <c r="G139" s="294"/>
      <c r="H139" s="295">
        <v>2.0</v>
      </c>
      <c r="I139" s="294"/>
    </row>
    <row r="140" hidden="1" outlineLevel="2">
      <c r="A140" s="284" t="s">
        <v>216</v>
      </c>
      <c r="B140" s="293">
        <f t="shared" si="39"/>
        <v>10</v>
      </c>
      <c r="C140" s="297"/>
      <c r="D140" s="297"/>
      <c r="E140" s="297"/>
      <c r="F140" s="297"/>
      <c r="G140" s="296">
        <v>2.0</v>
      </c>
      <c r="H140" s="296">
        <v>8.0</v>
      </c>
      <c r="I140" s="297"/>
    </row>
    <row r="141" hidden="1" outlineLevel="2">
      <c r="A141" s="283" t="s">
        <v>13</v>
      </c>
      <c r="B141" s="293">
        <f t="shared" si="39"/>
        <v>8</v>
      </c>
      <c r="C141" s="294"/>
      <c r="D141" s="294"/>
      <c r="E141" s="294"/>
      <c r="F141" s="295">
        <v>8.0</v>
      </c>
      <c r="G141" s="295"/>
      <c r="H141" s="295"/>
      <c r="I141" s="294"/>
    </row>
    <row r="142" hidden="1" outlineLevel="2">
      <c r="A142" s="286"/>
      <c r="B142" s="286"/>
      <c r="C142" s="286"/>
      <c r="D142" s="286"/>
      <c r="E142" s="286"/>
      <c r="F142" s="286"/>
      <c r="G142" s="286"/>
      <c r="H142" s="286"/>
      <c r="I142" s="286"/>
    </row>
    <row r="143" hidden="1" outlineLevel="1">
      <c r="A143" s="192" t="s">
        <v>380</v>
      </c>
    </row>
    <row r="144" hidden="1" outlineLevel="1">
      <c r="A144" s="195" t="s">
        <v>186</v>
      </c>
    </row>
    <row r="145" hidden="1" outlineLevel="1">
      <c r="A145" s="196" t="s">
        <v>187</v>
      </c>
      <c r="B145" s="197" t="s">
        <v>77</v>
      </c>
      <c r="C145" s="197" t="s">
        <v>189</v>
      </c>
      <c r="D145" s="198">
        <v>46076.0</v>
      </c>
      <c r="E145" s="198">
        <v>46077.0</v>
      </c>
      <c r="F145" s="198">
        <v>46078.0</v>
      </c>
      <c r="G145" s="198">
        <v>46079.0</v>
      </c>
      <c r="H145" s="198">
        <v>46080.0</v>
      </c>
      <c r="I145" s="198">
        <v>46081.0</v>
      </c>
      <c r="J145" s="198">
        <v>46082.0</v>
      </c>
      <c r="K145" s="199" t="s">
        <v>190</v>
      </c>
      <c r="L145" s="201" t="s">
        <v>191</v>
      </c>
    </row>
    <row r="146" hidden="1" outlineLevel="1">
      <c r="A146" s="202"/>
      <c r="B146" s="203"/>
      <c r="C146" s="203"/>
      <c r="D146" s="205" t="s">
        <v>192</v>
      </c>
      <c r="E146" s="205" t="str">
        <f t="shared" ref="E146:J146" si="40">text(E145,"ddd")</f>
        <v>Tue</v>
      </c>
      <c r="F146" s="205" t="str">
        <f t="shared" si="40"/>
        <v>Wed</v>
      </c>
      <c r="G146" s="205" t="str">
        <f t="shared" si="40"/>
        <v>Thu</v>
      </c>
      <c r="H146" s="205" t="str">
        <f t="shared" si="40"/>
        <v>Fri</v>
      </c>
      <c r="I146" s="205" t="str">
        <f t="shared" si="40"/>
        <v>Sat</v>
      </c>
      <c r="J146" s="205" t="str">
        <f t="shared" si="40"/>
        <v>Sun</v>
      </c>
      <c r="K146" s="206"/>
      <c r="L146" s="203"/>
    </row>
    <row r="147" hidden="1" outlineLevel="1">
      <c r="A147" s="207" t="s">
        <v>194</v>
      </c>
      <c r="B147" s="209">
        <f>15+30+20+25+10+20</f>
        <v>120</v>
      </c>
      <c r="C147" s="209">
        <f t="shared" ref="C147:C153" si="41">SUM(D147:J147)</f>
        <v>118</v>
      </c>
      <c r="D147" s="211">
        <v>14.0</v>
      </c>
      <c r="E147" s="211">
        <v>29.0</v>
      </c>
      <c r="F147" s="211">
        <v>18.0</v>
      </c>
      <c r="G147" s="211">
        <v>25.0</v>
      </c>
      <c r="H147" s="212">
        <v>10.0</v>
      </c>
      <c r="I147" s="211" t="s">
        <v>92</v>
      </c>
      <c r="J147" s="224">
        <v>22.0</v>
      </c>
      <c r="K147" s="214">
        <f t="shared" ref="K147:K153" si="42">iferror(C147/B147,"-")</f>
        <v>0.9833333333</v>
      </c>
      <c r="L147" s="219">
        <f t="shared" ref="L147:L153" si="43">(IF(K147="",(0),IF(K147&gt;=1,(5),IF(K147&gt;=0.9,(4),IF(K147&gt;=0.8,(3),IF(K147&gt;=0.69,(2),IF(K147&lt;=0.69,(1))))))))</f>
        <v>4</v>
      </c>
    </row>
    <row r="148" hidden="1" outlineLevel="1">
      <c r="A148" s="220" t="s">
        <v>118</v>
      </c>
      <c r="B148" s="221">
        <f>30+30+25+25+10</f>
        <v>120</v>
      </c>
      <c r="C148" s="221">
        <f t="shared" si="41"/>
        <v>116</v>
      </c>
      <c r="D148" s="211">
        <v>23.0</v>
      </c>
      <c r="E148" s="211">
        <v>29.0</v>
      </c>
      <c r="F148" s="211">
        <v>27.0</v>
      </c>
      <c r="G148" s="211" t="s">
        <v>92</v>
      </c>
      <c r="H148" s="212">
        <v>26.0</v>
      </c>
      <c r="I148" s="211" t="s">
        <v>92</v>
      </c>
      <c r="J148" s="224">
        <v>11.0</v>
      </c>
      <c r="K148" s="214">
        <f t="shared" si="42"/>
        <v>0.9666666667</v>
      </c>
      <c r="L148" s="219">
        <f t="shared" si="43"/>
        <v>4</v>
      </c>
    </row>
    <row r="149" hidden="1" outlineLevel="1">
      <c r="A149" s="207" t="s">
        <v>19</v>
      </c>
      <c r="B149" s="209">
        <f>25+25+30+35+40</f>
        <v>155</v>
      </c>
      <c r="C149" s="209">
        <f t="shared" si="41"/>
        <v>143</v>
      </c>
      <c r="D149" s="211">
        <v>20.0</v>
      </c>
      <c r="E149" s="211" t="s">
        <v>92</v>
      </c>
      <c r="F149" s="211">
        <v>25.0</v>
      </c>
      <c r="G149" s="211">
        <v>26.0</v>
      </c>
      <c r="H149" s="212">
        <v>33.0</v>
      </c>
      <c r="I149" s="224">
        <v>39.0</v>
      </c>
      <c r="J149" s="211" t="s">
        <v>92</v>
      </c>
      <c r="K149" s="214">
        <f t="shared" si="42"/>
        <v>0.9225806452</v>
      </c>
      <c r="L149" s="219">
        <f t="shared" si="43"/>
        <v>4</v>
      </c>
    </row>
    <row r="150" hidden="1" outlineLevel="1">
      <c r="A150" s="220" t="s">
        <v>120</v>
      </c>
      <c r="B150" s="221">
        <f>30+15+25+20+30+3</f>
        <v>123</v>
      </c>
      <c r="C150" s="221">
        <f t="shared" si="41"/>
        <v>123</v>
      </c>
      <c r="D150" s="211">
        <v>33.0</v>
      </c>
      <c r="E150" s="211">
        <v>14.0</v>
      </c>
      <c r="F150" s="211">
        <v>22.0</v>
      </c>
      <c r="G150" s="211">
        <v>19.0</v>
      </c>
      <c r="H150" s="212">
        <v>32.0</v>
      </c>
      <c r="I150" s="224">
        <v>3.0</v>
      </c>
      <c r="J150" s="211" t="s">
        <v>92</v>
      </c>
      <c r="K150" s="214">
        <f t="shared" si="42"/>
        <v>1</v>
      </c>
      <c r="L150" s="219">
        <f t="shared" si="43"/>
        <v>5</v>
      </c>
    </row>
    <row r="151" hidden="1" outlineLevel="1">
      <c r="A151" s="222" t="s">
        <v>22</v>
      </c>
      <c r="B151" s="209">
        <f>30+25+25+20+25+15</f>
        <v>140</v>
      </c>
      <c r="C151" s="221">
        <f t="shared" si="41"/>
        <v>141</v>
      </c>
      <c r="D151" s="211">
        <v>32.0</v>
      </c>
      <c r="E151" s="211">
        <v>22.0</v>
      </c>
      <c r="F151" s="224">
        <v>25.0</v>
      </c>
      <c r="G151" s="211" t="s">
        <v>92</v>
      </c>
      <c r="H151" s="212">
        <v>20.0</v>
      </c>
      <c r="I151" s="224">
        <v>27.0</v>
      </c>
      <c r="J151" s="224">
        <v>15.0</v>
      </c>
      <c r="K151" s="214">
        <f t="shared" si="42"/>
        <v>1.007142857</v>
      </c>
      <c r="L151" s="219">
        <f t="shared" si="43"/>
        <v>5</v>
      </c>
    </row>
    <row r="152" hidden="1" outlineLevel="1">
      <c r="A152" s="223" t="s">
        <v>129</v>
      </c>
      <c r="B152" s="209">
        <f>30+25+25+25+30+10</f>
        <v>145</v>
      </c>
      <c r="C152" s="209">
        <f t="shared" si="41"/>
        <v>142</v>
      </c>
      <c r="D152" s="211">
        <v>30.0</v>
      </c>
      <c r="E152" s="211">
        <v>20.0</v>
      </c>
      <c r="F152" s="211">
        <v>24.0</v>
      </c>
      <c r="G152" s="224">
        <v>27.0</v>
      </c>
      <c r="H152" s="211" t="s">
        <v>92</v>
      </c>
      <c r="I152" s="224">
        <v>30.0</v>
      </c>
      <c r="J152" s="224">
        <v>11.0</v>
      </c>
      <c r="K152" s="214">
        <f t="shared" si="42"/>
        <v>0.9793103448</v>
      </c>
      <c r="L152" s="219">
        <f t="shared" si="43"/>
        <v>4</v>
      </c>
    </row>
    <row r="153" hidden="1" outlineLevel="1">
      <c r="A153" s="223" t="s">
        <v>13</v>
      </c>
      <c r="B153" s="209">
        <f>15*6</f>
        <v>90</v>
      </c>
      <c r="C153" s="209">
        <f t="shared" si="41"/>
        <v>100</v>
      </c>
      <c r="D153" s="211">
        <v>20.0</v>
      </c>
      <c r="E153" s="211">
        <v>15.0</v>
      </c>
      <c r="F153" s="211" t="s">
        <v>92</v>
      </c>
      <c r="G153" s="211">
        <v>14.0</v>
      </c>
      <c r="H153" s="212">
        <v>18.0</v>
      </c>
      <c r="I153" s="224">
        <v>16.0</v>
      </c>
      <c r="J153" s="224">
        <v>17.0</v>
      </c>
      <c r="K153" s="214">
        <f t="shared" si="42"/>
        <v>1.111111111</v>
      </c>
      <c r="L153" s="219">
        <f t="shared" si="43"/>
        <v>5</v>
      </c>
    </row>
    <row r="154" hidden="1" outlineLevel="1"/>
    <row r="155" hidden="1" outlineLevel="1">
      <c r="A155" s="195" t="s">
        <v>135</v>
      </c>
      <c r="I155" s="195"/>
    </row>
    <row r="156" hidden="1" outlineLevel="1">
      <c r="A156" s="196" t="s">
        <v>187</v>
      </c>
      <c r="B156" s="225" t="s">
        <v>218</v>
      </c>
      <c r="C156" s="225" t="s">
        <v>219</v>
      </c>
      <c r="D156" s="225" t="s">
        <v>139</v>
      </c>
      <c r="E156" s="225" t="s">
        <v>140</v>
      </c>
      <c r="F156" s="225" t="s">
        <v>141</v>
      </c>
      <c r="G156" s="226" t="s">
        <v>143</v>
      </c>
      <c r="H156" s="226" t="s">
        <v>221</v>
      </c>
    </row>
    <row r="157" hidden="1" outlineLevel="1">
      <c r="A157" s="202"/>
      <c r="B157" s="203"/>
      <c r="C157" s="227"/>
      <c r="D157" s="227"/>
      <c r="E157" s="227"/>
      <c r="F157" s="227"/>
      <c r="G157" s="227"/>
      <c r="H157" s="227"/>
    </row>
    <row r="158" hidden="1" outlineLevel="1">
      <c r="A158" s="207" t="s">
        <v>194</v>
      </c>
      <c r="B158" s="335">
        <v>121.0</v>
      </c>
      <c r="C158" s="335">
        <v>118.0</v>
      </c>
      <c r="D158" s="229">
        <f t="shared" ref="D158:D164" si="44">B158-C158</f>
        <v>3</v>
      </c>
      <c r="E158" s="230">
        <f t="shared" ref="E158:E164" si="45">IFERROR(C158/B158,"")</f>
        <v>0.9752066116</v>
      </c>
      <c r="F158" s="339">
        <v>0.0021875</v>
      </c>
      <c r="G158" s="240">
        <f t="shared" ref="G158:G164" si="46">IFERROR((IF(E158="",(0),IF(E158&gt;=0.98,(5),IF(E158&gt;=0.95,(4.5),IF(E158&gt;=0.9,(4),IF(E158&gt;=0.8,(3),IF(E158&lt;=0.69,(1)))))))),"")</f>
        <v>4.5</v>
      </c>
      <c r="H158" s="240">
        <f>ROUND(
IF(F158="",
0,
MAX(1, 5 - MAX(0, (F158 - TIME(0,4,0)) / TIME(0,1,0) * 0.5))
),
2
)
</f>
        <v>5</v>
      </c>
    </row>
    <row r="159" hidden="1" outlineLevel="1">
      <c r="A159" s="220" t="s">
        <v>118</v>
      </c>
      <c r="B159" s="341">
        <v>116.0</v>
      </c>
      <c r="C159" s="341">
        <v>116.0</v>
      </c>
      <c r="D159" s="342">
        <f t="shared" si="44"/>
        <v>0</v>
      </c>
      <c r="E159" s="254">
        <f t="shared" si="45"/>
        <v>1</v>
      </c>
      <c r="F159" s="344">
        <v>0.004375</v>
      </c>
      <c r="G159" s="240">
        <f t="shared" si="46"/>
        <v>5</v>
      </c>
      <c r="H159" s="240">
        <f>ROUND(
IF(F159="",
0,
MAX(1, 5 - MAX(0, (F159 - TIME(0,7,0)) / TIME(0,1,0) * 0.5))
),
2
)
</f>
        <v>5</v>
      </c>
    </row>
    <row r="160" hidden="1" outlineLevel="1">
      <c r="A160" s="207" t="s">
        <v>19</v>
      </c>
      <c r="B160" s="341">
        <v>145.0</v>
      </c>
      <c r="C160" s="341">
        <v>140.0</v>
      </c>
      <c r="D160" s="342">
        <f t="shared" si="44"/>
        <v>5</v>
      </c>
      <c r="E160" s="254">
        <f t="shared" si="45"/>
        <v>0.9655172414</v>
      </c>
      <c r="F160" s="344">
        <v>0.0038773148148148148</v>
      </c>
      <c r="G160" s="240">
        <f t="shared" si="46"/>
        <v>4.5</v>
      </c>
      <c r="H160" s="240">
        <f>ROUND(
IF(F160="",
0,
MAX(1, 5 - MAX(0, (F160 - TIME(0,4,0)) / TIME(0,1,0) * 0.5))
),
2
)
</f>
        <v>4.21</v>
      </c>
    </row>
    <row r="161" hidden="1" outlineLevel="1">
      <c r="A161" s="220" t="s">
        <v>120</v>
      </c>
      <c r="B161" s="335">
        <v>127.0</v>
      </c>
      <c r="C161" s="335">
        <v>123.0</v>
      </c>
      <c r="D161" s="229">
        <f t="shared" si="44"/>
        <v>4</v>
      </c>
      <c r="E161" s="230">
        <f t="shared" si="45"/>
        <v>0.968503937</v>
      </c>
      <c r="F161" s="339">
        <v>0.003472222222222222</v>
      </c>
      <c r="G161" s="240">
        <f t="shared" si="46"/>
        <v>4.5</v>
      </c>
      <c r="H161" s="240">
        <f>ROUND(
IF(F161="",
0,
MAX(1, 5 - MAX(0, (F161 - TIME(0,7,0)) / TIME(0,1,0) * 0.5))
),
2
)
</f>
        <v>5</v>
      </c>
    </row>
    <row r="162" hidden="1" outlineLevel="1">
      <c r="A162" s="222" t="s">
        <v>22</v>
      </c>
      <c r="B162" s="335">
        <v>147.0</v>
      </c>
      <c r="C162" s="335">
        <v>141.0</v>
      </c>
      <c r="D162" s="229">
        <f t="shared" si="44"/>
        <v>6</v>
      </c>
      <c r="E162" s="230">
        <f t="shared" si="45"/>
        <v>0.9591836735</v>
      </c>
      <c r="F162" s="339">
        <v>0.002685185185185185</v>
      </c>
      <c r="G162" s="240">
        <f t="shared" si="46"/>
        <v>4.5</v>
      </c>
      <c r="H162" s="240">
        <f>ROUND(
IF(F162="",
0,
MAX(1, 5 - MAX(0, (F162 - TIME(0,4,0)) / TIME(0,1,0) * 0.5))
),
2
)
</f>
        <v>5</v>
      </c>
    </row>
    <row r="163" hidden="1" outlineLevel="1">
      <c r="A163" s="223" t="s">
        <v>129</v>
      </c>
      <c r="B163" s="341">
        <v>150.0</v>
      </c>
      <c r="C163" s="341">
        <v>149.0</v>
      </c>
      <c r="D163" s="342">
        <f t="shared" si="44"/>
        <v>1</v>
      </c>
      <c r="E163" s="254">
        <f t="shared" si="45"/>
        <v>0.9933333333</v>
      </c>
      <c r="F163" s="344">
        <v>0.003703703703703704</v>
      </c>
      <c r="G163" s="240">
        <f t="shared" si="46"/>
        <v>5</v>
      </c>
      <c r="H163" s="240">
        <f>ROUND(
IF(F163="",
0,
MAX(1, 5 - MAX(0, (F163 - TIME(0,7,0)) / TIME(0,1,0) * 0.5))
),
2
)
</f>
        <v>5</v>
      </c>
    </row>
    <row r="164" hidden="1" outlineLevel="1">
      <c r="A164" s="223" t="s">
        <v>13</v>
      </c>
      <c r="B164" s="335">
        <v>102.0</v>
      </c>
      <c r="C164" s="335">
        <v>100.0</v>
      </c>
      <c r="D164" s="229">
        <f t="shared" si="44"/>
        <v>2</v>
      </c>
      <c r="E164" s="230">
        <f t="shared" si="45"/>
        <v>0.9803921569</v>
      </c>
      <c r="F164" s="339">
        <v>0.005011574074074074</v>
      </c>
      <c r="G164" s="240">
        <f t="shared" si="46"/>
        <v>5</v>
      </c>
      <c r="H164" s="240">
        <f>ROUND(
IF(F164="",
0,
MAX(1, 5 - MAX(0, (F164 - TIME(0,8,0)) / TIME(0,1,0) * 0.5))
),
2
)
</f>
        <v>5</v>
      </c>
    </row>
    <row r="165" hidden="1" outlineLevel="1"/>
    <row r="166" hidden="1" outlineLevel="1">
      <c r="A166" s="195" t="s">
        <v>239</v>
      </c>
    </row>
    <row r="167" hidden="1" outlineLevel="1">
      <c r="A167" s="260" t="s">
        <v>240</v>
      </c>
      <c r="B167" s="262" t="s">
        <v>241</v>
      </c>
      <c r="C167" s="264" t="s">
        <v>242</v>
      </c>
      <c r="D167" s="264" t="s">
        <v>243</v>
      </c>
      <c r="E167" s="265" t="s">
        <v>244</v>
      </c>
      <c r="F167" s="267" t="s">
        <v>247</v>
      </c>
      <c r="G167" s="268"/>
    </row>
    <row r="168" hidden="1" outlineLevel="1">
      <c r="A168" s="269" t="s">
        <v>25</v>
      </c>
      <c r="B168" s="271" t="str">
        <f t="shared" ref="B168:B174" si="47">(C168*0.3)+(D168*0.1)</f>
        <v>#REF!</v>
      </c>
      <c r="C168" s="272">
        <v>1.0</v>
      </c>
      <c r="D168" s="272" t="str">
        <f t="shared" ref="D168:D173" si="48">#REF!</f>
        <v>#REF!</v>
      </c>
      <c r="E168" s="273">
        <f t="shared" ref="E168:E174" si="49">(L147+G158+H158)/15*0.3</f>
        <v>0.27</v>
      </c>
      <c r="F168" s="274">
        <f t="shared" ref="F168:F174" si="50">(E168/30%)*10</f>
        <v>9</v>
      </c>
      <c r="G168" s="268"/>
      <c r="H168" s="268"/>
      <c r="I168" s="268"/>
      <c r="J168" s="268"/>
    </row>
    <row r="169" hidden="1" outlineLevel="1">
      <c r="A169" s="275" t="s">
        <v>4</v>
      </c>
      <c r="B169" s="276" t="str">
        <f t="shared" si="47"/>
        <v>#REF!</v>
      </c>
      <c r="C169" s="272">
        <v>1.0</v>
      </c>
      <c r="D169" s="272" t="str">
        <f t="shared" si="48"/>
        <v>#REF!</v>
      </c>
      <c r="E169" s="277">
        <f t="shared" si="49"/>
        <v>0.28</v>
      </c>
      <c r="F169" s="274">
        <f t="shared" si="50"/>
        <v>9.333333333</v>
      </c>
      <c r="G169" s="268"/>
      <c r="H169" s="268"/>
      <c r="I169" s="268"/>
      <c r="J169" s="268"/>
    </row>
    <row r="170" hidden="1" outlineLevel="1">
      <c r="A170" s="278" t="s">
        <v>19</v>
      </c>
      <c r="B170" s="279" t="str">
        <f t="shared" si="47"/>
        <v>#REF!</v>
      </c>
      <c r="C170" s="272">
        <v>0.6833</v>
      </c>
      <c r="D170" s="280" t="str">
        <f t="shared" si="48"/>
        <v>#REF!</v>
      </c>
      <c r="E170" s="281">
        <f t="shared" si="49"/>
        <v>0.2542</v>
      </c>
      <c r="F170" s="274">
        <f t="shared" si="50"/>
        <v>8.473333333</v>
      </c>
      <c r="G170" s="268"/>
      <c r="H170" s="268"/>
      <c r="I170" s="268"/>
      <c r="J170" s="268"/>
    </row>
    <row r="171" hidden="1" outlineLevel="1">
      <c r="A171" s="275" t="s">
        <v>30</v>
      </c>
      <c r="B171" s="276" t="str">
        <f t="shared" si="47"/>
        <v>#REF!</v>
      </c>
      <c r="C171" s="272">
        <v>1.0</v>
      </c>
      <c r="D171" s="280" t="str">
        <f t="shared" si="48"/>
        <v>#REF!</v>
      </c>
      <c r="E171" s="277">
        <f t="shared" si="49"/>
        <v>0.29</v>
      </c>
      <c r="F171" s="274">
        <f t="shared" si="50"/>
        <v>9.666666667</v>
      </c>
      <c r="G171" s="268"/>
      <c r="H171" s="268"/>
      <c r="I171" s="268"/>
      <c r="J171" s="268"/>
    </row>
    <row r="172" hidden="1" outlineLevel="1">
      <c r="A172" s="282" t="s">
        <v>31</v>
      </c>
      <c r="B172" s="279" t="str">
        <f t="shared" si="47"/>
        <v>#REF!</v>
      </c>
      <c r="C172" s="272">
        <v>1.0</v>
      </c>
      <c r="D172" s="280" t="str">
        <f t="shared" si="48"/>
        <v>#REF!</v>
      </c>
      <c r="E172" s="281">
        <f t="shared" si="49"/>
        <v>0.29</v>
      </c>
      <c r="F172" s="274">
        <f t="shared" si="50"/>
        <v>9.666666667</v>
      </c>
      <c r="G172" s="268"/>
      <c r="H172" s="268"/>
      <c r="I172" s="268"/>
      <c r="J172" s="268"/>
    </row>
    <row r="173" hidden="1" outlineLevel="1">
      <c r="A173" s="283" t="s">
        <v>129</v>
      </c>
      <c r="B173" s="276" t="str">
        <f t="shared" si="47"/>
        <v>#REF!</v>
      </c>
      <c r="C173" s="272">
        <v>1.0</v>
      </c>
      <c r="D173" s="280" t="str">
        <f t="shared" si="48"/>
        <v>#REF!</v>
      </c>
      <c r="E173" s="277">
        <f t="shared" si="49"/>
        <v>0.28</v>
      </c>
      <c r="F173" s="274">
        <f t="shared" si="50"/>
        <v>9.333333333</v>
      </c>
      <c r="G173" s="268"/>
      <c r="H173" s="268"/>
      <c r="I173" s="268"/>
      <c r="J173" s="268"/>
    </row>
    <row r="174" hidden="1" outlineLevel="1">
      <c r="A174" s="284" t="s">
        <v>13</v>
      </c>
      <c r="B174" s="279">
        <f t="shared" si="47"/>
        <v>0.3446666667</v>
      </c>
      <c r="C174" s="272">
        <v>0.85</v>
      </c>
      <c r="D174" s="280">
        <f>Lyra!D89</f>
        <v>0.8966666667</v>
      </c>
      <c r="E174" s="281">
        <f t="shared" si="49"/>
        <v>0.3</v>
      </c>
      <c r="F174" s="274">
        <f t="shared" si="50"/>
        <v>10</v>
      </c>
      <c r="G174" s="268"/>
      <c r="H174" s="268"/>
      <c r="I174" s="268"/>
      <c r="J174" s="268"/>
    </row>
    <row r="175" hidden="1" outlineLevel="1">
      <c r="A175" s="283"/>
      <c r="B175" s="276"/>
      <c r="C175" s="272"/>
      <c r="D175" s="280"/>
      <c r="E175" s="277"/>
      <c r="F175" s="274"/>
      <c r="G175" s="268"/>
      <c r="H175" s="268"/>
      <c r="I175" s="268"/>
      <c r="J175" s="268"/>
    </row>
    <row r="176" hidden="1" outlineLevel="1">
      <c r="A176" s="286"/>
      <c r="B176" s="286"/>
      <c r="C176" s="287"/>
      <c r="D176" s="288"/>
      <c r="E176" s="289"/>
      <c r="F176" s="268"/>
      <c r="G176" s="268"/>
      <c r="H176" s="268"/>
      <c r="I176" s="268"/>
      <c r="J176" s="268"/>
    </row>
    <row r="177" hidden="1" outlineLevel="1">
      <c r="A177" s="195" t="s">
        <v>269</v>
      </c>
      <c r="B177" s="286"/>
      <c r="C177" s="287"/>
      <c r="D177" s="288"/>
      <c r="E177" s="289"/>
      <c r="F177" s="268"/>
      <c r="G177" s="268"/>
      <c r="H177" s="268"/>
      <c r="I177" s="268"/>
      <c r="J177" s="268"/>
    </row>
    <row r="178" hidden="1" outlineLevel="1">
      <c r="A178" s="290" t="s">
        <v>240</v>
      </c>
      <c r="B178" s="291" t="s">
        <v>270</v>
      </c>
      <c r="C178" s="198">
        <v>46076.0</v>
      </c>
      <c r="D178" s="198">
        <v>46077.0</v>
      </c>
      <c r="E178" s="198">
        <v>46078.0</v>
      </c>
      <c r="F178" s="198">
        <v>46079.0</v>
      </c>
      <c r="G178" s="198">
        <v>46080.0</v>
      </c>
      <c r="H178" s="198">
        <v>46081.0</v>
      </c>
      <c r="I178" s="198">
        <v>46082.0</v>
      </c>
      <c r="J178" s="268"/>
    </row>
    <row r="179" hidden="1" outlineLevel="1">
      <c r="A179" s="325"/>
      <c r="B179" s="325"/>
      <c r="C179" s="205" t="s">
        <v>192</v>
      </c>
      <c r="D179" s="205" t="s">
        <v>272</v>
      </c>
      <c r="E179" s="205" t="s">
        <v>273</v>
      </c>
      <c r="F179" s="205" t="s">
        <v>274</v>
      </c>
      <c r="G179" s="205" t="s">
        <v>275</v>
      </c>
      <c r="H179" s="205" t="s">
        <v>276</v>
      </c>
      <c r="I179" s="205" t="s">
        <v>277</v>
      </c>
    </row>
    <row r="180" hidden="1" outlineLevel="1">
      <c r="A180" s="278" t="s">
        <v>25</v>
      </c>
      <c r="B180" s="293">
        <f t="shared" ref="B180:B186" si="51">Sum(C180:I180)</f>
        <v>8</v>
      </c>
      <c r="C180" s="297"/>
      <c r="D180" s="297"/>
      <c r="E180" s="297"/>
      <c r="F180" s="297"/>
      <c r="G180" s="296">
        <v>8.0</v>
      </c>
      <c r="H180" s="297"/>
      <c r="I180" s="296"/>
    </row>
    <row r="181" hidden="1" outlineLevel="1">
      <c r="A181" s="275" t="s">
        <v>4</v>
      </c>
      <c r="B181" s="293">
        <f t="shared" si="51"/>
        <v>4</v>
      </c>
      <c r="C181" s="295"/>
      <c r="D181" s="295">
        <v>2.0</v>
      </c>
      <c r="E181" s="295"/>
      <c r="F181" s="295"/>
      <c r="G181" s="295">
        <v>2.0</v>
      </c>
      <c r="H181" s="294"/>
      <c r="I181" s="295"/>
    </row>
    <row r="182" hidden="1" outlineLevel="1">
      <c r="A182" s="278" t="s">
        <v>19</v>
      </c>
      <c r="B182" s="293">
        <f t="shared" si="51"/>
        <v>6</v>
      </c>
      <c r="C182" s="296"/>
      <c r="D182" s="297"/>
      <c r="E182" s="296"/>
      <c r="F182" s="296">
        <v>2.0</v>
      </c>
      <c r="G182" s="296">
        <v>2.0</v>
      </c>
      <c r="H182" s="296">
        <v>2.0</v>
      </c>
      <c r="I182" s="297"/>
    </row>
    <row r="183" hidden="1" outlineLevel="1">
      <c r="A183" s="275" t="s">
        <v>30</v>
      </c>
      <c r="B183" s="293">
        <f t="shared" si="51"/>
        <v>12</v>
      </c>
      <c r="C183" s="295">
        <v>2.0</v>
      </c>
      <c r="D183" s="295"/>
      <c r="E183" s="295"/>
      <c r="F183" s="295"/>
      <c r="G183" s="295">
        <v>2.0</v>
      </c>
      <c r="H183" s="295">
        <v>8.0</v>
      </c>
      <c r="I183" s="294"/>
    </row>
    <row r="184" hidden="1" outlineLevel="1">
      <c r="A184" s="282" t="s">
        <v>31</v>
      </c>
      <c r="B184" s="293">
        <f t="shared" si="51"/>
        <v>14</v>
      </c>
      <c r="C184" s="296">
        <v>2.0</v>
      </c>
      <c r="D184" s="296"/>
      <c r="E184" s="296">
        <v>2.0</v>
      </c>
      <c r="F184" s="297"/>
      <c r="G184" s="296">
        <v>2.0</v>
      </c>
      <c r="H184" s="296">
        <v>8.0</v>
      </c>
      <c r="I184" s="297"/>
    </row>
    <row r="185" ht="16.5" hidden="1" customHeight="1" outlineLevel="1">
      <c r="A185" s="283" t="s">
        <v>129</v>
      </c>
      <c r="B185" s="293">
        <f t="shared" si="51"/>
        <v>6</v>
      </c>
      <c r="C185" s="295">
        <v>2.0</v>
      </c>
      <c r="D185" s="295"/>
      <c r="E185" s="295"/>
      <c r="F185" s="295">
        <v>2.0</v>
      </c>
      <c r="G185" s="294"/>
      <c r="H185" s="295">
        <v>2.0</v>
      </c>
      <c r="I185" s="294"/>
    </row>
    <row r="186" hidden="1" outlineLevel="1">
      <c r="A186" s="284" t="s">
        <v>13</v>
      </c>
      <c r="B186" s="293">
        <f t="shared" si="51"/>
        <v>8</v>
      </c>
      <c r="C186" s="297"/>
      <c r="D186" s="297"/>
      <c r="E186" s="297"/>
      <c r="F186" s="296">
        <v>8.0</v>
      </c>
      <c r="G186" s="296"/>
      <c r="H186" s="296"/>
      <c r="I186" s="297"/>
    </row>
    <row r="187" hidden="1" outlineLevel="1">
      <c r="A187" s="283"/>
      <c r="B187" s="293"/>
      <c r="C187" s="294"/>
      <c r="D187" s="294"/>
      <c r="E187" s="294"/>
      <c r="F187" s="294"/>
      <c r="G187" s="295"/>
      <c r="H187" s="295"/>
      <c r="I187" s="294"/>
    </row>
    <row r="188" hidden="1" outlineLevel="1">
      <c r="A188" s="286"/>
      <c r="B188" s="286"/>
      <c r="C188" s="286"/>
      <c r="D188" s="286"/>
      <c r="E188" s="286"/>
      <c r="F188" s="286"/>
      <c r="G188" s="286"/>
      <c r="H188" s="286"/>
      <c r="I188" s="286"/>
    </row>
    <row r="189" collapsed="1">
      <c r="A189" s="190">
        <v>46082.0</v>
      </c>
    </row>
    <row r="190" hidden="1" outlineLevel="1" collapsed="1">
      <c r="A190" s="192" t="s">
        <v>421</v>
      </c>
    </row>
    <row r="191" hidden="1" outlineLevel="2">
      <c r="A191" s="195" t="s">
        <v>186</v>
      </c>
    </row>
    <row r="192" hidden="1" outlineLevel="2">
      <c r="A192" s="196" t="s">
        <v>187</v>
      </c>
      <c r="B192" s="197" t="s">
        <v>77</v>
      </c>
      <c r="C192" s="197" t="s">
        <v>189</v>
      </c>
      <c r="D192" s="198">
        <v>46083.0</v>
      </c>
      <c r="E192" s="198">
        <v>46084.0</v>
      </c>
      <c r="F192" s="198">
        <v>46085.0</v>
      </c>
      <c r="G192" s="198">
        <v>46086.0</v>
      </c>
      <c r="H192" s="198">
        <v>46087.0</v>
      </c>
      <c r="I192" s="198">
        <v>46088.0</v>
      </c>
      <c r="J192" s="198">
        <v>46089.0</v>
      </c>
      <c r="K192" s="199" t="s">
        <v>190</v>
      </c>
      <c r="L192" s="201" t="s">
        <v>191</v>
      </c>
    </row>
    <row r="193" hidden="1" outlineLevel="2">
      <c r="A193" s="202"/>
      <c r="B193" s="203"/>
      <c r="C193" s="203"/>
      <c r="D193" s="205" t="s">
        <v>192</v>
      </c>
      <c r="E193" s="205" t="str">
        <f t="shared" ref="E193:J193" si="52">text(E192,"ddd")</f>
        <v>Tue</v>
      </c>
      <c r="F193" s="205" t="str">
        <f t="shared" si="52"/>
        <v>Wed</v>
      </c>
      <c r="G193" s="205" t="str">
        <f t="shared" si="52"/>
        <v>Thu</v>
      </c>
      <c r="H193" s="205" t="str">
        <f t="shared" si="52"/>
        <v>Fri</v>
      </c>
      <c r="I193" s="205" t="str">
        <f t="shared" si="52"/>
        <v>Sat</v>
      </c>
      <c r="J193" s="205" t="str">
        <f t="shared" si="52"/>
        <v>Sun</v>
      </c>
      <c r="K193" s="206"/>
      <c r="L193" s="203"/>
    </row>
    <row r="194" hidden="1" outlineLevel="2">
      <c r="A194" s="207" t="s">
        <v>194</v>
      </c>
      <c r="B194" s="209">
        <f>20+35+35+7</f>
        <v>97</v>
      </c>
      <c r="C194" s="209">
        <f t="shared" ref="C194:C201" si="53">SUM(D194:J194)</f>
        <v>113</v>
      </c>
      <c r="D194" s="211">
        <v>18.0</v>
      </c>
      <c r="E194" s="211">
        <v>35.0</v>
      </c>
      <c r="F194" s="211">
        <v>37.0</v>
      </c>
      <c r="G194" s="211">
        <v>7.0</v>
      </c>
      <c r="H194" s="211" t="s">
        <v>92</v>
      </c>
      <c r="I194" s="211" t="s">
        <v>92</v>
      </c>
      <c r="J194" s="224">
        <v>16.0</v>
      </c>
      <c r="K194" s="214">
        <f t="shared" ref="K194:K201" si="54">iferror(C194/B194,"-")</f>
        <v>1.164948454</v>
      </c>
      <c r="L194" s="219">
        <f t="shared" ref="L194:L201" si="55">(IF(K194="",(0),IF(K194&gt;=1,(5),IF(K194&gt;=0.9,(4),IF(K194&gt;=0.8,(3),IF(K194&gt;=0.69,(2),IF(K194&lt;=0.69,(1))))))))</f>
        <v>5</v>
      </c>
    </row>
    <row r="195" hidden="1" outlineLevel="2">
      <c r="A195" s="220" t="s">
        <v>118</v>
      </c>
      <c r="B195" s="221">
        <f>30+30+25+30+25</f>
        <v>140</v>
      </c>
      <c r="C195" s="221">
        <f t="shared" si="53"/>
        <v>152</v>
      </c>
      <c r="D195" s="211">
        <v>28.0</v>
      </c>
      <c r="E195" s="211">
        <v>30.0</v>
      </c>
      <c r="F195" s="211">
        <v>21.0</v>
      </c>
      <c r="G195" s="211">
        <v>28.0</v>
      </c>
      <c r="H195" s="212">
        <v>27.0</v>
      </c>
      <c r="I195" s="211" t="s">
        <v>92</v>
      </c>
      <c r="J195" s="224">
        <v>18.0</v>
      </c>
      <c r="K195" s="214">
        <f t="shared" si="54"/>
        <v>1.085714286</v>
      </c>
      <c r="L195" s="219">
        <f t="shared" si="55"/>
        <v>5</v>
      </c>
    </row>
    <row r="196" hidden="1" outlineLevel="2">
      <c r="A196" s="207" t="s">
        <v>19</v>
      </c>
      <c r="B196" s="209">
        <f>45+40+30+35+20</f>
        <v>170</v>
      </c>
      <c r="C196" s="209">
        <f t="shared" si="53"/>
        <v>168</v>
      </c>
      <c r="D196" s="211">
        <v>46.0</v>
      </c>
      <c r="E196" s="211" t="s">
        <v>92</v>
      </c>
      <c r="F196" s="211">
        <v>41.0</v>
      </c>
      <c r="G196" s="211">
        <v>30.0</v>
      </c>
      <c r="H196" s="212">
        <v>38.0</v>
      </c>
      <c r="I196" s="224">
        <v>13.0</v>
      </c>
      <c r="J196" s="211" t="s">
        <v>92</v>
      </c>
      <c r="K196" s="214">
        <f t="shared" si="54"/>
        <v>0.9882352941</v>
      </c>
      <c r="L196" s="219">
        <f t="shared" si="55"/>
        <v>4</v>
      </c>
    </row>
    <row r="197" hidden="1" outlineLevel="2">
      <c r="A197" s="220" t="s">
        <v>120</v>
      </c>
      <c r="B197" s="221">
        <f>30+20+30+15+15+5</f>
        <v>115</v>
      </c>
      <c r="C197" s="221">
        <f t="shared" si="53"/>
        <v>111</v>
      </c>
      <c r="D197" s="211">
        <v>30.0</v>
      </c>
      <c r="E197" s="211">
        <v>16.0</v>
      </c>
      <c r="F197" s="211">
        <v>30.0</v>
      </c>
      <c r="G197" s="211">
        <v>14.0</v>
      </c>
      <c r="H197" s="212">
        <v>18.0</v>
      </c>
      <c r="I197" s="224">
        <v>3.0</v>
      </c>
      <c r="J197" s="211" t="s">
        <v>92</v>
      </c>
      <c r="K197" s="214">
        <f t="shared" si="54"/>
        <v>0.9652173913</v>
      </c>
      <c r="L197" s="219">
        <f t="shared" si="55"/>
        <v>4</v>
      </c>
    </row>
    <row r="198" hidden="1" outlineLevel="2">
      <c r="A198" s="222" t="s">
        <v>22</v>
      </c>
      <c r="B198" s="209">
        <f>30+30+25+25+20</f>
        <v>130</v>
      </c>
      <c r="C198" s="221">
        <f t="shared" si="53"/>
        <v>154</v>
      </c>
      <c r="D198" s="211">
        <v>34.0</v>
      </c>
      <c r="E198" s="211">
        <v>26.0</v>
      </c>
      <c r="F198" s="211" t="s">
        <v>92</v>
      </c>
      <c r="G198" s="211">
        <v>23.0</v>
      </c>
      <c r="H198" s="212">
        <v>27.0</v>
      </c>
      <c r="I198" s="224">
        <v>22.0</v>
      </c>
      <c r="J198" s="224">
        <v>22.0</v>
      </c>
      <c r="K198" s="214">
        <f t="shared" si="54"/>
        <v>1.184615385</v>
      </c>
      <c r="L198" s="219">
        <f t="shared" si="55"/>
        <v>5</v>
      </c>
    </row>
    <row r="199" hidden="1" outlineLevel="2">
      <c r="A199" s="223" t="s">
        <v>129</v>
      </c>
      <c r="B199" s="209">
        <f>30+30+35+30+25</f>
        <v>150</v>
      </c>
      <c r="C199" s="209">
        <f t="shared" si="53"/>
        <v>180</v>
      </c>
      <c r="D199" s="211">
        <v>35.0</v>
      </c>
      <c r="E199" s="211">
        <v>30.0</v>
      </c>
      <c r="F199" s="211">
        <v>42.0</v>
      </c>
      <c r="G199" s="224">
        <v>31.0</v>
      </c>
      <c r="H199" s="211" t="s">
        <v>92</v>
      </c>
      <c r="I199" s="224">
        <v>25.0</v>
      </c>
      <c r="J199" s="224">
        <v>17.0</v>
      </c>
      <c r="K199" s="214">
        <f t="shared" si="54"/>
        <v>1.2</v>
      </c>
      <c r="L199" s="219">
        <f t="shared" si="55"/>
        <v>5</v>
      </c>
    </row>
    <row r="200" hidden="1" outlineLevel="2">
      <c r="A200" s="223" t="s">
        <v>13</v>
      </c>
      <c r="B200" s="209">
        <f>20*6</f>
        <v>120</v>
      </c>
      <c r="C200" s="209">
        <f t="shared" si="53"/>
        <v>100</v>
      </c>
      <c r="D200" s="211">
        <v>18.0</v>
      </c>
      <c r="E200" s="211">
        <v>13.0</v>
      </c>
      <c r="F200" s="211" t="s">
        <v>92</v>
      </c>
      <c r="G200" s="211">
        <v>23.0</v>
      </c>
      <c r="H200" s="212">
        <v>20.0</v>
      </c>
      <c r="I200" s="224">
        <v>17.0</v>
      </c>
      <c r="J200" s="224">
        <v>9.0</v>
      </c>
      <c r="K200" s="214">
        <f t="shared" si="54"/>
        <v>0.8333333333</v>
      </c>
      <c r="L200" s="219">
        <f t="shared" si="55"/>
        <v>3</v>
      </c>
    </row>
    <row r="201" hidden="1" outlineLevel="2">
      <c r="A201" s="223" t="s">
        <v>428</v>
      </c>
      <c r="B201" s="382">
        <v>55.0</v>
      </c>
      <c r="C201" s="209">
        <f t="shared" si="53"/>
        <v>58</v>
      </c>
      <c r="D201" s="384" t="s">
        <v>289</v>
      </c>
      <c r="E201" s="211">
        <v>18.0</v>
      </c>
      <c r="F201" s="211">
        <v>24.0</v>
      </c>
      <c r="G201" s="211" t="s">
        <v>92</v>
      </c>
      <c r="H201" s="211" t="s">
        <v>92</v>
      </c>
      <c r="I201" s="224">
        <v>9.0</v>
      </c>
      <c r="J201" s="224">
        <v>7.0</v>
      </c>
      <c r="K201" s="214">
        <f t="shared" si="54"/>
        <v>1.054545455</v>
      </c>
      <c r="L201" s="219">
        <f t="shared" si="55"/>
        <v>5</v>
      </c>
    </row>
    <row r="202" hidden="1" outlineLevel="2"/>
    <row r="203" hidden="1" outlineLevel="2">
      <c r="A203" s="195" t="s">
        <v>135</v>
      </c>
      <c r="I203" s="195"/>
    </row>
    <row r="204" hidden="1" outlineLevel="2">
      <c r="A204" s="196" t="s">
        <v>187</v>
      </c>
      <c r="B204" s="225" t="s">
        <v>218</v>
      </c>
      <c r="C204" s="225" t="s">
        <v>219</v>
      </c>
      <c r="D204" s="225" t="s">
        <v>139</v>
      </c>
      <c r="E204" s="225" t="s">
        <v>140</v>
      </c>
      <c r="F204" s="225" t="s">
        <v>141</v>
      </c>
      <c r="G204" s="226" t="s">
        <v>143</v>
      </c>
      <c r="H204" s="226" t="s">
        <v>221</v>
      </c>
    </row>
    <row r="205" hidden="1" outlineLevel="2">
      <c r="A205" s="202"/>
      <c r="B205" s="203"/>
      <c r="C205" s="227"/>
      <c r="D205" s="227"/>
      <c r="E205" s="227"/>
      <c r="F205" s="227"/>
      <c r="G205" s="227"/>
      <c r="H205" s="227"/>
    </row>
    <row r="206" hidden="1" outlineLevel="2">
      <c r="A206" s="207" t="s">
        <v>194</v>
      </c>
      <c r="B206" s="228">
        <v>116.0</v>
      </c>
      <c r="C206" s="228">
        <v>111.0</v>
      </c>
      <c r="D206" s="229">
        <f t="shared" ref="D206:D213" si="56">B206-C206</f>
        <v>5</v>
      </c>
      <c r="E206" s="230">
        <f t="shared" ref="E206:E213" si="57">IFERROR(C206/B206,"")</f>
        <v>0.9568965517</v>
      </c>
      <c r="F206" s="232">
        <v>0.0019675925925925924</v>
      </c>
      <c r="G206" s="240">
        <f t="shared" ref="G206:G213" si="58">IFERROR((IF(E206="",(0),IF(E206&gt;=0.98,(5),IF(E206&gt;=0.95,(4.5),IF(E206&gt;=0.9,(4),IF(E206&gt;=0.8,(3),IF(E206&lt;=0.69,(1)))))))),"")</f>
        <v>4.5</v>
      </c>
      <c r="H206" s="240">
        <f>ROUND(
IF(F206="",
0,
MAX(1, 5 - MAX(0, (F206 - TIME(0,4,0)) / TIME(0,1,0) * 0.5))
),
2
)
</f>
        <v>5</v>
      </c>
    </row>
    <row r="207" hidden="1" outlineLevel="2">
      <c r="A207" s="220" t="s">
        <v>118</v>
      </c>
      <c r="B207" s="251">
        <v>154.0</v>
      </c>
      <c r="C207" s="251">
        <v>152.0</v>
      </c>
      <c r="D207" s="342">
        <f t="shared" si="56"/>
        <v>2</v>
      </c>
      <c r="E207" s="254">
        <f t="shared" si="57"/>
        <v>0.987012987</v>
      </c>
      <c r="F207" s="255">
        <v>0.004409722222222222</v>
      </c>
      <c r="G207" s="240">
        <f t="shared" si="58"/>
        <v>5</v>
      </c>
      <c r="H207" s="240">
        <f>ROUND(
IF(F207="",
0,
MAX(1, 5 - MAX(0, (F207 - TIME(0,7,0)) / TIME(0,1,0) * 0.5))
),
2
)
</f>
        <v>5</v>
      </c>
    </row>
    <row r="208" hidden="1" outlineLevel="2">
      <c r="A208" s="207" t="s">
        <v>19</v>
      </c>
      <c r="B208" s="251">
        <v>168.0</v>
      </c>
      <c r="C208" s="251">
        <v>159.0</v>
      </c>
      <c r="D208" s="342">
        <f t="shared" si="56"/>
        <v>9</v>
      </c>
      <c r="E208" s="254">
        <f t="shared" si="57"/>
        <v>0.9464285714</v>
      </c>
      <c r="F208" s="255">
        <v>0.004074074074074074</v>
      </c>
      <c r="G208" s="240">
        <f t="shared" si="58"/>
        <v>4</v>
      </c>
      <c r="H208" s="240">
        <f>ROUND(
IF(F208="",
0,
MAX(1, 5 - MAX(0, (F208 - TIME(0,4,0)) / TIME(0,1,0) * 0.5))
),
2
)
</f>
        <v>4.07</v>
      </c>
    </row>
    <row r="209" hidden="1" outlineLevel="2">
      <c r="A209" s="220" t="s">
        <v>120</v>
      </c>
      <c r="B209" s="228">
        <v>118.0</v>
      </c>
      <c r="C209" s="228">
        <v>112.0</v>
      </c>
      <c r="D209" s="229">
        <f t="shared" si="56"/>
        <v>6</v>
      </c>
      <c r="E209" s="230">
        <f t="shared" si="57"/>
        <v>0.9491525424</v>
      </c>
      <c r="F209" s="232">
        <v>0.0037731481481481483</v>
      </c>
      <c r="G209" s="240">
        <f t="shared" si="58"/>
        <v>4</v>
      </c>
      <c r="H209" s="240">
        <f>ROUND(
IF(F209="",
0,
MAX(1, 5 - MAX(0, (F209 - TIME(0,7,0)) / TIME(0,1,0) * 0.5))
),
2
)
</f>
        <v>5</v>
      </c>
    </row>
    <row r="210" hidden="1" outlineLevel="2">
      <c r="A210" s="222" t="s">
        <v>22</v>
      </c>
      <c r="B210" s="228">
        <v>161.0</v>
      </c>
      <c r="C210" s="228">
        <v>155.0</v>
      </c>
      <c r="D210" s="229">
        <f t="shared" si="56"/>
        <v>6</v>
      </c>
      <c r="E210" s="230">
        <f t="shared" si="57"/>
        <v>0.9627329193</v>
      </c>
      <c r="F210" s="232">
        <v>0.0025462962962962965</v>
      </c>
      <c r="G210" s="240">
        <f t="shared" si="58"/>
        <v>4.5</v>
      </c>
      <c r="H210" s="240">
        <f>ROUND(
IF(F210="",
0,
MAX(1, 5 - MAX(0, (F210 - TIME(0,4,0)) / TIME(0,1,0) * 0.5))
),
2
)
</f>
        <v>5</v>
      </c>
    </row>
    <row r="211" hidden="1" outlineLevel="2">
      <c r="A211" s="223" t="s">
        <v>129</v>
      </c>
      <c r="B211" s="251">
        <v>180.0</v>
      </c>
      <c r="C211" s="251">
        <v>179.0</v>
      </c>
      <c r="D211" s="342">
        <f t="shared" si="56"/>
        <v>1</v>
      </c>
      <c r="E211" s="254">
        <f t="shared" si="57"/>
        <v>0.9944444444</v>
      </c>
      <c r="F211" s="255">
        <v>0.0038541666666666668</v>
      </c>
      <c r="G211" s="240">
        <f t="shared" si="58"/>
        <v>5</v>
      </c>
      <c r="H211" s="240">
        <f>ROUND(
IF(F211="",
0,
MAX(1, 5 - MAX(0, (F211 - TIME(0,7,0)) / TIME(0,1,0) * 0.5))
),
2
)
</f>
        <v>5</v>
      </c>
    </row>
    <row r="212" hidden="1" outlineLevel="2">
      <c r="A212" s="223" t="s">
        <v>13</v>
      </c>
      <c r="B212" s="228">
        <v>102.0</v>
      </c>
      <c r="C212" s="228">
        <v>101.0</v>
      </c>
      <c r="D212" s="229">
        <f t="shared" si="56"/>
        <v>1</v>
      </c>
      <c r="E212" s="230">
        <f t="shared" si="57"/>
        <v>0.9901960784</v>
      </c>
      <c r="F212" s="232">
        <v>0.005543981481481481</v>
      </c>
      <c r="G212" s="240">
        <f t="shared" si="58"/>
        <v>5</v>
      </c>
      <c r="H212" s="240">
        <f>ROUND(
IF(F212="",
0,
MAX(1, 5 - MAX(0, (F212 - TIME(0,8,0)) / TIME(0,1,0) * 0.5))
),
2
)
</f>
        <v>5</v>
      </c>
    </row>
    <row r="213" hidden="1" outlineLevel="2">
      <c r="A213" s="223" t="s">
        <v>428</v>
      </c>
      <c r="B213" s="228">
        <v>15.0</v>
      </c>
      <c r="C213" s="228">
        <v>15.0</v>
      </c>
      <c r="D213" s="229">
        <f t="shared" si="56"/>
        <v>0</v>
      </c>
      <c r="E213" s="230">
        <f t="shared" si="57"/>
        <v>1</v>
      </c>
      <c r="F213" s="232">
        <v>0.007326388888888889</v>
      </c>
      <c r="G213" s="240">
        <f t="shared" si="58"/>
        <v>5</v>
      </c>
      <c r="H213" s="240">
        <f>ROUND(
IF(F213="",
0,
MAX(1, 5 - MAX(0, (F213 - TIME(0,10,0)) / TIME(0,1,0) * 0.5))
),
2
)
</f>
        <v>4.73</v>
      </c>
    </row>
    <row r="214" hidden="1" outlineLevel="2"/>
    <row r="215" hidden="1" outlineLevel="2">
      <c r="A215" s="195" t="s">
        <v>239</v>
      </c>
    </row>
    <row r="216" hidden="1" outlineLevel="2">
      <c r="A216" s="260" t="s">
        <v>240</v>
      </c>
      <c r="B216" s="262" t="s">
        <v>241</v>
      </c>
      <c r="C216" s="264" t="s">
        <v>242</v>
      </c>
      <c r="D216" s="264" t="s">
        <v>243</v>
      </c>
      <c r="E216" s="265" t="s">
        <v>244</v>
      </c>
      <c r="F216" s="267" t="s">
        <v>247</v>
      </c>
      <c r="G216" s="268"/>
    </row>
    <row r="217" hidden="1" outlineLevel="2">
      <c r="A217" s="269" t="s">
        <v>25</v>
      </c>
      <c r="B217" s="271" t="str">
        <f t="shared" ref="B217:B224" si="59">(C217*0.3)+(D217*0.1)</f>
        <v>#REF!</v>
      </c>
      <c r="C217" s="272">
        <v>1.0</v>
      </c>
      <c r="D217" s="272" t="str">
        <f t="shared" ref="D217:D222" si="60">#REF!</f>
        <v>#REF!</v>
      </c>
      <c r="E217" s="273">
        <f t="shared" ref="E217:E224" si="61">(L194+G206+H206)/15*0.3</f>
        <v>0.29</v>
      </c>
      <c r="F217" s="274">
        <f t="shared" ref="F217:F224" si="62">(E217/30%)*10</f>
        <v>9.666666667</v>
      </c>
      <c r="G217" s="268"/>
      <c r="H217" s="268"/>
      <c r="I217" s="268"/>
      <c r="J217" s="268"/>
    </row>
    <row r="218" hidden="1" outlineLevel="2">
      <c r="A218" s="275" t="s">
        <v>4</v>
      </c>
      <c r="B218" s="276" t="str">
        <f t="shared" si="59"/>
        <v>#REF!</v>
      </c>
      <c r="C218" s="272">
        <v>0.4</v>
      </c>
      <c r="D218" s="272" t="str">
        <f t="shared" si="60"/>
        <v>#REF!</v>
      </c>
      <c r="E218" s="277">
        <f t="shared" si="61"/>
        <v>0.3</v>
      </c>
      <c r="F218" s="274">
        <f t="shared" si="62"/>
        <v>10</v>
      </c>
      <c r="G218" s="268"/>
      <c r="H218" s="268"/>
      <c r="I218" s="268"/>
      <c r="J218" s="268"/>
    </row>
    <row r="219" hidden="1" outlineLevel="2">
      <c r="A219" s="278" t="s">
        <v>19</v>
      </c>
      <c r="B219" s="279" t="str">
        <f t="shared" si="59"/>
        <v>#REF!</v>
      </c>
      <c r="C219" s="272">
        <v>0.3</v>
      </c>
      <c r="D219" s="280" t="str">
        <f t="shared" si="60"/>
        <v>#REF!</v>
      </c>
      <c r="E219" s="281">
        <f t="shared" si="61"/>
        <v>0.2414</v>
      </c>
      <c r="F219" s="274">
        <f t="shared" si="62"/>
        <v>8.046666667</v>
      </c>
      <c r="G219" s="268"/>
      <c r="H219" s="268"/>
      <c r="I219" s="268"/>
      <c r="J219" s="268"/>
    </row>
    <row r="220" hidden="1" outlineLevel="2">
      <c r="A220" s="275" t="s">
        <v>30</v>
      </c>
      <c r="B220" s="276" t="str">
        <f t="shared" si="59"/>
        <v>#REF!</v>
      </c>
      <c r="C220" s="272">
        <v>1.0</v>
      </c>
      <c r="D220" s="280" t="str">
        <f t="shared" si="60"/>
        <v>#REF!</v>
      </c>
      <c r="E220" s="277">
        <f t="shared" si="61"/>
        <v>0.26</v>
      </c>
      <c r="F220" s="274">
        <f t="shared" si="62"/>
        <v>8.666666667</v>
      </c>
      <c r="G220" s="268"/>
      <c r="H220" s="268"/>
      <c r="I220" s="268"/>
      <c r="J220" s="268"/>
    </row>
    <row r="221" hidden="1" outlineLevel="2">
      <c r="A221" s="282" t="s">
        <v>31</v>
      </c>
      <c r="B221" s="279" t="str">
        <f t="shared" si="59"/>
        <v>#REF!</v>
      </c>
      <c r="C221" s="272">
        <v>1.0</v>
      </c>
      <c r="D221" s="280" t="str">
        <f t="shared" si="60"/>
        <v>#REF!</v>
      </c>
      <c r="E221" s="281">
        <f t="shared" si="61"/>
        <v>0.29</v>
      </c>
      <c r="F221" s="274">
        <f t="shared" si="62"/>
        <v>9.666666667</v>
      </c>
      <c r="G221" s="268"/>
      <c r="H221" s="268"/>
      <c r="I221" s="268"/>
      <c r="J221" s="268"/>
    </row>
    <row r="222" hidden="1" outlineLevel="2">
      <c r="A222" s="283" t="s">
        <v>129</v>
      </c>
      <c r="B222" s="276" t="str">
        <f t="shared" si="59"/>
        <v>#REF!</v>
      </c>
      <c r="C222" s="272">
        <v>1.0</v>
      </c>
      <c r="D222" s="280" t="str">
        <f t="shared" si="60"/>
        <v>#REF!</v>
      </c>
      <c r="E222" s="277">
        <f t="shared" si="61"/>
        <v>0.3</v>
      </c>
      <c r="F222" s="274">
        <f t="shared" si="62"/>
        <v>10</v>
      </c>
      <c r="G222" s="268"/>
      <c r="H222" s="268"/>
      <c r="I222" s="268"/>
      <c r="J222" s="268"/>
    </row>
    <row r="223" hidden="1" outlineLevel="2">
      <c r="A223" s="284" t="s">
        <v>13</v>
      </c>
      <c r="B223" s="279">
        <f t="shared" si="59"/>
        <v>0.3285</v>
      </c>
      <c r="C223" s="272">
        <v>0.775</v>
      </c>
      <c r="D223" s="280">
        <f>Lyra!D107</f>
        <v>0.96</v>
      </c>
      <c r="E223" s="281">
        <f t="shared" si="61"/>
        <v>0.26</v>
      </c>
      <c r="F223" s="274">
        <f t="shared" si="62"/>
        <v>8.666666667</v>
      </c>
      <c r="G223" s="268"/>
      <c r="H223" s="268"/>
      <c r="I223" s="268"/>
      <c r="J223" s="268"/>
    </row>
    <row r="224" hidden="1" outlineLevel="2">
      <c r="A224" s="283" t="s">
        <v>428</v>
      </c>
      <c r="B224" s="276">
        <f t="shared" si="59"/>
        <v>0.096</v>
      </c>
      <c r="C224" s="385"/>
      <c r="D224" s="280">
        <f>Mikka!D52</f>
        <v>0.96</v>
      </c>
      <c r="E224" s="277">
        <f t="shared" si="61"/>
        <v>0.2946</v>
      </c>
      <c r="F224" s="274">
        <f t="shared" si="62"/>
        <v>9.82</v>
      </c>
      <c r="G224" s="268"/>
      <c r="H224" s="268"/>
      <c r="I224" s="268"/>
      <c r="J224" s="268"/>
    </row>
    <row r="225" hidden="1" outlineLevel="2">
      <c r="A225" s="286"/>
      <c r="B225" s="286"/>
      <c r="C225" s="287"/>
      <c r="D225" s="288"/>
      <c r="E225" s="289"/>
      <c r="F225" s="268"/>
      <c r="G225" s="268"/>
      <c r="H225" s="268"/>
      <c r="I225" s="268"/>
      <c r="J225" s="268"/>
    </row>
    <row r="226" hidden="1" outlineLevel="2">
      <c r="A226" s="195" t="s">
        <v>269</v>
      </c>
      <c r="B226" s="286"/>
      <c r="C226" s="287"/>
      <c r="D226" s="288"/>
      <c r="E226" s="289"/>
      <c r="F226" s="268"/>
      <c r="G226" s="268"/>
      <c r="H226" s="268"/>
      <c r="I226" s="268"/>
      <c r="J226" s="268"/>
    </row>
    <row r="227" hidden="1" outlineLevel="2">
      <c r="A227" s="290" t="s">
        <v>240</v>
      </c>
      <c r="B227" s="291" t="s">
        <v>270</v>
      </c>
      <c r="C227" s="198">
        <v>46083.0</v>
      </c>
      <c r="D227" s="198">
        <v>46084.0</v>
      </c>
      <c r="E227" s="198">
        <v>46085.0</v>
      </c>
      <c r="F227" s="198">
        <v>46086.0</v>
      </c>
      <c r="G227" s="198">
        <v>46087.0</v>
      </c>
      <c r="H227" s="198">
        <v>46088.0</v>
      </c>
      <c r="I227" s="198">
        <v>46089.0</v>
      </c>
      <c r="J227" s="268"/>
    </row>
    <row r="228" hidden="1" outlineLevel="2">
      <c r="A228" s="325"/>
      <c r="B228" s="325"/>
      <c r="C228" s="205" t="s">
        <v>192</v>
      </c>
      <c r="D228" s="205" t="s">
        <v>272</v>
      </c>
      <c r="E228" s="205" t="s">
        <v>273</v>
      </c>
      <c r="F228" s="205" t="s">
        <v>274</v>
      </c>
      <c r="G228" s="205" t="s">
        <v>275</v>
      </c>
      <c r="H228" s="205" t="s">
        <v>276</v>
      </c>
      <c r="I228" s="205" t="s">
        <v>277</v>
      </c>
    </row>
    <row r="229" hidden="1" outlineLevel="2">
      <c r="A229" s="278" t="s">
        <v>25</v>
      </c>
      <c r="B229" s="293">
        <f t="shared" ref="B229:B235" si="63">Sum(C229:I229)</f>
        <v>0</v>
      </c>
      <c r="C229" s="297"/>
      <c r="D229" s="297"/>
      <c r="E229" s="297"/>
      <c r="F229" s="297"/>
      <c r="G229" s="296"/>
      <c r="H229" s="297"/>
      <c r="I229" s="296"/>
    </row>
    <row r="230" hidden="1" outlineLevel="2">
      <c r="A230" s="275" t="s">
        <v>4</v>
      </c>
      <c r="B230" s="293">
        <f t="shared" si="63"/>
        <v>14</v>
      </c>
      <c r="C230" s="295"/>
      <c r="D230" s="295">
        <v>2.0</v>
      </c>
      <c r="E230" s="295"/>
      <c r="F230" s="295">
        <v>2.0</v>
      </c>
      <c r="G230" s="295">
        <v>8.0</v>
      </c>
      <c r="H230" s="294"/>
      <c r="I230" s="295">
        <v>2.0</v>
      </c>
    </row>
    <row r="231" hidden="1" outlineLevel="2">
      <c r="A231" s="278" t="s">
        <v>19</v>
      </c>
      <c r="B231" s="293">
        <f t="shared" si="63"/>
        <v>6</v>
      </c>
      <c r="C231" s="296">
        <v>2.0</v>
      </c>
      <c r="D231" s="297"/>
      <c r="E231" s="296">
        <v>2.0</v>
      </c>
      <c r="F231" s="296"/>
      <c r="G231" s="296">
        <v>2.0</v>
      </c>
      <c r="H231" s="296"/>
      <c r="I231" s="297"/>
    </row>
    <row r="232" hidden="1" outlineLevel="2">
      <c r="A232" s="275" t="s">
        <v>30</v>
      </c>
      <c r="B232" s="293">
        <f t="shared" si="63"/>
        <v>14</v>
      </c>
      <c r="C232" s="295">
        <v>2.0</v>
      </c>
      <c r="D232" s="295"/>
      <c r="E232" s="295">
        <v>2.0</v>
      </c>
      <c r="F232" s="295"/>
      <c r="G232" s="295">
        <v>2.0</v>
      </c>
      <c r="H232" s="295">
        <v>8.0</v>
      </c>
      <c r="I232" s="294"/>
    </row>
    <row r="233" hidden="1" outlineLevel="2">
      <c r="A233" s="282" t="s">
        <v>31</v>
      </c>
      <c r="B233" s="293">
        <f t="shared" si="63"/>
        <v>12</v>
      </c>
      <c r="C233" s="296">
        <v>2.0</v>
      </c>
      <c r="D233" s="296">
        <v>8.0</v>
      </c>
      <c r="E233" s="296"/>
      <c r="F233" s="296">
        <v>2.0</v>
      </c>
      <c r="G233" s="296"/>
      <c r="H233" s="296"/>
      <c r="I233" s="297"/>
    </row>
    <row r="234" ht="16.5" hidden="1" customHeight="1" outlineLevel="2">
      <c r="A234" s="283" t="s">
        <v>129</v>
      </c>
      <c r="B234" s="293">
        <f t="shared" si="63"/>
        <v>14</v>
      </c>
      <c r="C234" s="295">
        <v>2.0</v>
      </c>
      <c r="D234" s="295"/>
      <c r="E234" s="295">
        <v>2.0</v>
      </c>
      <c r="F234" s="295">
        <v>8.0</v>
      </c>
      <c r="G234" s="294"/>
      <c r="H234" s="295">
        <v>2.0</v>
      </c>
      <c r="I234" s="294"/>
    </row>
    <row r="235" hidden="1" outlineLevel="2">
      <c r="A235" s="284" t="s">
        <v>13</v>
      </c>
      <c r="B235" s="293">
        <f t="shared" si="63"/>
        <v>8</v>
      </c>
      <c r="C235" s="297"/>
      <c r="D235" s="297"/>
      <c r="E235" s="297"/>
      <c r="F235" s="296">
        <v>8.0</v>
      </c>
      <c r="G235" s="296"/>
      <c r="H235" s="296"/>
      <c r="I235" s="297"/>
    </row>
    <row r="236" hidden="1" outlineLevel="2">
      <c r="A236" s="283"/>
      <c r="B236" s="293"/>
      <c r="C236" s="294"/>
      <c r="D236" s="294"/>
      <c r="E236" s="294"/>
      <c r="F236" s="294"/>
      <c r="G236" s="295"/>
      <c r="H236" s="295"/>
      <c r="I236" s="294"/>
    </row>
    <row r="237" hidden="1" outlineLevel="2">
      <c r="A237" s="286"/>
      <c r="B237" s="286"/>
      <c r="C237" s="286"/>
      <c r="D237" s="286"/>
      <c r="E237" s="286"/>
      <c r="F237" s="286"/>
      <c r="G237" s="286"/>
      <c r="H237" s="286"/>
      <c r="I237" s="286"/>
    </row>
    <row r="238" hidden="1" outlineLevel="1" collapsed="1">
      <c r="A238" s="192" t="s">
        <v>461</v>
      </c>
    </row>
    <row r="239" hidden="1" outlineLevel="2">
      <c r="A239" s="195" t="s">
        <v>186</v>
      </c>
    </row>
    <row r="240" hidden="1" outlineLevel="2">
      <c r="A240" s="196" t="s">
        <v>187</v>
      </c>
      <c r="B240" s="197" t="s">
        <v>77</v>
      </c>
      <c r="C240" s="197" t="s">
        <v>189</v>
      </c>
      <c r="D240" s="198">
        <v>46090.0</v>
      </c>
      <c r="E240" s="198">
        <v>46091.0</v>
      </c>
      <c r="F240" s="198">
        <v>46092.0</v>
      </c>
      <c r="G240" s="198">
        <v>46093.0</v>
      </c>
      <c r="H240" s="198">
        <v>46094.0</v>
      </c>
      <c r="I240" s="198">
        <v>46095.0</v>
      </c>
      <c r="J240" s="198">
        <v>46096.0</v>
      </c>
      <c r="K240" s="199" t="s">
        <v>190</v>
      </c>
      <c r="L240" s="201" t="s">
        <v>191</v>
      </c>
    </row>
    <row r="241" hidden="1" outlineLevel="2">
      <c r="A241" s="202"/>
      <c r="B241" s="203"/>
      <c r="C241" s="203"/>
      <c r="D241" s="205" t="s">
        <v>192</v>
      </c>
      <c r="E241" s="205" t="str">
        <f t="shared" ref="E241:J241" si="64">text(E240,"ddd")</f>
        <v>Tue</v>
      </c>
      <c r="F241" s="205" t="str">
        <f t="shared" si="64"/>
        <v>Wed</v>
      </c>
      <c r="G241" s="205" t="str">
        <f t="shared" si="64"/>
        <v>Thu</v>
      </c>
      <c r="H241" s="205" t="str">
        <f t="shared" si="64"/>
        <v>Fri</v>
      </c>
      <c r="I241" s="205" t="str">
        <f t="shared" si="64"/>
        <v>Sat</v>
      </c>
      <c r="J241" s="205" t="str">
        <f t="shared" si="64"/>
        <v>Sun</v>
      </c>
      <c r="K241" s="206"/>
      <c r="L241" s="203"/>
    </row>
    <row r="242" hidden="1" outlineLevel="2">
      <c r="A242" s="207" t="s">
        <v>194</v>
      </c>
      <c r="B242" s="209">
        <f>30+30+20+20+7+15</f>
        <v>122</v>
      </c>
      <c r="C242" s="209">
        <f t="shared" ref="C242:C249" si="65">SUM(D242:J242)</f>
        <v>124</v>
      </c>
      <c r="D242" s="211">
        <v>29.0</v>
      </c>
      <c r="E242" s="211">
        <v>31.0</v>
      </c>
      <c r="F242" s="211">
        <v>20.0</v>
      </c>
      <c r="G242" s="211">
        <v>20.0</v>
      </c>
      <c r="H242" s="211">
        <v>9.0</v>
      </c>
      <c r="I242" s="211" t="s">
        <v>92</v>
      </c>
      <c r="J242" s="224">
        <v>15.0</v>
      </c>
      <c r="K242" s="214">
        <f t="shared" ref="K242:K249" si="66">iferror(C242/B242,"-")</f>
        <v>1.016393443</v>
      </c>
      <c r="L242" s="219">
        <f t="shared" ref="L242:L249" si="67">(IF(K242="",(0),IF(K242&gt;=1,(5),IF(K242&gt;=0.9,(4),IF(K242&gt;=0.8,(3),IF(K242&gt;=0.69,(2),IF(K242&lt;=0.69,(1))))))))</f>
        <v>5</v>
      </c>
    </row>
    <row r="243" hidden="1" outlineLevel="2">
      <c r="A243" s="220" t="s">
        <v>118</v>
      </c>
      <c r="B243" s="221">
        <f>25+25+25+25+25+15</f>
        <v>140</v>
      </c>
      <c r="C243" s="221">
        <f t="shared" si="65"/>
        <v>134</v>
      </c>
      <c r="D243" s="211">
        <v>27.0</v>
      </c>
      <c r="E243" s="211">
        <v>17.0</v>
      </c>
      <c r="F243" s="211">
        <v>24.0</v>
      </c>
      <c r="G243" s="211">
        <v>25.0</v>
      </c>
      <c r="H243" s="211">
        <v>23.0</v>
      </c>
      <c r="I243" s="211" t="s">
        <v>92</v>
      </c>
      <c r="J243" s="224">
        <v>18.0</v>
      </c>
      <c r="K243" s="214">
        <f t="shared" si="66"/>
        <v>0.9571428571</v>
      </c>
      <c r="L243" s="219">
        <f t="shared" si="67"/>
        <v>4</v>
      </c>
    </row>
    <row r="244" hidden="1" outlineLevel="2">
      <c r="A244" s="207" t="s">
        <v>19</v>
      </c>
      <c r="B244" s="209">
        <f>30+30+30+30+35</f>
        <v>155</v>
      </c>
      <c r="C244" s="209">
        <f t="shared" si="65"/>
        <v>157</v>
      </c>
      <c r="D244" s="211">
        <v>30.0</v>
      </c>
      <c r="E244" s="211" t="s">
        <v>92</v>
      </c>
      <c r="F244" s="211">
        <v>28.0</v>
      </c>
      <c r="G244" s="211">
        <v>27.0</v>
      </c>
      <c r="H244" s="211">
        <v>34.0</v>
      </c>
      <c r="I244" s="211">
        <v>38.0</v>
      </c>
      <c r="J244" s="211" t="s">
        <v>92</v>
      </c>
      <c r="K244" s="214">
        <f t="shared" si="66"/>
        <v>1.012903226</v>
      </c>
      <c r="L244" s="219">
        <f t="shared" si="67"/>
        <v>5</v>
      </c>
    </row>
    <row r="245" hidden="1" outlineLevel="2">
      <c r="A245" s="220" t="s">
        <v>120</v>
      </c>
      <c r="B245" s="221">
        <f>20+25+20+20+5</f>
        <v>90</v>
      </c>
      <c r="C245" s="221">
        <f t="shared" si="65"/>
        <v>92</v>
      </c>
      <c r="D245" s="211">
        <v>24.0</v>
      </c>
      <c r="E245" s="211">
        <v>25.0</v>
      </c>
      <c r="F245" s="211">
        <v>22.0</v>
      </c>
      <c r="G245" s="211">
        <v>17.0</v>
      </c>
      <c r="H245" s="211" t="s">
        <v>92</v>
      </c>
      <c r="I245" s="211">
        <v>4.0</v>
      </c>
      <c r="J245" s="211" t="s">
        <v>92</v>
      </c>
      <c r="K245" s="214">
        <f t="shared" si="66"/>
        <v>1.022222222</v>
      </c>
      <c r="L245" s="219">
        <f t="shared" si="67"/>
        <v>5</v>
      </c>
    </row>
    <row r="246" hidden="1" outlineLevel="2">
      <c r="A246" s="222" t="s">
        <v>22</v>
      </c>
      <c r="B246" s="209">
        <f>30+25+30+25+20</f>
        <v>130</v>
      </c>
      <c r="C246" s="221">
        <f t="shared" si="65"/>
        <v>158</v>
      </c>
      <c r="D246" s="211">
        <v>33.0</v>
      </c>
      <c r="E246" s="211">
        <v>24.0</v>
      </c>
      <c r="F246" s="211" t="s">
        <v>92</v>
      </c>
      <c r="G246" s="211">
        <v>35.0</v>
      </c>
      <c r="H246" s="211">
        <v>22.0</v>
      </c>
      <c r="I246" s="211">
        <v>22.0</v>
      </c>
      <c r="J246" s="224">
        <v>22.0</v>
      </c>
      <c r="K246" s="214">
        <f t="shared" si="66"/>
        <v>1.215384615</v>
      </c>
      <c r="L246" s="219">
        <f t="shared" si="67"/>
        <v>5</v>
      </c>
    </row>
    <row r="247" hidden="1" outlineLevel="2">
      <c r="A247" s="223" t="s">
        <v>129</v>
      </c>
      <c r="B247" s="221">
        <f>25+25+25+25+25+15</f>
        <v>140</v>
      </c>
      <c r="C247" s="209">
        <f t="shared" si="65"/>
        <v>132</v>
      </c>
      <c r="D247" s="211">
        <v>24.0</v>
      </c>
      <c r="E247" s="211">
        <v>21.0</v>
      </c>
      <c r="F247" s="211">
        <v>25.0</v>
      </c>
      <c r="G247" s="211">
        <v>20.0</v>
      </c>
      <c r="H247" s="211" t="s">
        <v>92</v>
      </c>
      <c r="I247" s="211">
        <v>25.0</v>
      </c>
      <c r="J247" s="224">
        <v>17.0</v>
      </c>
      <c r="K247" s="214">
        <f t="shared" si="66"/>
        <v>0.9428571429</v>
      </c>
      <c r="L247" s="219">
        <f t="shared" si="67"/>
        <v>4</v>
      </c>
    </row>
    <row r="248" hidden="1" outlineLevel="2">
      <c r="A248" s="223" t="s">
        <v>13</v>
      </c>
      <c r="B248" s="209">
        <f>20*6</f>
        <v>120</v>
      </c>
      <c r="C248" s="209">
        <f t="shared" si="65"/>
        <v>109</v>
      </c>
      <c r="D248" s="211">
        <v>20.0</v>
      </c>
      <c r="E248" s="211">
        <v>18.0</v>
      </c>
      <c r="F248" s="211" t="s">
        <v>92</v>
      </c>
      <c r="G248" s="211">
        <v>20.0</v>
      </c>
      <c r="H248" s="211">
        <v>16.0</v>
      </c>
      <c r="I248" s="211">
        <v>20.0</v>
      </c>
      <c r="J248" s="224">
        <v>15.0</v>
      </c>
      <c r="K248" s="214">
        <f t="shared" si="66"/>
        <v>0.9083333333</v>
      </c>
      <c r="L248" s="219">
        <f t="shared" si="67"/>
        <v>4</v>
      </c>
    </row>
    <row r="249" hidden="1" outlineLevel="2">
      <c r="A249" s="223" t="s">
        <v>428</v>
      </c>
      <c r="B249" s="382">
        <f>13*5+7</f>
        <v>72</v>
      </c>
      <c r="C249" s="209">
        <f t="shared" si="65"/>
        <v>70</v>
      </c>
      <c r="D249" s="211">
        <v>12.0</v>
      </c>
      <c r="E249" s="211">
        <v>11.0</v>
      </c>
      <c r="F249" s="211">
        <v>13.0</v>
      </c>
      <c r="G249" s="211" t="s">
        <v>92</v>
      </c>
      <c r="H249" s="211">
        <v>13.0</v>
      </c>
      <c r="I249" s="211">
        <v>14.0</v>
      </c>
      <c r="J249" s="224">
        <v>7.0</v>
      </c>
      <c r="K249" s="214">
        <f t="shared" si="66"/>
        <v>0.9722222222</v>
      </c>
      <c r="L249" s="219">
        <f t="shared" si="67"/>
        <v>4</v>
      </c>
    </row>
    <row r="250" hidden="1" outlineLevel="2"/>
    <row r="251" hidden="1" outlineLevel="2">
      <c r="A251" s="195" t="s">
        <v>135</v>
      </c>
      <c r="I251" s="195"/>
    </row>
    <row r="252" hidden="1" outlineLevel="2">
      <c r="A252" s="196" t="s">
        <v>187</v>
      </c>
      <c r="B252" s="225" t="s">
        <v>218</v>
      </c>
      <c r="C252" s="225" t="s">
        <v>219</v>
      </c>
      <c r="D252" s="225" t="s">
        <v>139</v>
      </c>
      <c r="E252" s="225" t="s">
        <v>140</v>
      </c>
      <c r="F252" s="225" t="s">
        <v>141</v>
      </c>
      <c r="G252" s="226" t="s">
        <v>143</v>
      </c>
      <c r="H252" s="226" t="s">
        <v>221</v>
      </c>
    </row>
    <row r="253" hidden="1" outlineLevel="2">
      <c r="A253" s="202"/>
      <c r="B253" s="203"/>
      <c r="C253" s="227"/>
      <c r="D253" s="227"/>
      <c r="E253" s="227"/>
      <c r="F253" s="227"/>
      <c r="G253" s="227"/>
      <c r="H253" s="227"/>
    </row>
    <row r="254" hidden="1" outlineLevel="2">
      <c r="A254" s="207" t="s">
        <v>194</v>
      </c>
      <c r="B254" s="228">
        <v>137.0</v>
      </c>
      <c r="C254" s="228">
        <v>126.0</v>
      </c>
      <c r="D254" s="229">
        <f t="shared" ref="D254:D261" si="68">B254-C254</f>
        <v>11</v>
      </c>
      <c r="E254" s="230">
        <f t="shared" ref="E254:E261" si="69">IFERROR(C254/B254,"")</f>
        <v>0.9197080292</v>
      </c>
      <c r="F254" s="232">
        <v>0.0022685185185185187</v>
      </c>
      <c r="G254" s="240">
        <f t="shared" ref="G254:G261" si="70">IFERROR((IF(E254="",(0),IF(E254&gt;=0.98,(5),IF(E254&gt;=0.95,(4.5),IF(E254&gt;=0.9,(4),IF(E254&gt;=0.8,(3),IF(E254&lt;=0.69,(1)))))))),"")</f>
        <v>4</v>
      </c>
      <c r="H254" s="240">
        <f>ROUND(
IF(F254="",
0,
MAX(1, 5 - MAX(0, (F254 - TIME(0,4,0)) / TIME(0,1,0) * 0.5))
),
2
)
</f>
        <v>5</v>
      </c>
    </row>
    <row r="255" hidden="1" outlineLevel="2">
      <c r="A255" s="220" t="s">
        <v>118</v>
      </c>
      <c r="B255" s="251">
        <v>131.0</v>
      </c>
      <c r="C255" s="251">
        <v>129.0</v>
      </c>
      <c r="D255" s="342">
        <f t="shared" si="68"/>
        <v>2</v>
      </c>
      <c r="E255" s="254">
        <f t="shared" si="69"/>
        <v>0.9847328244</v>
      </c>
      <c r="F255" s="255">
        <v>0.0044444444444444444</v>
      </c>
      <c r="G255" s="240">
        <f t="shared" si="70"/>
        <v>5</v>
      </c>
      <c r="H255" s="240">
        <f>ROUND(
IF(F255="",
0,
MAX(1, 5 - MAX(0, (F255 - TIME(0,7,0)) / TIME(0,1,0) * 0.5))
),
2
)
</f>
        <v>5</v>
      </c>
    </row>
    <row r="256" hidden="1" outlineLevel="2">
      <c r="A256" s="207" t="s">
        <v>19</v>
      </c>
      <c r="B256" s="251">
        <v>156.0</v>
      </c>
      <c r="C256" s="251">
        <v>154.0</v>
      </c>
      <c r="D256" s="342">
        <f t="shared" si="68"/>
        <v>2</v>
      </c>
      <c r="E256" s="254">
        <f t="shared" si="69"/>
        <v>0.9871794872</v>
      </c>
      <c r="F256" s="255">
        <v>0.0035185185185185185</v>
      </c>
      <c r="G256" s="240">
        <f t="shared" si="70"/>
        <v>5</v>
      </c>
      <c r="H256" s="240">
        <f>ROUND(
IF(F256="",
0,
MAX(1, 5 - MAX(0, (F256 - TIME(0,4,0)) / TIME(0,1,0) * 0.5))
),
2
)
</f>
        <v>4.47</v>
      </c>
    </row>
    <row r="257" hidden="1" outlineLevel="2">
      <c r="A257" s="220" t="s">
        <v>120</v>
      </c>
      <c r="B257" s="228">
        <v>94.0</v>
      </c>
      <c r="C257" s="228">
        <v>93.0</v>
      </c>
      <c r="D257" s="229">
        <f t="shared" si="68"/>
        <v>1</v>
      </c>
      <c r="E257" s="230">
        <f t="shared" si="69"/>
        <v>0.9893617021</v>
      </c>
      <c r="F257" s="232">
        <v>0.004155092592592592</v>
      </c>
      <c r="G257" s="240">
        <f t="shared" si="70"/>
        <v>5</v>
      </c>
      <c r="H257" s="240">
        <f>ROUND(
IF(F257="",
0,
MAX(1, 5 - MAX(0, (F257 - TIME(0,7,0)) / TIME(0,1,0) * 0.5))
),
2
)
</f>
        <v>5</v>
      </c>
    </row>
    <row r="258" hidden="1" outlineLevel="2">
      <c r="A258" s="222" t="s">
        <v>22</v>
      </c>
      <c r="B258" s="228">
        <v>152.0</v>
      </c>
      <c r="C258" s="228">
        <v>149.0</v>
      </c>
      <c r="D258" s="229">
        <f t="shared" si="68"/>
        <v>3</v>
      </c>
      <c r="E258" s="230">
        <f t="shared" si="69"/>
        <v>0.9802631579</v>
      </c>
      <c r="F258" s="232">
        <v>0.0026157407407407405</v>
      </c>
      <c r="G258" s="240">
        <f t="shared" si="70"/>
        <v>5</v>
      </c>
      <c r="H258" s="240">
        <f>ROUND(
IF(F258="",
0,
MAX(1, 5 - MAX(0, (F258 - TIME(0,4,0)) / TIME(0,1,0) * 0.5))
),
2
)
</f>
        <v>5</v>
      </c>
    </row>
    <row r="259" hidden="1" outlineLevel="2">
      <c r="A259" s="223" t="s">
        <v>129</v>
      </c>
      <c r="B259" s="251">
        <v>129.0</v>
      </c>
      <c r="C259" s="251">
        <v>129.0</v>
      </c>
      <c r="D259" s="342">
        <f t="shared" si="68"/>
        <v>0</v>
      </c>
      <c r="E259" s="254">
        <f t="shared" si="69"/>
        <v>1</v>
      </c>
      <c r="F259" s="255">
        <v>0.004120370370370371</v>
      </c>
      <c r="G259" s="240">
        <f t="shared" si="70"/>
        <v>5</v>
      </c>
      <c r="H259" s="240">
        <f>ROUND(
IF(F259="",
0,
MAX(1, 5 - MAX(0, (F259 - TIME(0,7,0)) / TIME(0,1,0) * 0.5))
),
2
)
</f>
        <v>5</v>
      </c>
    </row>
    <row r="260" hidden="1" outlineLevel="2">
      <c r="A260" s="223" t="s">
        <v>13</v>
      </c>
      <c r="B260" s="228">
        <v>106.0</v>
      </c>
      <c r="C260" s="228">
        <v>106.0</v>
      </c>
      <c r="D260" s="229">
        <f t="shared" si="68"/>
        <v>0</v>
      </c>
      <c r="E260" s="230">
        <f t="shared" si="69"/>
        <v>1</v>
      </c>
      <c r="F260" s="232">
        <v>0.004375</v>
      </c>
      <c r="G260" s="240">
        <f t="shared" si="70"/>
        <v>5</v>
      </c>
      <c r="H260" s="240">
        <f>ROUND(
IF(F260="",
0,
MAX(1, 5 - MAX(0, (F260 - TIME(0,8,0)) / TIME(0,1,0) * 0.5))
),
2
)
</f>
        <v>5</v>
      </c>
    </row>
    <row r="261" hidden="1" outlineLevel="2">
      <c r="A261" s="223" t="s">
        <v>428</v>
      </c>
      <c r="B261" s="228">
        <v>72.0</v>
      </c>
      <c r="C261" s="228">
        <v>70.0</v>
      </c>
      <c r="D261" s="229">
        <f t="shared" si="68"/>
        <v>2</v>
      </c>
      <c r="E261" s="230">
        <f t="shared" si="69"/>
        <v>0.9722222222</v>
      </c>
      <c r="F261" s="232">
        <v>0.005405092592592592</v>
      </c>
      <c r="G261" s="240">
        <f t="shared" si="70"/>
        <v>4.5</v>
      </c>
      <c r="H261" s="240">
        <f>ROUND(
IF(F261="",
0,
MAX(1, 5 - MAX(0, (F261 - TIME(0,10,0)) / TIME(0,1,0) * 0.5))
),
2
)
</f>
        <v>5</v>
      </c>
    </row>
    <row r="262" hidden="1" outlineLevel="2"/>
    <row r="263" hidden="1" outlineLevel="2">
      <c r="A263" s="195" t="s">
        <v>239</v>
      </c>
    </row>
    <row r="264" hidden="1" outlineLevel="2">
      <c r="A264" s="260" t="s">
        <v>240</v>
      </c>
      <c r="B264" s="262" t="s">
        <v>241</v>
      </c>
      <c r="C264" s="264" t="s">
        <v>242</v>
      </c>
      <c r="D264" s="264" t="s">
        <v>243</v>
      </c>
      <c r="E264" s="265" t="s">
        <v>244</v>
      </c>
      <c r="F264" s="267" t="s">
        <v>247</v>
      </c>
      <c r="G264" s="268"/>
    </row>
    <row r="265" hidden="1" outlineLevel="2">
      <c r="A265" s="269" t="s">
        <v>25</v>
      </c>
      <c r="B265" s="271" t="str">
        <f t="shared" ref="B265:B272" si="71">(C265*0.3)+(D265*0.1)</f>
        <v>#REF!</v>
      </c>
      <c r="C265" s="272">
        <v>1.0</v>
      </c>
      <c r="D265" s="272" t="str">
        <f t="shared" ref="D265:D270" si="72">#REF!</f>
        <v>#REF!</v>
      </c>
      <c r="E265" s="273">
        <f t="shared" ref="E265:E272" si="73">(L242+G254+H254)/15*0.3</f>
        <v>0.28</v>
      </c>
      <c r="F265" s="274">
        <f t="shared" ref="F265:F272" si="74">(E265/30%)*10</f>
        <v>9.333333333</v>
      </c>
      <c r="G265" s="268"/>
      <c r="H265" s="268"/>
      <c r="I265" s="268"/>
      <c r="J265" s="268"/>
    </row>
    <row r="266" hidden="1" outlineLevel="2">
      <c r="A266" s="275" t="s">
        <v>4</v>
      </c>
      <c r="B266" s="276" t="str">
        <f t="shared" si="71"/>
        <v>#REF!</v>
      </c>
      <c r="C266" s="272">
        <v>1.0</v>
      </c>
      <c r="D266" s="272" t="str">
        <f t="shared" si="72"/>
        <v>#REF!</v>
      </c>
      <c r="E266" s="277">
        <f t="shared" si="73"/>
        <v>0.28</v>
      </c>
      <c r="F266" s="274">
        <f t="shared" si="74"/>
        <v>9.333333333</v>
      </c>
      <c r="G266" s="268"/>
      <c r="H266" s="268"/>
      <c r="I266" s="268"/>
      <c r="J266" s="268"/>
    </row>
    <row r="267" hidden="1" outlineLevel="2">
      <c r="A267" s="278" t="s">
        <v>19</v>
      </c>
      <c r="B267" s="279" t="str">
        <f t="shared" si="71"/>
        <v>#REF!</v>
      </c>
      <c r="C267" s="272">
        <v>1.0</v>
      </c>
      <c r="D267" s="280" t="str">
        <f t="shared" si="72"/>
        <v>#REF!</v>
      </c>
      <c r="E267" s="281">
        <f t="shared" si="73"/>
        <v>0.2894</v>
      </c>
      <c r="F267" s="274">
        <f t="shared" si="74"/>
        <v>9.646666667</v>
      </c>
      <c r="G267" s="268"/>
      <c r="H267" s="268"/>
      <c r="I267" s="268"/>
      <c r="J267" s="268"/>
    </row>
    <row r="268" hidden="1" outlineLevel="2">
      <c r="A268" s="275" t="s">
        <v>30</v>
      </c>
      <c r="B268" s="276" t="str">
        <f t="shared" si="71"/>
        <v>#REF!</v>
      </c>
      <c r="C268" s="272">
        <v>1.0</v>
      </c>
      <c r="D268" s="280" t="str">
        <f t="shared" si="72"/>
        <v>#REF!</v>
      </c>
      <c r="E268" s="277">
        <f t="shared" si="73"/>
        <v>0.3</v>
      </c>
      <c r="F268" s="274">
        <f t="shared" si="74"/>
        <v>10</v>
      </c>
      <c r="G268" s="268"/>
      <c r="H268" s="268"/>
      <c r="I268" s="268"/>
      <c r="J268" s="268"/>
    </row>
    <row r="269" hidden="1" outlineLevel="2">
      <c r="A269" s="282" t="s">
        <v>31</v>
      </c>
      <c r="B269" s="279" t="str">
        <f t="shared" si="71"/>
        <v>#REF!</v>
      </c>
      <c r="C269" s="272">
        <v>1.0</v>
      </c>
      <c r="D269" s="280" t="str">
        <f t="shared" si="72"/>
        <v>#REF!</v>
      </c>
      <c r="E269" s="281">
        <f t="shared" si="73"/>
        <v>0.3</v>
      </c>
      <c r="F269" s="274">
        <f t="shared" si="74"/>
        <v>10</v>
      </c>
      <c r="G269" s="268"/>
      <c r="H269" s="268"/>
      <c r="I269" s="268"/>
      <c r="J269" s="268"/>
    </row>
    <row r="270" hidden="1" outlineLevel="2">
      <c r="A270" s="283" t="s">
        <v>129</v>
      </c>
      <c r="B270" s="276" t="str">
        <f t="shared" si="71"/>
        <v>#REF!</v>
      </c>
      <c r="C270" s="272">
        <v>1.0</v>
      </c>
      <c r="D270" s="280" t="str">
        <f t="shared" si="72"/>
        <v>#REF!</v>
      </c>
      <c r="E270" s="277">
        <f t="shared" si="73"/>
        <v>0.28</v>
      </c>
      <c r="F270" s="274">
        <f t="shared" si="74"/>
        <v>9.333333333</v>
      </c>
      <c r="G270" s="268"/>
      <c r="H270" s="268"/>
      <c r="I270" s="268"/>
      <c r="J270" s="268"/>
    </row>
    <row r="271" hidden="1" outlineLevel="2">
      <c r="A271" s="284" t="s">
        <v>13</v>
      </c>
      <c r="B271" s="279">
        <f t="shared" si="71"/>
        <v>0.4</v>
      </c>
      <c r="C271" s="272">
        <v>1.0</v>
      </c>
      <c r="D271" s="280">
        <f>Lyra!D125</f>
        <v>1</v>
      </c>
      <c r="E271" s="281">
        <f t="shared" si="73"/>
        <v>0.28</v>
      </c>
      <c r="F271" s="274">
        <f t="shared" si="74"/>
        <v>9.333333333</v>
      </c>
      <c r="G271" s="268"/>
      <c r="H271" s="268"/>
      <c r="I271" s="268"/>
      <c r="J271" s="268"/>
    </row>
    <row r="272" hidden="1" outlineLevel="2">
      <c r="A272" s="283" t="s">
        <v>428</v>
      </c>
      <c r="B272" s="276">
        <f t="shared" si="71"/>
        <v>0.334</v>
      </c>
      <c r="C272" s="272">
        <v>0.79</v>
      </c>
      <c r="D272" s="280">
        <f>Mikka!D70</f>
        <v>0.97</v>
      </c>
      <c r="E272" s="277">
        <f t="shared" si="73"/>
        <v>0.27</v>
      </c>
      <c r="F272" s="274">
        <f t="shared" si="74"/>
        <v>9</v>
      </c>
      <c r="G272" s="268"/>
      <c r="H272" s="268"/>
      <c r="I272" s="268"/>
      <c r="J272" s="268"/>
    </row>
    <row r="273" hidden="1" outlineLevel="2">
      <c r="A273" s="286"/>
      <c r="B273" s="286"/>
      <c r="C273" s="287"/>
      <c r="D273" s="288"/>
      <c r="E273" s="289"/>
      <c r="F273" s="268"/>
      <c r="G273" s="268"/>
      <c r="H273" s="268"/>
      <c r="I273" s="268"/>
      <c r="J273" s="268"/>
    </row>
    <row r="274" hidden="1" outlineLevel="2">
      <c r="A274" s="195" t="s">
        <v>269</v>
      </c>
      <c r="B274" s="286"/>
      <c r="C274" s="287"/>
      <c r="D274" s="288"/>
      <c r="E274" s="289"/>
      <c r="F274" s="268"/>
      <c r="G274" s="268"/>
      <c r="H274" s="268"/>
      <c r="I274" s="268"/>
      <c r="J274" s="268"/>
    </row>
    <row r="275" hidden="1" outlineLevel="2">
      <c r="A275" s="290" t="s">
        <v>240</v>
      </c>
      <c r="B275" s="291" t="s">
        <v>270</v>
      </c>
      <c r="C275" s="198">
        <v>46090.0</v>
      </c>
      <c r="D275" s="198">
        <v>46091.0</v>
      </c>
      <c r="E275" s="198">
        <v>46092.0</v>
      </c>
      <c r="F275" s="198">
        <v>46093.0</v>
      </c>
      <c r="G275" s="198">
        <v>46094.0</v>
      </c>
      <c r="H275" s="198">
        <v>46095.0</v>
      </c>
      <c r="I275" s="198">
        <v>46096.0</v>
      </c>
      <c r="J275" s="268"/>
    </row>
    <row r="276" hidden="1" outlineLevel="2">
      <c r="A276" s="325"/>
      <c r="B276" s="325"/>
      <c r="C276" s="205" t="s">
        <v>192</v>
      </c>
      <c r="D276" s="205" t="s">
        <v>272</v>
      </c>
      <c r="E276" s="205" t="s">
        <v>273</v>
      </c>
      <c r="F276" s="205" t="s">
        <v>274</v>
      </c>
      <c r="G276" s="205" t="s">
        <v>275</v>
      </c>
      <c r="H276" s="205" t="s">
        <v>276</v>
      </c>
      <c r="I276" s="205" t="s">
        <v>277</v>
      </c>
    </row>
    <row r="277" hidden="1" outlineLevel="2">
      <c r="A277" s="278" t="s">
        <v>25</v>
      </c>
      <c r="B277" s="293">
        <f t="shared" ref="B277:B284" si="75">Sum(C277:I277)</f>
        <v>8</v>
      </c>
      <c r="C277" s="297"/>
      <c r="D277" s="297"/>
      <c r="E277" s="297"/>
      <c r="F277" s="297"/>
      <c r="G277" s="296">
        <v>8.0</v>
      </c>
      <c r="H277" s="297"/>
      <c r="I277" s="296"/>
    </row>
    <row r="278" hidden="1" outlineLevel="2">
      <c r="A278" s="275" t="s">
        <v>4</v>
      </c>
      <c r="B278" s="293">
        <f t="shared" si="75"/>
        <v>10</v>
      </c>
      <c r="C278" s="295"/>
      <c r="D278" s="295"/>
      <c r="E278" s="295"/>
      <c r="F278" s="295"/>
      <c r="G278" s="295">
        <v>2.0</v>
      </c>
      <c r="H278" s="294"/>
      <c r="I278" s="295">
        <v>8.0</v>
      </c>
    </row>
    <row r="279" hidden="1" outlineLevel="2">
      <c r="A279" s="278" t="s">
        <v>19</v>
      </c>
      <c r="B279" s="293">
        <f t="shared" si="75"/>
        <v>6</v>
      </c>
      <c r="C279" s="296"/>
      <c r="D279" s="297"/>
      <c r="E279" s="296">
        <v>2.0</v>
      </c>
      <c r="F279" s="296"/>
      <c r="G279" s="296">
        <v>2.0</v>
      </c>
      <c r="H279" s="296">
        <v>2.0</v>
      </c>
      <c r="I279" s="297"/>
    </row>
    <row r="280" hidden="1" outlineLevel="2">
      <c r="A280" s="275" t="s">
        <v>30</v>
      </c>
      <c r="B280" s="293">
        <f t="shared" si="75"/>
        <v>5</v>
      </c>
      <c r="C280" s="295">
        <v>1.0</v>
      </c>
      <c r="D280" s="295">
        <v>2.0</v>
      </c>
      <c r="E280" s="295">
        <v>2.0</v>
      </c>
      <c r="F280" s="295"/>
      <c r="G280" s="295"/>
      <c r="H280" s="295"/>
      <c r="I280" s="294"/>
    </row>
    <row r="281" hidden="1" outlineLevel="2">
      <c r="A281" s="282" t="s">
        <v>31</v>
      </c>
      <c r="B281" s="293">
        <f t="shared" si="75"/>
        <v>11</v>
      </c>
      <c r="C281" s="296">
        <v>1.0</v>
      </c>
      <c r="D281" s="296">
        <v>8.0</v>
      </c>
      <c r="E281" s="296"/>
      <c r="F281" s="296">
        <v>2.0</v>
      </c>
      <c r="G281" s="296"/>
      <c r="H281" s="296"/>
      <c r="I281" s="297"/>
    </row>
    <row r="282" ht="16.5" hidden="1" customHeight="1" outlineLevel="2">
      <c r="A282" s="283" t="s">
        <v>129</v>
      </c>
      <c r="B282" s="293">
        <f t="shared" si="75"/>
        <v>10</v>
      </c>
      <c r="C282" s="295"/>
      <c r="D282" s="295"/>
      <c r="E282" s="295"/>
      <c r="F282" s="295"/>
      <c r="G282" s="294"/>
      <c r="H282" s="295">
        <v>2.0</v>
      </c>
      <c r="I282" s="295">
        <v>8.0</v>
      </c>
    </row>
    <row r="283" hidden="1" outlineLevel="2">
      <c r="A283" s="284" t="s">
        <v>13</v>
      </c>
      <c r="B283" s="293">
        <f t="shared" si="75"/>
        <v>8</v>
      </c>
      <c r="C283" s="297"/>
      <c r="D283" s="297"/>
      <c r="E283" s="296"/>
      <c r="F283" s="296">
        <v>8.0</v>
      </c>
      <c r="G283" s="296"/>
      <c r="H283" s="296"/>
      <c r="I283" s="297"/>
    </row>
    <row r="284" hidden="1" outlineLevel="2">
      <c r="A284" s="283" t="s">
        <v>64</v>
      </c>
      <c r="B284" s="293">
        <f t="shared" si="75"/>
        <v>8</v>
      </c>
      <c r="C284" s="294"/>
      <c r="D284" s="294"/>
      <c r="E284" s="295">
        <v>8.0</v>
      </c>
      <c r="F284" s="294"/>
      <c r="G284" s="295"/>
      <c r="H284" s="295"/>
      <c r="I284" s="294"/>
    </row>
    <row r="285" hidden="1" outlineLevel="2">
      <c r="A285" s="286"/>
      <c r="B285" s="286"/>
      <c r="C285" s="286"/>
      <c r="D285" s="286"/>
      <c r="E285" s="286"/>
      <c r="F285" s="286"/>
      <c r="G285" s="286"/>
      <c r="H285" s="286"/>
      <c r="I285" s="286"/>
    </row>
    <row r="286" hidden="1" outlineLevel="1" collapsed="1">
      <c r="A286" s="192" t="s">
        <v>508</v>
      </c>
    </row>
    <row r="287" hidden="1" outlineLevel="2">
      <c r="A287" s="195" t="s">
        <v>186</v>
      </c>
    </row>
    <row r="288" hidden="1" outlineLevel="2">
      <c r="A288" s="196" t="s">
        <v>187</v>
      </c>
      <c r="B288" s="197" t="s">
        <v>77</v>
      </c>
      <c r="C288" s="197" t="s">
        <v>189</v>
      </c>
      <c r="D288" s="198">
        <v>46097.0</v>
      </c>
      <c r="E288" s="198">
        <v>46098.0</v>
      </c>
      <c r="F288" s="198">
        <v>46099.0</v>
      </c>
      <c r="G288" s="198">
        <v>46100.0</v>
      </c>
      <c r="H288" s="198">
        <v>46101.0</v>
      </c>
      <c r="I288" s="198">
        <v>46102.0</v>
      </c>
      <c r="J288" s="198">
        <v>46103.0</v>
      </c>
      <c r="K288" s="199" t="s">
        <v>190</v>
      </c>
      <c r="L288" s="201" t="s">
        <v>191</v>
      </c>
    </row>
    <row r="289" hidden="1" outlineLevel="2">
      <c r="A289" s="202"/>
      <c r="B289" s="203"/>
      <c r="C289" s="203"/>
      <c r="D289" s="205" t="s">
        <v>192</v>
      </c>
      <c r="E289" s="205" t="str">
        <f t="shared" ref="E289:J289" si="76">text(E288,"ddd")</f>
        <v>Tue</v>
      </c>
      <c r="F289" s="205" t="str">
        <f t="shared" si="76"/>
        <v>Wed</v>
      </c>
      <c r="G289" s="205" t="str">
        <f t="shared" si="76"/>
        <v>Thu</v>
      </c>
      <c r="H289" s="205" t="str">
        <f t="shared" si="76"/>
        <v>Fri</v>
      </c>
      <c r="I289" s="205" t="str">
        <f t="shared" si="76"/>
        <v>Sat</v>
      </c>
      <c r="J289" s="205" t="str">
        <f t="shared" si="76"/>
        <v>Sun</v>
      </c>
      <c r="K289" s="206"/>
      <c r="L289" s="203"/>
    </row>
    <row r="290" hidden="1" outlineLevel="2">
      <c r="A290" s="207" t="s">
        <v>194</v>
      </c>
      <c r="B290" s="209">
        <f>25+30+15+20+25+25</f>
        <v>140</v>
      </c>
      <c r="C290" s="209">
        <f t="shared" ref="C290:C297" si="77">SUM(D290:J290)</f>
        <v>141</v>
      </c>
      <c r="D290" s="211">
        <v>26.0</v>
      </c>
      <c r="E290" s="211">
        <v>28.0</v>
      </c>
      <c r="F290" s="211">
        <v>15.0</v>
      </c>
      <c r="G290" s="211">
        <v>21.0</v>
      </c>
      <c r="H290" s="211">
        <v>28.0</v>
      </c>
      <c r="I290" s="211">
        <v>23.0</v>
      </c>
      <c r="J290" s="211" t="s">
        <v>92</v>
      </c>
      <c r="K290" s="214">
        <f t="shared" ref="K290:K297" si="78">iferror(C290/B290,"-")</f>
        <v>1.007142857</v>
      </c>
      <c r="L290" s="219">
        <f t="shared" ref="L290:L297" si="79">(IF(K290="",(0),IF(K290&gt;=1,(5),IF(K290&gt;=0.9,(4),IF(K290&gt;=0.8,(3),IF(K290&gt;=0.69,(2),IF(K290&lt;=0.69,(1))))))))</f>
        <v>5</v>
      </c>
    </row>
    <row r="291" hidden="1" outlineLevel="2">
      <c r="A291" s="220" t="s">
        <v>118</v>
      </c>
      <c r="B291" s="221">
        <f>25+15+15+20+25</f>
        <v>100</v>
      </c>
      <c r="C291" s="221">
        <f t="shared" si="77"/>
        <v>103</v>
      </c>
      <c r="D291" s="211">
        <v>22.0</v>
      </c>
      <c r="E291" s="211">
        <v>19.0</v>
      </c>
      <c r="F291" s="211">
        <v>17.0</v>
      </c>
      <c r="G291" s="310">
        <v>20.0</v>
      </c>
      <c r="H291" s="211">
        <v>25.0</v>
      </c>
      <c r="I291" s="211" t="s">
        <v>92</v>
      </c>
      <c r="J291" s="211" t="s">
        <v>92</v>
      </c>
      <c r="K291" s="214">
        <f t="shared" si="78"/>
        <v>1.03</v>
      </c>
      <c r="L291" s="219">
        <f t="shared" si="79"/>
        <v>5</v>
      </c>
    </row>
    <row r="292" hidden="1" outlineLevel="2">
      <c r="A292" s="207" t="s">
        <v>19</v>
      </c>
      <c r="B292" s="209">
        <f>30+30+30+25+25</f>
        <v>140</v>
      </c>
      <c r="C292" s="209">
        <f t="shared" si="77"/>
        <v>140</v>
      </c>
      <c r="D292" s="211">
        <v>28.0</v>
      </c>
      <c r="E292" s="211" t="s">
        <v>92</v>
      </c>
      <c r="F292" s="211">
        <v>35.0</v>
      </c>
      <c r="G292" s="211">
        <v>31.0</v>
      </c>
      <c r="H292" s="211">
        <v>23.0</v>
      </c>
      <c r="I292" s="211">
        <v>23.0</v>
      </c>
      <c r="J292" s="211" t="s">
        <v>92</v>
      </c>
      <c r="K292" s="214">
        <f t="shared" si="78"/>
        <v>1</v>
      </c>
      <c r="L292" s="219">
        <f t="shared" si="79"/>
        <v>5</v>
      </c>
    </row>
    <row r="293" hidden="1" outlineLevel="2">
      <c r="A293" s="220" t="s">
        <v>120</v>
      </c>
      <c r="B293" s="221">
        <f>15+15+20+15</f>
        <v>65</v>
      </c>
      <c r="C293" s="221">
        <f t="shared" si="77"/>
        <v>67</v>
      </c>
      <c r="D293" s="211" t="s">
        <v>197</v>
      </c>
      <c r="E293" s="211">
        <v>12.0</v>
      </c>
      <c r="F293" s="211">
        <v>19.0</v>
      </c>
      <c r="G293" s="211">
        <v>19.0</v>
      </c>
      <c r="H293" s="211">
        <v>17.0</v>
      </c>
      <c r="I293" s="211">
        <v>0.0</v>
      </c>
      <c r="J293" s="211" t="s">
        <v>92</v>
      </c>
      <c r="K293" s="214">
        <f t="shared" si="78"/>
        <v>1.030769231</v>
      </c>
      <c r="L293" s="219">
        <f t="shared" si="79"/>
        <v>5</v>
      </c>
    </row>
    <row r="294" hidden="1" outlineLevel="2">
      <c r="A294" s="222" t="s">
        <v>22</v>
      </c>
      <c r="B294" s="209">
        <f>20+30+20+25+25</f>
        <v>120</v>
      </c>
      <c r="C294" s="221">
        <f t="shared" si="77"/>
        <v>120</v>
      </c>
      <c r="D294" s="211">
        <v>18.0</v>
      </c>
      <c r="E294" s="211">
        <v>30.0</v>
      </c>
      <c r="F294" s="211">
        <v>24.0</v>
      </c>
      <c r="G294" s="211">
        <v>24.0</v>
      </c>
      <c r="H294" s="211" t="s">
        <v>92</v>
      </c>
      <c r="I294" s="211" t="s">
        <v>92</v>
      </c>
      <c r="J294" s="224">
        <v>24.0</v>
      </c>
      <c r="K294" s="214">
        <f t="shared" si="78"/>
        <v>1</v>
      </c>
      <c r="L294" s="219">
        <f t="shared" si="79"/>
        <v>5</v>
      </c>
    </row>
    <row r="295" hidden="1" outlineLevel="2">
      <c r="A295" s="223" t="s">
        <v>129</v>
      </c>
      <c r="B295" s="221">
        <f>25+20+20+25+25+25</f>
        <v>140</v>
      </c>
      <c r="C295" s="209">
        <f t="shared" si="77"/>
        <v>137</v>
      </c>
      <c r="D295" s="211">
        <v>25.0</v>
      </c>
      <c r="E295" s="211">
        <v>15.0</v>
      </c>
      <c r="F295" s="211">
        <v>22.0</v>
      </c>
      <c r="G295" s="211">
        <v>24.0</v>
      </c>
      <c r="H295" s="211" t="s">
        <v>92</v>
      </c>
      <c r="I295" s="211">
        <v>28.0</v>
      </c>
      <c r="J295" s="224">
        <v>23.0</v>
      </c>
      <c r="K295" s="214">
        <f t="shared" si="78"/>
        <v>0.9785714286</v>
      </c>
      <c r="L295" s="219">
        <f t="shared" si="79"/>
        <v>4</v>
      </c>
    </row>
    <row r="296" hidden="1" outlineLevel="2">
      <c r="A296" s="223" t="s">
        <v>13</v>
      </c>
      <c r="B296" s="209">
        <f>20+15+25+20+20+10</f>
        <v>110</v>
      </c>
      <c r="C296" s="209">
        <f t="shared" si="77"/>
        <v>104</v>
      </c>
      <c r="D296" s="211">
        <v>22.0</v>
      </c>
      <c r="E296" s="211">
        <v>14.0</v>
      </c>
      <c r="F296" s="211" t="s">
        <v>92</v>
      </c>
      <c r="G296" s="211">
        <v>26.0</v>
      </c>
      <c r="H296" s="211">
        <v>12.0</v>
      </c>
      <c r="I296" s="211">
        <v>18.0</v>
      </c>
      <c r="J296" s="224">
        <v>12.0</v>
      </c>
      <c r="K296" s="214">
        <f t="shared" si="78"/>
        <v>0.9454545455</v>
      </c>
      <c r="L296" s="219">
        <f t="shared" si="79"/>
        <v>4</v>
      </c>
    </row>
    <row r="297" hidden="1" outlineLevel="2">
      <c r="A297" s="223" t="s">
        <v>428</v>
      </c>
      <c r="B297" s="382">
        <f>13*5+7</f>
        <v>72</v>
      </c>
      <c r="C297" s="209">
        <f t="shared" si="77"/>
        <v>85</v>
      </c>
      <c r="D297" s="211">
        <v>18.0</v>
      </c>
      <c r="E297" s="211">
        <v>12.0</v>
      </c>
      <c r="F297" s="211">
        <v>17.0</v>
      </c>
      <c r="G297" s="211" t="s">
        <v>92</v>
      </c>
      <c r="H297" s="211">
        <v>14.0</v>
      </c>
      <c r="I297" s="211">
        <v>13.0</v>
      </c>
      <c r="J297" s="224">
        <v>11.0</v>
      </c>
      <c r="K297" s="214">
        <f t="shared" si="78"/>
        <v>1.180555556</v>
      </c>
      <c r="L297" s="219">
        <f t="shared" si="79"/>
        <v>5</v>
      </c>
    </row>
    <row r="298" hidden="1" outlineLevel="2"/>
    <row r="299" hidden="1" outlineLevel="2">
      <c r="A299" s="195" t="s">
        <v>135</v>
      </c>
      <c r="I299" s="195"/>
    </row>
    <row r="300" hidden="1" outlineLevel="2">
      <c r="A300" s="196" t="s">
        <v>187</v>
      </c>
      <c r="B300" s="225" t="s">
        <v>218</v>
      </c>
      <c r="C300" s="225" t="s">
        <v>219</v>
      </c>
      <c r="D300" s="225" t="s">
        <v>139</v>
      </c>
      <c r="E300" s="225" t="s">
        <v>140</v>
      </c>
      <c r="F300" s="225" t="s">
        <v>141</v>
      </c>
      <c r="G300" s="226" t="s">
        <v>143</v>
      </c>
      <c r="H300" s="226" t="s">
        <v>221</v>
      </c>
    </row>
    <row r="301" hidden="1" outlineLevel="2">
      <c r="A301" s="202"/>
      <c r="B301" s="203"/>
      <c r="C301" s="227"/>
      <c r="D301" s="227"/>
      <c r="E301" s="227"/>
      <c r="F301" s="227"/>
      <c r="G301" s="227"/>
      <c r="H301" s="227"/>
    </row>
    <row r="302" hidden="1" outlineLevel="2">
      <c r="A302" s="207" t="s">
        <v>194</v>
      </c>
      <c r="B302" s="335">
        <v>162.0</v>
      </c>
      <c r="C302" s="335">
        <v>159.0</v>
      </c>
      <c r="D302" s="229">
        <f t="shared" ref="D302:D303" si="80">B302-C302</f>
        <v>3</v>
      </c>
      <c r="E302" s="230">
        <f t="shared" ref="E302:E309" si="81">IFERROR(C302/B302,"")</f>
        <v>0.9814814815</v>
      </c>
      <c r="F302" s="339">
        <v>0.0019212962962962964</v>
      </c>
      <c r="G302" s="240">
        <f t="shared" ref="G302:G309" si="82">IFERROR((IF(E302="",(0),IF(E302&gt;=0.98,(5),IF(E302&gt;=0.95,(4.5),IF(E302&gt;=0.9,(4),IF(E302&gt;=0.8,(3),IF(E302&lt;=0.69,(1)))))))),"")</f>
        <v>5</v>
      </c>
      <c r="H302" s="240">
        <f>ROUND(
IF(F302="",
0,
MAX(1, 5 - MAX(0, (F302 - TIME(0,4,0)) / TIME(0,1,0) * 0.5))
),
2
)
</f>
        <v>5</v>
      </c>
    </row>
    <row r="303" hidden="1" outlineLevel="2">
      <c r="A303" s="220" t="s">
        <v>118</v>
      </c>
      <c r="B303" s="341">
        <v>110.0</v>
      </c>
      <c r="C303" s="341">
        <v>110.0</v>
      </c>
      <c r="D303" s="342">
        <f t="shared" si="80"/>
        <v>0</v>
      </c>
      <c r="E303" s="254">
        <f t="shared" si="81"/>
        <v>1</v>
      </c>
      <c r="F303" s="344">
        <v>0.004884259259259259</v>
      </c>
      <c r="G303" s="240">
        <f t="shared" si="82"/>
        <v>5</v>
      </c>
      <c r="H303" s="240">
        <f>ROUND(
IF(F303="",
0,
MAX(1, 5 - MAX(0, (F303 - TIME(0,7,0)) / TIME(0,1,0) * 0.5))
),
2
)
</f>
        <v>4.98</v>
      </c>
    </row>
    <row r="304" hidden="1" outlineLevel="2">
      <c r="A304" s="207" t="s">
        <v>19</v>
      </c>
      <c r="B304" s="341">
        <v>147.0</v>
      </c>
      <c r="C304" s="341">
        <v>144.0</v>
      </c>
      <c r="D304" s="342">
        <v>1.0</v>
      </c>
      <c r="E304" s="254">
        <f t="shared" si="81"/>
        <v>0.9795918367</v>
      </c>
      <c r="F304" s="344">
        <v>0.0037731481481481483</v>
      </c>
      <c r="G304" s="240">
        <f t="shared" si="82"/>
        <v>4.5</v>
      </c>
      <c r="H304" s="240">
        <f>ROUND(
IF(F304="",
0,
MAX(1, 5 - MAX(0, (F304 - TIME(0,4,0)) / TIME(0,1,0) * 0.5))
),
2
)
</f>
        <v>4.28</v>
      </c>
    </row>
    <row r="305" hidden="1" outlineLevel="2">
      <c r="A305" s="220" t="s">
        <v>120</v>
      </c>
      <c r="B305" s="335">
        <v>74.0</v>
      </c>
      <c r="C305" s="335">
        <v>72.0</v>
      </c>
      <c r="D305" s="229">
        <f t="shared" ref="D305:D309" si="83">B305-C305</f>
        <v>2</v>
      </c>
      <c r="E305" s="230">
        <f t="shared" si="81"/>
        <v>0.972972973</v>
      </c>
      <c r="F305" s="339">
        <v>0.0042592592592592595</v>
      </c>
      <c r="G305" s="240">
        <f t="shared" si="82"/>
        <v>4.5</v>
      </c>
      <c r="H305" s="240">
        <f>ROUND(
IF(F305="",
0,
MAX(1, 5 - MAX(0, (F305 - TIME(0,7,0)) / TIME(0,1,0) * 0.5))
),
2
)
</f>
        <v>5</v>
      </c>
    </row>
    <row r="306" hidden="1" outlineLevel="2">
      <c r="A306" s="222" t="s">
        <v>22</v>
      </c>
      <c r="B306" s="335">
        <v>133.0</v>
      </c>
      <c r="C306" s="335">
        <v>131.0</v>
      </c>
      <c r="D306" s="229">
        <f t="shared" si="83"/>
        <v>2</v>
      </c>
      <c r="E306" s="230">
        <f t="shared" si="81"/>
        <v>0.984962406</v>
      </c>
      <c r="F306" s="339">
        <v>0.002824074074074074</v>
      </c>
      <c r="G306" s="240">
        <f t="shared" si="82"/>
        <v>5</v>
      </c>
      <c r="H306" s="240">
        <f>ROUND(
IF(F306="",
0,
MAX(1, 5 - MAX(0, (F306 - TIME(0,4,0)) / TIME(0,1,0) * 0.5))
),
2
)
</f>
        <v>4.97</v>
      </c>
    </row>
    <row r="307" hidden="1" outlineLevel="2">
      <c r="A307" s="223" t="s">
        <v>129</v>
      </c>
      <c r="B307" s="341">
        <v>136.0</v>
      </c>
      <c r="C307" s="341">
        <v>136.0</v>
      </c>
      <c r="D307" s="342">
        <f t="shared" si="83"/>
        <v>0</v>
      </c>
      <c r="E307" s="254">
        <f t="shared" si="81"/>
        <v>1</v>
      </c>
      <c r="F307" s="344">
        <v>0.004618055555555556</v>
      </c>
      <c r="G307" s="240">
        <f t="shared" si="82"/>
        <v>5</v>
      </c>
      <c r="H307" s="240">
        <f>ROUND(
IF(F307="",
0,
MAX(1, 5 - MAX(0, (F307 - TIME(0,7,0)) / TIME(0,1,0) * 0.5))
),
2
)
</f>
        <v>5</v>
      </c>
    </row>
    <row r="308" hidden="1" outlineLevel="2">
      <c r="A308" s="223" t="s">
        <v>13</v>
      </c>
      <c r="B308" s="335">
        <v>109.0</v>
      </c>
      <c r="C308" s="335">
        <v>108.0</v>
      </c>
      <c r="D308" s="229">
        <f t="shared" si="83"/>
        <v>1</v>
      </c>
      <c r="E308" s="230">
        <f t="shared" si="81"/>
        <v>0.9908256881</v>
      </c>
      <c r="F308" s="339">
        <v>0.004756944444444445</v>
      </c>
      <c r="G308" s="240">
        <f t="shared" si="82"/>
        <v>5</v>
      </c>
      <c r="H308" s="240">
        <f>ROUND(
IF(F308="",
0,
MAX(1, 5 - MAX(0, (F308 - TIME(0,8,0)) / TIME(0,1,0) * 0.5))
),
2
)
</f>
        <v>5</v>
      </c>
    </row>
    <row r="309" hidden="1" outlineLevel="2">
      <c r="A309" s="223" t="s">
        <v>428</v>
      </c>
      <c r="B309" s="341">
        <v>87.0</v>
      </c>
      <c r="C309" s="341">
        <v>86.0</v>
      </c>
      <c r="D309" s="342">
        <f t="shared" si="83"/>
        <v>1</v>
      </c>
      <c r="E309" s="254">
        <f t="shared" si="81"/>
        <v>0.9885057471</v>
      </c>
      <c r="F309" s="344">
        <v>0.005092592592592593</v>
      </c>
      <c r="G309" s="240">
        <f t="shared" si="82"/>
        <v>5</v>
      </c>
      <c r="H309" s="240">
        <f>ROUND(
IF(F309="",
0,
MAX(1, 5 - MAX(0, (F309 - TIME(0,10,0)) / TIME(0,1,0) * 0.5))
),
2
)
</f>
        <v>5</v>
      </c>
    </row>
    <row r="310" hidden="1" outlineLevel="2"/>
    <row r="311" hidden="1" outlineLevel="2">
      <c r="A311" s="195" t="s">
        <v>239</v>
      </c>
    </row>
    <row r="312" hidden="1" outlineLevel="2">
      <c r="A312" s="260" t="s">
        <v>240</v>
      </c>
      <c r="B312" s="262" t="s">
        <v>241</v>
      </c>
      <c r="C312" s="264" t="s">
        <v>242</v>
      </c>
      <c r="D312" s="264" t="s">
        <v>243</v>
      </c>
      <c r="E312" s="265" t="s">
        <v>244</v>
      </c>
      <c r="F312" s="267" t="s">
        <v>247</v>
      </c>
      <c r="G312" s="268"/>
    </row>
    <row r="313" hidden="1" outlineLevel="2">
      <c r="A313" s="269" t="s">
        <v>25</v>
      </c>
      <c r="B313" s="271" t="str">
        <f t="shared" ref="B313:B320" si="84">(C313*0.3)+(D313*0.1)</f>
        <v>#REF!</v>
      </c>
      <c r="C313" s="272">
        <v>1.0</v>
      </c>
      <c r="D313" s="272" t="str">
        <f t="shared" ref="D313:D318" si="85">#REF!</f>
        <v>#REF!</v>
      </c>
      <c r="E313" s="273">
        <f t="shared" ref="E313:E320" si="86">(L290+G302+H302)/15*0.3</f>
        <v>0.3</v>
      </c>
      <c r="F313" s="274">
        <f t="shared" ref="F313:F320" si="87">(E313/30%)*10</f>
        <v>10</v>
      </c>
      <c r="G313" s="268"/>
      <c r="H313" s="268"/>
      <c r="I313" s="268"/>
      <c r="J313" s="268"/>
    </row>
    <row r="314" hidden="1" outlineLevel="2">
      <c r="A314" s="275" t="s">
        <v>4</v>
      </c>
      <c r="B314" s="276" t="str">
        <f t="shared" si="84"/>
        <v>#REF!</v>
      </c>
      <c r="C314" s="272">
        <v>1.0</v>
      </c>
      <c r="D314" s="272" t="str">
        <f t="shared" si="85"/>
        <v>#REF!</v>
      </c>
      <c r="E314" s="277">
        <f t="shared" si="86"/>
        <v>0.2996</v>
      </c>
      <c r="F314" s="274">
        <f t="shared" si="87"/>
        <v>9.986666667</v>
      </c>
      <c r="G314" s="268"/>
      <c r="H314" s="268"/>
      <c r="I314" s="268"/>
      <c r="J314" s="268"/>
    </row>
    <row r="315" hidden="1" outlineLevel="2">
      <c r="A315" s="278" t="s">
        <v>19</v>
      </c>
      <c r="B315" s="279" t="str">
        <f t="shared" si="84"/>
        <v>#REF!</v>
      </c>
      <c r="C315" s="272">
        <v>0.8</v>
      </c>
      <c r="D315" s="280" t="str">
        <f t="shared" si="85"/>
        <v>#REF!</v>
      </c>
      <c r="E315" s="281">
        <f t="shared" si="86"/>
        <v>0.2756</v>
      </c>
      <c r="F315" s="274">
        <f t="shared" si="87"/>
        <v>9.186666667</v>
      </c>
      <c r="G315" s="268"/>
      <c r="H315" s="268"/>
      <c r="I315" s="268"/>
      <c r="J315" s="268"/>
    </row>
    <row r="316" hidden="1" outlineLevel="2">
      <c r="A316" s="275" t="s">
        <v>30</v>
      </c>
      <c r="B316" s="276" t="str">
        <f t="shared" si="84"/>
        <v>#REF!</v>
      </c>
      <c r="C316" s="272">
        <v>1.0</v>
      </c>
      <c r="D316" s="280" t="str">
        <f t="shared" si="85"/>
        <v>#REF!</v>
      </c>
      <c r="E316" s="277">
        <f t="shared" si="86"/>
        <v>0.29</v>
      </c>
      <c r="F316" s="274">
        <f t="shared" si="87"/>
        <v>9.666666667</v>
      </c>
      <c r="G316" s="268"/>
      <c r="H316" s="268"/>
      <c r="I316" s="268"/>
      <c r="J316" s="268"/>
    </row>
    <row r="317" hidden="1" outlineLevel="2">
      <c r="A317" s="282" t="s">
        <v>31</v>
      </c>
      <c r="B317" s="279" t="str">
        <f t="shared" si="84"/>
        <v>#REF!</v>
      </c>
      <c r="C317" s="272">
        <v>1.0</v>
      </c>
      <c r="D317" s="280" t="str">
        <f t="shared" si="85"/>
        <v>#REF!</v>
      </c>
      <c r="E317" s="281">
        <f t="shared" si="86"/>
        <v>0.2994</v>
      </c>
      <c r="F317" s="274">
        <f t="shared" si="87"/>
        <v>9.98</v>
      </c>
      <c r="G317" s="268"/>
      <c r="H317" s="268"/>
      <c r="I317" s="268"/>
      <c r="J317" s="268"/>
    </row>
    <row r="318" hidden="1" outlineLevel="2">
      <c r="A318" s="283" t="s">
        <v>129</v>
      </c>
      <c r="B318" s="276" t="str">
        <f t="shared" si="84"/>
        <v>#REF!</v>
      </c>
      <c r="C318" s="272">
        <v>1.0</v>
      </c>
      <c r="D318" s="280" t="str">
        <f t="shared" si="85"/>
        <v>#REF!</v>
      </c>
      <c r="E318" s="277">
        <f t="shared" si="86"/>
        <v>0.28</v>
      </c>
      <c r="F318" s="274">
        <f t="shared" si="87"/>
        <v>9.333333333</v>
      </c>
      <c r="G318" s="268"/>
      <c r="H318" s="268"/>
      <c r="I318" s="268"/>
      <c r="J318" s="268"/>
    </row>
    <row r="319" hidden="1" outlineLevel="2">
      <c r="A319" s="284" t="s">
        <v>13</v>
      </c>
      <c r="B319" s="279">
        <f t="shared" si="84"/>
        <v>0.4</v>
      </c>
      <c r="C319" s="272">
        <v>1.0</v>
      </c>
      <c r="D319" s="280">
        <f>Lyra!D143</f>
        <v>1</v>
      </c>
      <c r="E319" s="281">
        <f t="shared" si="86"/>
        <v>0.28</v>
      </c>
      <c r="F319" s="274">
        <f t="shared" si="87"/>
        <v>9.333333333</v>
      </c>
      <c r="G319" s="268"/>
      <c r="H319" s="268"/>
      <c r="I319" s="268"/>
      <c r="J319" s="268"/>
      <c r="K319" s="162">
        <v>0.0</v>
      </c>
    </row>
    <row r="320" hidden="1" outlineLevel="2">
      <c r="A320" s="283" t="s">
        <v>428</v>
      </c>
      <c r="B320" s="276">
        <f t="shared" si="84"/>
        <v>0.4</v>
      </c>
      <c r="C320" s="272">
        <v>1.0</v>
      </c>
      <c r="D320" s="280">
        <f>Mikka!D88</f>
        <v>1</v>
      </c>
      <c r="E320" s="277">
        <f t="shared" si="86"/>
        <v>0.3</v>
      </c>
      <c r="F320" s="274">
        <f t="shared" si="87"/>
        <v>10</v>
      </c>
      <c r="G320" s="268"/>
      <c r="H320" s="268"/>
      <c r="I320" s="268"/>
      <c r="J320" s="268"/>
    </row>
    <row r="321" hidden="1" outlineLevel="2">
      <c r="A321" s="286"/>
      <c r="B321" s="286"/>
      <c r="C321" s="287"/>
      <c r="D321" s="288"/>
      <c r="E321" s="289"/>
      <c r="F321" s="268"/>
      <c r="G321" s="268"/>
      <c r="H321" s="268"/>
      <c r="I321" s="268"/>
      <c r="J321" s="268"/>
    </row>
    <row r="322" hidden="1" outlineLevel="2">
      <c r="A322" s="195" t="s">
        <v>269</v>
      </c>
      <c r="B322" s="286"/>
      <c r="C322" s="287"/>
      <c r="D322" s="288"/>
      <c r="E322" s="289"/>
      <c r="F322" s="268"/>
      <c r="G322" s="268"/>
      <c r="H322" s="268"/>
      <c r="I322" s="268"/>
      <c r="J322" s="268"/>
    </row>
    <row r="323" hidden="1" outlineLevel="2">
      <c r="A323" s="290" t="s">
        <v>240</v>
      </c>
      <c r="B323" s="291" t="s">
        <v>270</v>
      </c>
      <c r="C323" s="198">
        <v>46097.0</v>
      </c>
      <c r="D323" s="198">
        <v>46098.0</v>
      </c>
      <c r="E323" s="198">
        <v>46099.0</v>
      </c>
      <c r="F323" s="198">
        <v>46100.0</v>
      </c>
      <c r="G323" s="198">
        <v>46101.0</v>
      </c>
      <c r="H323" s="198">
        <v>46102.0</v>
      </c>
      <c r="I323" s="198">
        <v>46103.0</v>
      </c>
      <c r="J323" s="268"/>
    </row>
    <row r="324" hidden="1" outlineLevel="2">
      <c r="A324" s="325"/>
      <c r="B324" s="325"/>
      <c r="C324" s="205" t="s">
        <v>192</v>
      </c>
      <c r="D324" s="205" t="s">
        <v>272</v>
      </c>
      <c r="E324" s="205" t="s">
        <v>273</v>
      </c>
      <c r="F324" s="205" t="s">
        <v>274</v>
      </c>
      <c r="G324" s="205" t="s">
        <v>275</v>
      </c>
      <c r="H324" s="205" t="s">
        <v>276</v>
      </c>
      <c r="I324" s="205" t="s">
        <v>277</v>
      </c>
    </row>
    <row r="325" hidden="1" outlineLevel="2">
      <c r="A325" s="278" t="s">
        <v>25</v>
      </c>
      <c r="B325" s="293">
        <f t="shared" ref="B325:B332" si="88">Sum(C325:I325)</f>
        <v>10</v>
      </c>
      <c r="C325" s="296">
        <v>2.0</v>
      </c>
      <c r="D325" s="297"/>
      <c r="E325" s="297"/>
      <c r="F325" s="297"/>
      <c r="G325" s="296"/>
      <c r="H325" s="296">
        <v>8.0</v>
      </c>
      <c r="I325" s="296"/>
    </row>
    <row r="326" hidden="1" outlineLevel="2">
      <c r="A326" s="275" t="s">
        <v>4</v>
      </c>
      <c r="B326" s="293">
        <f t="shared" si="88"/>
        <v>0</v>
      </c>
      <c r="C326" s="295"/>
      <c r="D326" s="295"/>
      <c r="E326" s="295"/>
      <c r="F326" s="295"/>
      <c r="G326" s="295"/>
      <c r="H326" s="294"/>
      <c r="I326" s="295"/>
    </row>
    <row r="327" hidden="1" outlineLevel="2">
      <c r="A327" s="278" t="s">
        <v>19</v>
      </c>
      <c r="B327" s="293">
        <f t="shared" si="88"/>
        <v>2</v>
      </c>
      <c r="C327" s="296"/>
      <c r="D327" s="297"/>
      <c r="E327" s="296">
        <v>2.0</v>
      </c>
      <c r="F327" s="296"/>
      <c r="G327" s="296"/>
      <c r="H327" s="296"/>
      <c r="I327" s="297"/>
    </row>
    <row r="328" hidden="1" outlineLevel="2">
      <c r="A328" s="275" t="s">
        <v>30</v>
      </c>
      <c r="B328" s="293">
        <f t="shared" si="88"/>
        <v>2</v>
      </c>
      <c r="C328" s="295"/>
      <c r="D328" s="295"/>
      <c r="E328" s="295"/>
      <c r="F328" s="295"/>
      <c r="G328" s="295">
        <v>2.0</v>
      </c>
      <c r="H328" s="295"/>
      <c r="I328" s="294"/>
    </row>
    <row r="329" hidden="1" outlineLevel="2">
      <c r="A329" s="282" t="s">
        <v>31</v>
      </c>
      <c r="B329" s="293">
        <f t="shared" si="88"/>
        <v>2</v>
      </c>
      <c r="C329" s="296">
        <v>2.0</v>
      </c>
      <c r="D329" s="296"/>
      <c r="E329" s="296"/>
      <c r="F329" s="296"/>
      <c r="G329" s="296"/>
      <c r="H329" s="296"/>
      <c r="I329" s="297"/>
    </row>
    <row r="330" ht="16.5" hidden="1" customHeight="1" outlineLevel="2">
      <c r="A330" s="283" t="s">
        <v>129</v>
      </c>
      <c r="B330" s="293">
        <f t="shared" si="88"/>
        <v>10</v>
      </c>
      <c r="C330" s="295"/>
      <c r="D330" s="295"/>
      <c r="E330" s="295"/>
      <c r="F330" s="295">
        <v>8.0</v>
      </c>
      <c r="G330" s="294"/>
      <c r="H330" s="295">
        <v>2.0</v>
      </c>
      <c r="I330" s="295"/>
    </row>
    <row r="331" hidden="1" outlineLevel="2">
      <c r="A331" s="284" t="s">
        <v>13</v>
      </c>
      <c r="B331" s="293">
        <f t="shared" si="88"/>
        <v>8</v>
      </c>
      <c r="C331" s="297"/>
      <c r="D331" s="297"/>
      <c r="E331" s="296"/>
      <c r="F331" s="296">
        <v>8.0</v>
      </c>
      <c r="G331" s="296"/>
      <c r="H331" s="296"/>
      <c r="I331" s="297"/>
    </row>
    <row r="332" hidden="1" outlineLevel="2">
      <c r="A332" s="283" t="s">
        <v>64</v>
      </c>
      <c r="B332" s="293">
        <f t="shared" si="88"/>
        <v>8</v>
      </c>
      <c r="C332" s="294"/>
      <c r="D332" s="294"/>
      <c r="E332" s="295">
        <v>8.0</v>
      </c>
      <c r="F332" s="294"/>
      <c r="G332" s="295"/>
      <c r="H332" s="295"/>
      <c r="I332" s="294"/>
    </row>
    <row r="333" hidden="1" outlineLevel="2">
      <c r="A333" s="286"/>
      <c r="B333" s="286"/>
      <c r="C333" s="286"/>
      <c r="D333" s="286"/>
      <c r="E333" s="286"/>
      <c r="F333" s="286"/>
      <c r="G333" s="286"/>
      <c r="H333" s="286"/>
      <c r="I333" s="286"/>
    </row>
    <row r="334" hidden="1" outlineLevel="1" collapsed="1">
      <c r="A334" s="192" t="s">
        <v>546</v>
      </c>
    </row>
    <row r="335" hidden="1" outlineLevel="2">
      <c r="A335" s="195" t="s">
        <v>186</v>
      </c>
    </row>
    <row r="336" hidden="1" outlineLevel="2">
      <c r="A336" s="196" t="s">
        <v>187</v>
      </c>
      <c r="B336" s="197" t="s">
        <v>77</v>
      </c>
      <c r="C336" s="197" t="s">
        <v>189</v>
      </c>
      <c r="D336" s="198">
        <v>46104.0</v>
      </c>
      <c r="E336" s="198">
        <v>46105.0</v>
      </c>
      <c r="F336" s="198">
        <v>46106.0</v>
      </c>
      <c r="G336" s="198">
        <v>46107.0</v>
      </c>
      <c r="H336" s="198">
        <v>46108.0</v>
      </c>
      <c r="I336" s="198">
        <v>46109.0</v>
      </c>
      <c r="J336" s="198">
        <v>46110.0</v>
      </c>
      <c r="K336" s="199" t="s">
        <v>190</v>
      </c>
      <c r="L336" s="201" t="s">
        <v>191</v>
      </c>
    </row>
    <row r="337" hidden="1" outlineLevel="2">
      <c r="A337" s="202"/>
      <c r="B337" s="203"/>
      <c r="C337" s="203"/>
      <c r="D337" s="205" t="s">
        <v>192</v>
      </c>
      <c r="E337" s="205" t="str">
        <f t="shared" ref="E337:J337" si="89">text(E336,"ddd")</f>
        <v>Tue</v>
      </c>
      <c r="F337" s="205" t="str">
        <f t="shared" si="89"/>
        <v>Wed</v>
      </c>
      <c r="G337" s="205" t="str">
        <f t="shared" si="89"/>
        <v>Thu</v>
      </c>
      <c r="H337" s="205" t="str">
        <f t="shared" si="89"/>
        <v>Fri</v>
      </c>
      <c r="I337" s="205" t="str">
        <f t="shared" si="89"/>
        <v>Sat</v>
      </c>
      <c r="J337" s="205" t="str">
        <f t="shared" si="89"/>
        <v>Sun</v>
      </c>
      <c r="K337" s="206"/>
      <c r="L337" s="203"/>
    </row>
    <row r="338" hidden="1" outlineLevel="2">
      <c r="A338" s="207" t="s">
        <v>194</v>
      </c>
      <c r="B338" s="209">
        <f>30+20+20+25+35</f>
        <v>130</v>
      </c>
      <c r="C338" s="209">
        <f t="shared" ref="C338:C345" si="90">SUM(D338:J338)</f>
        <v>132</v>
      </c>
      <c r="D338" s="211">
        <v>28.0</v>
      </c>
      <c r="E338" s="211">
        <v>21.0</v>
      </c>
      <c r="F338" s="211">
        <v>18.0</v>
      </c>
      <c r="G338" s="211">
        <v>25.0</v>
      </c>
      <c r="H338" s="211">
        <v>40.0</v>
      </c>
      <c r="I338" s="211" t="s">
        <v>92</v>
      </c>
      <c r="J338" s="211" t="s">
        <v>92</v>
      </c>
      <c r="K338" s="214">
        <f t="shared" ref="K338:K345" si="91">iferror(C338/B338,"-")</f>
        <v>1.015384615</v>
      </c>
      <c r="L338" s="219">
        <f t="shared" ref="L338:L345" si="92">(IF(K338="",(0),IF(K338&gt;=1,(5),IF(K338&gt;=0.9,(4),IF(K338&gt;=0.8,(3),IF(K338&gt;=0.69,(2),IF(K338&lt;=0.69,(1))))))))</f>
        <v>5</v>
      </c>
    </row>
    <row r="339" hidden="1" outlineLevel="2">
      <c r="A339" s="220" t="s">
        <v>118</v>
      </c>
      <c r="B339" s="221">
        <f>30+20+30+25+30</f>
        <v>135</v>
      </c>
      <c r="C339" s="221">
        <f t="shared" si="90"/>
        <v>122</v>
      </c>
      <c r="D339" s="211">
        <v>31.0</v>
      </c>
      <c r="E339" s="211">
        <v>19.0</v>
      </c>
      <c r="F339" s="211">
        <v>30.0</v>
      </c>
      <c r="G339" s="310">
        <v>24.0</v>
      </c>
      <c r="H339" s="211">
        <v>18.0</v>
      </c>
      <c r="I339" s="211" t="s">
        <v>92</v>
      </c>
      <c r="J339" s="211" t="s">
        <v>92</v>
      </c>
      <c r="K339" s="214">
        <f t="shared" si="91"/>
        <v>0.9037037037</v>
      </c>
      <c r="L339" s="219">
        <f t="shared" si="92"/>
        <v>4</v>
      </c>
    </row>
    <row r="340" hidden="1" outlineLevel="2">
      <c r="A340" s="207" t="s">
        <v>19</v>
      </c>
      <c r="B340" s="209">
        <f>30+30+35+40+25</f>
        <v>160</v>
      </c>
      <c r="C340" s="209">
        <f t="shared" si="90"/>
        <v>145</v>
      </c>
      <c r="D340" s="211">
        <v>32.0</v>
      </c>
      <c r="E340" s="211" t="s">
        <v>92</v>
      </c>
      <c r="F340" s="211">
        <v>26.0</v>
      </c>
      <c r="G340" s="211">
        <v>33.0</v>
      </c>
      <c r="H340" s="211">
        <v>30.0</v>
      </c>
      <c r="I340" s="211">
        <v>24.0</v>
      </c>
      <c r="J340" s="211" t="s">
        <v>92</v>
      </c>
      <c r="K340" s="214">
        <f t="shared" si="91"/>
        <v>0.90625</v>
      </c>
      <c r="L340" s="219">
        <f t="shared" si="92"/>
        <v>4</v>
      </c>
    </row>
    <row r="341" hidden="1" outlineLevel="2">
      <c r="A341" s="220" t="s">
        <v>120</v>
      </c>
      <c r="B341" s="221">
        <f>20+25+20+25+15</f>
        <v>105</v>
      </c>
      <c r="C341" s="221">
        <f t="shared" si="90"/>
        <v>107</v>
      </c>
      <c r="D341" s="211" t="s">
        <v>92</v>
      </c>
      <c r="E341" s="211">
        <v>16.0</v>
      </c>
      <c r="F341" s="211">
        <v>27.0</v>
      </c>
      <c r="G341" s="211">
        <v>23.0</v>
      </c>
      <c r="H341" s="211">
        <v>26.0</v>
      </c>
      <c r="I341" s="211">
        <v>15.0</v>
      </c>
      <c r="J341" s="211" t="s">
        <v>92</v>
      </c>
      <c r="K341" s="214">
        <f t="shared" si="91"/>
        <v>1.019047619</v>
      </c>
      <c r="L341" s="219">
        <f t="shared" si="92"/>
        <v>5</v>
      </c>
    </row>
    <row r="342" hidden="1" outlineLevel="2">
      <c r="A342" s="222" t="s">
        <v>22</v>
      </c>
      <c r="B342" s="209">
        <f>20+20+20+15+20</f>
        <v>95</v>
      </c>
      <c r="C342" s="221">
        <f t="shared" si="90"/>
        <v>98</v>
      </c>
      <c r="D342" s="211">
        <v>23.0</v>
      </c>
      <c r="E342" s="211">
        <v>19.0</v>
      </c>
      <c r="F342" s="211">
        <v>20.0</v>
      </c>
      <c r="G342" s="211" t="s">
        <v>92</v>
      </c>
      <c r="H342" s="211" t="s">
        <v>92</v>
      </c>
      <c r="I342" s="211">
        <v>17.0</v>
      </c>
      <c r="J342" s="224">
        <v>19.0</v>
      </c>
      <c r="K342" s="214">
        <f t="shared" si="91"/>
        <v>1.031578947</v>
      </c>
      <c r="L342" s="219">
        <f t="shared" si="92"/>
        <v>5</v>
      </c>
    </row>
    <row r="343" hidden="1" outlineLevel="2">
      <c r="A343" s="223" t="s">
        <v>129</v>
      </c>
      <c r="B343" s="221">
        <f>30+30+35+25+20</f>
        <v>140</v>
      </c>
      <c r="C343" s="209">
        <f t="shared" si="90"/>
        <v>145</v>
      </c>
      <c r="D343" s="211">
        <v>31.0</v>
      </c>
      <c r="E343" s="211">
        <v>30.0</v>
      </c>
      <c r="F343" s="211" t="s">
        <v>92</v>
      </c>
      <c r="G343" s="211" t="s">
        <v>92</v>
      </c>
      <c r="H343" s="211">
        <v>36.0</v>
      </c>
      <c r="I343" s="211">
        <v>27.0</v>
      </c>
      <c r="J343" s="224">
        <v>21.0</v>
      </c>
      <c r="K343" s="214">
        <f t="shared" si="91"/>
        <v>1.035714286</v>
      </c>
      <c r="L343" s="219">
        <f t="shared" si="92"/>
        <v>5</v>
      </c>
    </row>
    <row r="344" hidden="1" outlineLevel="2">
      <c r="A344" s="223" t="s">
        <v>13</v>
      </c>
      <c r="B344" s="209">
        <f>25*4+15</f>
        <v>115</v>
      </c>
      <c r="C344" s="209">
        <f t="shared" si="90"/>
        <v>69</v>
      </c>
      <c r="D344" s="211">
        <v>25.0</v>
      </c>
      <c r="E344" s="211">
        <v>21.0</v>
      </c>
      <c r="F344" s="211" t="s">
        <v>92</v>
      </c>
      <c r="G344" s="211">
        <v>9.0</v>
      </c>
      <c r="H344" s="211" t="s">
        <v>196</v>
      </c>
      <c r="I344" s="211" t="s">
        <v>92</v>
      </c>
      <c r="J344" s="224">
        <v>14.0</v>
      </c>
      <c r="K344" s="214">
        <f t="shared" si="91"/>
        <v>0.6</v>
      </c>
      <c r="L344" s="219">
        <f t="shared" si="92"/>
        <v>1</v>
      </c>
    </row>
    <row r="345" hidden="1" outlineLevel="2">
      <c r="A345" s="223" t="s">
        <v>428</v>
      </c>
      <c r="B345" s="382">
        <f>15*5</f>
        <v>75</v>
      </c>
      <c r="C345" s="209">
        <f t="shared" si="90"/>
        <v>69</v>
      </c>
      <c r="D345" s="211">
        <v>15.0</v>
      </c>
      <c r="E345" s="211" t="s">
        <v>92</v>
      </c>
      <c r="F345" s="211">
        <v>14.0</v>
      </c>
      <c r="G345" s="211">
        <v>14.0</v>
      </c>
      <c r="H345" s="211" t="s">
        <v>92</v>
      </c>
      <c r="I345" s="211">
        <v>16.0</v>
      </c>
      <c r="J345" s="224">
        <v>10.0</v>
      </c>
      <c r="K345" s="214">
        <f t="shared" si="91"/>
        <v>0.92</v>
      </c>
      <c r="L345" s="219">
        <f t="shared" si="92"/>
        <v>4</v>
      </c>
    </row>
    <row r="346" hidden="1" outlineLevel="2"/>
    <row r="347" hidden="1" outlineLevel="2">
      <c r="A347" s="195" t="s">
        <v>135</v>
      </c>
      <c r="I347" s="195"/>
    </row>
    <row r="348" hidden="1" outlineLevel="2">
      <c r="A348" s="196" t="s">
        <v>187</v>
      </c>
      <c r="B348" s="225" t="s">
        <v>218</v>
      </c>
      <c r="C348" s="225" t="s">
        <v>219</v>
      </c>
      <c r="D348" s="225" t="s">
        <v>139</v>
      </c>
      <c r="E348" s="225" t="s">
        <v>140</v>
      </c>
      <c r="F348" s="225" t="s">
        <v>141</v>
      </c>
      <c r="G348" s="226" t="s">
        <v>143</v>
      </c>
      <c r="H348" s="226" t="s">
        <v>221</v>
      </c>
    </row>
    <row r="349" hidden="1" outlineLevel="2">
      <c r="A349" s="202"/>
      <c r="B349" s="203"/>
      <c r="C349" s="227"/>
      <c r="D349" s="227"/>
      <c r="E349" s="227"/>
      <c r="F349" s="227"/>
      <c r="G349" s="227"/>
      <c r="H349" s="227"/>
    </row>
    <row r="350" hidden="1" outlineLevel="2">
      <c r="A350" s="207" t="s">
        <v>194</v>
      </c>
      <c r="B350" s="335">
        <v>135.0</v>
      </c>
      <c r="C350" s="335">
        <v>131.0</v>
      </c>
      <c r="D350" s="229">
        <f t="shared" ref="D350:D357" si="93">B350-C350</f>
        <v>4</v>
      </c>
      <c r="E350" s="230">
        <f t="shared" ref="E350:E357" si="94">IFERROR(C350/B350,"")</f>
        <v>0.9703703704</v>
      </c>
      <c r="F350" s="339">
        <v>0.0020717592592592593</v>
      </c>
      <c r="G350" s="240">
        <f t="shared" ref="G350:G357" si="95">IFERROR((IF(E350="",(0),IF(E350&gt;=0.98,(5),IF(E350&gt;=0.95,(4.5),IF(E350&gt;=0.9,(4),IF(E350&gt;=0.8,(3),IF(E350&lt;=0.69,(1)))))))),"")</f>
        <v>4.5</v>
      </c>
      <c r="H350" s="240">
        <f>ROUND(
IF(F350="",
0,
MAX(1, 5 - MAX(0, (F350 - TIME(0,4,0)) / TIME(0,1,0) * 0.5))
),
2
)
</f>
        <v>5</v>
      </c>
    </row>
    <row r="351" hidden="1" outlineLevel="2">
      <c r="A351" s="220" t="s">
        <v>118</v>
      </c>
      <c r="B351" s="341">
        <v>122.0</v>
      </c>
      <c r="C351" s="341">
        <v>122.0</v>
      </c>
      <c r="D351" s="342">
        <f t="shared" si="93"/>
        <v>0</v>
      </c>
      <c r="E351" s="254">
        <f t="shared" si="94"/>
        <v>1</v>
      </c>
      <c r="F351" s="344">
        <v>0.005069444444444444</v>
      </c>
      <c r="G351" s="240">
        <f t="shared" si="95"/>
        <v>5</v>
      </c>
      <c r="H351" s="240">
        <f>ROUND(
IF(F351="",
0,
MAX(1, 5 - MAX(0, (F351 - TIME(0,7,0)) / TIME(0,1,0) * 0.5))
),
2
)
</f>
        <v>4.85</v>
      </c>
    </row>
    <row r="352" hidden="1" outlineLevel="2">
      <c r="A352" s="207" t="s">
        <v>19</v>
      </c>
      <c r="B352" s="341">
        <v>161.0</v>
      </c>
      <c r="C352" s="341">
        <v>160.0</v>
      </c>
      <c r="D352" s="342">
        <f t="shared" si="93"/>
        <v>1</v>
      </c>
      <c r="E352" s="254">
        <f t="shared" si="94"/>
        <v>0.9937888199</v>
      </c>
      <c r="F352" s="344">
        <v>0.003576388888888889</v>
      </c>
      <c r="G352" s="240">
        <f t="shared" si="95"/>
        <v>5</v>
      </c>
      <c r="H352" s="240">
        <f>ROUND(
IF(F352="",
0,
MAX(1, 5 - MAX(0, (F352 - TIME(0,4,0)) / TIME(0,1,0) * 0.5))
),
2
)
</f>
        <v>4.43</v>
      </c>
    </row>
    <row r="353" hidden="1" outlineLevel="2">
      <c r="A353" s="220" t="s">
        <v>120</v>
      </c>
      <c r="B353" s="335">
        <v>108.0</v>
      </c>
      <c r="C353" s="335">
        <v>106.0</v>
      </c>
      <c r="D353" s="229">
        <f t="shared" si="93"/>
        <v>2</v>
      </c>
      <c r="E353" s="230">
        <f t="shared" si="94"/>
        <v>0.9814814815</v>
      </c>
      <c r="F353" s="339">
        <v>0.003460648148148148</v>
      </c>
      <c r="G353" s="240">
        <f t="shared" si="95"/>
        <v>5</v>
      </c>
      <c r="H353" s="240">
        <f>ROUND(
IF(F353="",
0,
MAX(1, 5 - MAX(0, (F353 - TIME(0,7,0)) / TIME(0,1,0) * 0.5))
),
2
)
</f>
        <v>5</v>
      </c>
    </row>
    <row r="354" hidden="1" outlineLevel="2">
      <c r="A354" s="222" t="s">
        <v>22</v>
      </c>
      <c r="B354" s="335">
        <v>103.0</v>
      </c>
      <c r="C354" s="335">
        <v>98.0</v>
      </c>
      <c r="D354" s="229">
        <f t="shared" si="93"/>
        <v>5</v>
      </c>
      <c r="E354" s="230">
        <f t="shared" si="94"/>
        <v>0.9514563107</v>
      </c>
      <c r="F354" s="339">
        <v>0.002511574074074074</v>
      </c>
      <c r="G354" s="240">
        <f t="shared" si="95"/>
        <v>4.5</v>
      </c>
      <c r="H354" s="240">
        <f>ROUND(
IF(F354="",
0,
MAX(1, 5 - MAX(0, (F354 - TIME(0,4,0)) / TIME(0,1,0) * 0.5))
),
2
)
</f>
        <v>5</v>
      </c>
    </row>
    <row r="355" hidden="1" outlineLevel="2">
      <c r="A355" s="223" t="s">
        <v>129</v>
      </c>
      <c r="B355" s="341">
        <v>143.0</v>
      </c>
      <c r="C355" s="341">
        <v>143.0</v>
      </c>
      <c r="D355" s="342">
        <f t="shared" si="93"/>
        <v>0</v>
      </c>
      <c r="E355" s="254">
        <f t="shared" si="94"/>
        <v>1</v>
      </c>
      <c r="F355" s="344">
        <v>0.0038078703703703703</v>
      </c>
      <c r="G355" s="240">
        <f t="shared" si="95"/>
        <v>5</v>
      </c>
      <c r="H355" s="240">
        <f>ROUND(
IF(F355="",
0,
MAX(1, 5 - MAX(0, (F355 - TIME(0,7,0)) / TIME(0,1,0) * 0.5))
),
2
)
</f>
        <v>5</v>
      </c>
    </row>
    <row r="356" hidden="1" outlineLevel="2">
      <c r="A356" s="223" t="s">
        <v>13</v>
      </c>
      <c r="B356" s="335">
        <v>70.0</v>
      </c>
      <c r="C356" s="335">
        <v>69.0</v>
      </c>
      <c r="D356" s="229">
        <f t="shared" si="93"/>
        <v>1</v>
      </c>
      <c r="E356" s="230">
        <f t="shared" si="94"/>
        <v>0.9857142857</v>
      </c>
      <c r="F356" s="339">
        <v>0.00525462962962963</v>
      </c>
      <c r="G356" s="240">
        <f t="shared" si="95"/>
        <v>5</v>
      </c>
      <c r="H356" s="240">
        <f>ROUND(
IF(F356="",
0,
MAX(1, 5 - MAX(0, (F356 - TIME(0,8,0)) / TIME(0,1,0) * 0.5))
),
2
)
</f>
        <v>5</v>
      </c>
    </row>
    <row r="357" hidden="1" outlineLevel="2">
      <c r="A357" s="223" t="s">
        <v>428</v>
      </c>
      <c r="B357" s="341">
        <v>70.0</v>
      </c>
      <c r="C357" s="341">
        <v>70.0</v>
      </c>
      <c r="D357" s="342">
        <f t="shared" si="93"/>
        <v>0</v>
      </c>
      <c r="E357" s="254">
        <f t="shared" si="94"/>
        <v>1</v>
      </c>
      <c r="F357" s="344">
        <v>0.006701388888888889</v>
      </c>
      <c r="G357" s="240">
        <f t="shared" si="95"/>
        <v>5</v>
      </c>
      <c r="H357" s="240">
        <f>ROUND(
IF(F357="",
0,
MAX(1, 5 - MAX(0, (F357 - TIME(0,10,0)) / TIME(0,1,0) * 0.5))
),
2
)
</f>
        <v>5</v>
      </c>
    </row>
    <row r="358" hidden="1" outlineLevel="2"/>
    <row r="359" hidden="1" outlineLevel="2">
      <c r="A359" s="195" t="s">
        <v>239</v>
      </c>
    </row>
    <row r="360" hidden="1" outlineLevel="2">
      <c r="A360" s="260" t="s">
        <v>240</v>
      </c>
      <c r="B360" s="262" t="s">
        <v>241</v>
      </c>
      <c r="C360" s="264" t="s">
        <v>242</v>
      </c>
      <c r="D360" s="264" t="s">
        <v>243</v>
      </c>
      <c r="E360" s="265" t="s">
        <v>244</v>
      </c>
      <c r="F360" s="267" t="s">
        <v>247</v>
      </c>
      <c r="G360" s="268"/>
    </row>
    <row r="361" hidden="1" outlineLevel="2">
      <c r="A361" s="269" t="s">
        <v>25</v>
      </c>
      <c r="B361" s="271" t="str">
        <f t="shared" ref="B361:B368" si="96">(C361*0.3)+(D361*0.1)</f>
        <v>#REF!</v>
      </c>
      <c r="C361" s="272">
        <v>1.0</v>
      </c>
      <c r="D361" s="272" t="str">
        <f t="shared" ref="D361:D366" si="97">#REF!</f>
        <v>#REF!</v>
      </c>
      <c r="E361" s="273">
        <f t="shared" ref="E361:E368" si="98">(L338+G350+H350)/15*0.3</f>
        <v>0.29</v>
      </c>
      <c r="F361" s="274">
        <f t="shared" ref="F361:F368" si="99">(E361/30%)*10</f>
        <v>9.666666667</v>
      </c>
      <c r="G361" s="268"/>
      <c r="H361" s="268"/>
      <c r="I361" s="268"/>
      <c r="J361" s="268"/>
    </row>
    <row r="362" hidden="1" outlineLevel="2">
      <c r="A362" s="275" t="s">
        <v>4</v>
      </c>
      <c r="B362" s="276" t="str">
        <f t="shared" si="96"/>
        <v>#REF!</v>
      </c>
      <c r="C362" s="272">
        <v>1.0</v>
      </c>
      <c r="D362" s="272" t="str">
        <f t="shared" si="97"/>
        <v>#REF!</v>
      </c>
      <c r="E362" s="277">
        <f t="shared" si="98"/>
        <v>0.277</v>
      </c>
      <c r="F362" s="274">
        <f t="shared" si="99"/>
        <v>9.233333333</v>
      </c>
      <c r="G362" s="268"/>
      <c r="H362" s="268"/>
      <c r="I362" s="268"/>
      <c r="J362" s="268"/>
    </row>
    <row r="363" hidden="1" outlineLevel="2">
      <c r="A363" s="278" t="s">
        <v>19</v>
      </c>
      <c r="B363" s="279" t="str">
        <f t="shared" si="96"/>
        <v>#REF!</v>
      </c>
      <c r="C363" s="272">
        <v>0.7333</v>
      </c>
      <c r="D363" s="280" t="str">
        <f t="shared" si="97"/>
        <v>#REF!</v>
      </c>
      <c r="E363" s="281">
        <f t="shared" si="98"/>
        <v>0.2686</v>
      </c>
      <c r="F363" s="274">
        <f t="shared" si="99"/>
        <v>8.953333333</v>
      </c>
      <c r="G363" s="268"/>
      <c r="H363" s="268"/>
      <c r="I363" s="268"/>
      <c r="J363" s="268"/>
    </row>
    <row r="364" hidden="1" outlineLevel="2">
      <c r="A364" s="275" t="s">
        <v>30</v>
      </c>
      <c r="B364" s="276" t="str">
        <f t="shared" si="96"/>
        <v>#REF!</v>
      </c>
      <c r="C364" s="272">
        <v>1.0</v>
      </c>
      <c r="D364" s="280" t="str">
        <f t="shared" si="97"/>
        <v>#REF!</v>
      </c>
      <c r="E364" s="277">
        <f t="shared" si="98"/>
        <v>0.3</v>
      </c>
      <c r="F364" s="274">
        <f t="shared" si="99"/>
        <v>10</v>
      </c>
      <c r="G364" s="268"/>
      <c r="H364" s="268"/>
      <c r="I364" s="268"/>
      <c r="J364" s="268"/>
    </row>
    <row r="365" hidden="1" outlineLevel="2">
      <c r="A365" s="282" t="s">
        <v>31</v>
      </c>
      <c r="B365" s="279" t="str">
        <f t="shared" si="96"/>
        <v>#REF!</v>
      </c>
      <c r="C365" s="272">
        <v>1.0</v>
      </c>
      <c r="D365" s="280" t="str">
        <f t="shared" si="97"/>
        <v>#REF!</v>
      </c>
      <c r="E365" s="281">
        <f t="shared" si="98"/>
        <v>0.29</v>
      </c>
      <c r="F365" s="274">
        <f t="shared" si="99"/>
        <v>9.666666667</v>
      </c>
      <c r="G365" s="268"/>
      <c r="H365" s="268"/>
      <c r="I365" s="268"/>
      <c r="J365" s="268"/>
    </row>
    <row r="366" hidden="1" outlineLevel="2">
      <c r="A366" s="283" t="s">
        <v>129</v>
      </c>
      <c r="B366" s="276" t="str">
        <f t="shared" si="96"/>
        <v>#REF!</v>
      </c>
      <c r="C366" s="272">
        <v>1.0</v>
      </c>
      <c r="D366" s="280" t="str">
        <f t="shared" si="97"/>
        <v>#REF!</v>
      </c>
      <c r="E366" s="277">
        <f t="shared" si="98"/>
        <v>0.3</v>
      </c>
      <c r="F366" s="274">
        <f t="shared" si="99"/>
        <v>10</v>
      </c>
      <c r="G366" s="268"/>
      <c r="H366" s="268"/>
      <c r="I366" s="268"/>
      <c r="J366" s="268"/>
    </row>
    <row r="367" hidden="1" outlineLevel="2">
      <c r="A367" s="284" t="s">
        <v>13</v>
      </c>
      <c r="B367" s="279">
        <f t="shared" si="96"/>
        <v>0.4</v>
      </c>
      <c r="C367" s="272">
        <v>1.0</v>
      </c>
      <c r="D367" s="280">
        <f>Lyra!D161</f>
        <v>1</v>
      </c>
      <c r="E367" s="281">
        <f t="shared" si="98"/>
        <v>0.22</v>
      </c>
      <c r="F367" s="274">
        <f t="shared" si="99"/>
        <v>7.333333333</v>
      </c>
      <c r="G367" s="268"/>
      <c r="H367" s="268"/>
      <c r="I367" s="268"/>
      <c r="J367" s="268"/>
    </row>
    <row r="368" hidden="1" outlineLevel="2">
      <c r="A368" s="283" t="s">
        <v>428</v>
      </c>
      <c r="B368" s="276">
        <f t="shared" si="96"/>
        <v>0.397</v>
      </c>
      <c r="C368" s="272">
        <v>1.0</v>
      </c>
      <c r="D368" s="280">
        <f>Mikka!D106</f>
        <v>0.97</v>
      </c>
      <c r="E368" s="277">
        <f t="shared" si="98"/>
        <v>0.28</v>
      </c>
      <c r="F368" s="274">
        <f t="shared" si="99"/>
        <v>9.333333333</v>
      </c>
      <c r="G368" s="268"/>
      <c r="H368" s="268"/>
      <c r="I368" s="268"/>
      <c r="J368" s="268"/>
    </row>
    <row r="369" hidden="1" outlineLevel="2">
      <c r="A369" s="286"/>
      <c r="B369" s="286"/>
      <c r="C369" s="287"/>
      <c r="D369" s="288"/>
      <c r="E369" s="289"/>
      <c r="F369" s="268"/>
      <c r="G369" s="268"/>
      <c r="H369" s="268"/>
      <c r="I369" s="268"/>
      <c r="J369" s="268"/>
    </row>
    <row r="370" hidden="1" outlineLevel="2">
      <c r="A370" s="195" t="s">
        <v>269</v>
      </c>
      <c r="B370" s="286"/>
      <c r="C370" s="287"/>
      <c r="D370" s="288"/>
      <c r="E370" s="289"/>
      <c r="F370" s="268"/>
      <c r="G370" s="268"/>
      <c r="H370" s="268"/>
      <c r="I370" s="268"/>
      <c r="J370" s="268"/>
    </row>
    <row r="371" hidden="1" outlineLevel="2">
      <c r="A371" s="290" t="s">
        <v>240</v>
      </c>
      <c r="B371" s="291" t="s">
        <v>270</v>
      </c>
      <c r="C371" s="198">
        <v>46104.0</v>
      </c>
      <c r="D371" s="198">
        <v>46105.0</v>
      </c>
      <c r="E371" s="198">
        <v>46106.0</v>
      </c>
      <c r="F371" s="198">
        <v>46107.0</v>
      </c>
      <c r="G371" s="198">
        <v>46108.0</v>
      </c>
      <c r="H371" s="198">
        <v>46109.0</v>
      </c>
      <c r="I371" s="198">
        <v>46110.0</v>
      </c>
      <c r="J371" s="268"/>
    </row>
    <row r="372" hidden="1" outlineLevel="2">
      <c r="A372" s="325"/>
      <c r="B372" s="325"/>
      <c r="C372" s="205" t="s">
        <v>192</v>
      </c>
      <c r="D372" s="205" t="s">
        <v>272</v>
      </c>
      <c r="E372" s="205" t="s">
        <v>273</v>
      </c>
      <c r="F372" s="205" t="s">
        <v>274</v>
      </c>
      <c r="G372" s="205" t="s">
        <v>275</v>
      </c>
      <c r="H372" s="205" t="s">
        <v>276</v>
      </c>
      <c r="I372" s="205" t="s">
        <v>277</v>
      </c>
    </row>
    <row r="373" hidden="1" outlineLevel="2">
      <c r="A373" s="278" t="s">
        <v>25</v>
      </c>
      <c r="B373" s="293">
        <f t="shared" ref="B373:B380" si="100">Sum(C373:I373)</f>
        <v>0</v>
      </c>
      <c r="C373" s="296"/>
      <c r="D373" s="297"/>
      <c r="E373" s="297"/>
      <c r="F373" s="297"/>
      <c r="G373" s="296"/>
      <c r="H373" s="296"/>
      <c r="I373" s="296"/>
    </row>
    <row r="374" hidden="1" outlineLevel="2">
      <c r="A374" s="275" t="s">
        <v>4</v>
      </c>
      <c r="B374" s="293">
        <f t="shared" si="100"/>
        <v>0</v>
      </c>
      <c r="C374" s="295"/>
      <c r="D374" s="295"/>
      <c r="E374" s="295"/>
      <c r="F374" s="295"/>
      <c r="G374" s="295"/>
      <c r="H374" s="294"/>
      <c r="I374" s="295"/>
    </row>
    <row r="375" hidden="1" outlineLevel="2">
      <c r="A375" s="278" t="s">
        <v>19</v>
      </c>
      <c r="B375" s="293">
        <f t="shared" si="100"/>
        <v>0</v>
      </c>
      <c r="C375" s="296"/>
      <c r="D375" s="297"/>
      <c r="E375" s="296"/>
      <c r="F375" s="296"/>
      <c r="G375" s="296"/>
      <c r="H375" s="296"/>
      <c r="I375" s="297"/>
    </row>
    <row r="376" hidden="1" outlineLevel="2">
      <c r="A376" s="275" t="s">
        <v>30</v>
      </c>
      <c r="B376" s="293">
        <f t="shared" si="100"/>
        <v>0</v>
      </c>
      <c r="C376" s="295"/>
      <c r="D376" s="295"/>
      <c r="E376" s="295"/>
      <c r="F376" s="295"/>
      <c r="G376" s="295"/>
      <c r="H376" s="295"/>
      <c r="I376" s="294"/>
    </row>
    <row r="377" hidden="1" outlineLevel="2">
      <c r="A377" s="282" t="s">
        <v>31</v>
      </c>
      <c r="B377" s="293">
        <f t="shared" si="100"/>
        <v>0</v>
      </c>
      <c r="C377" s="296"/>
      <c r="D377" s="296"/>
      <c r="E377" s="296"/>
      <c r="F377" s="296"/>
      <c r="G377" s="296"/>
      <c r="H377" s="296"/>
      <c r="I377" s="297"/>
    </row>
    <row r="378" ht="16.5" hidden="1" customHeight="1" outlineLevel="2">
      <c r="A378" s="283" t="s">
        <v>129</v>
      </c>
      <c r="B378" s="293">
        <f t="shared" si="100"/>
        <v>2</v>
      </c>
      <c r="C378" s="295"/>
      <c r="D378" s="295"/>
      <c r="E378" s="295"/>
      <c r="F378" s="295"/>
      <c r="G378" s="295">
        <v>2.0</v>
      </c>
      <c r="H378" s="295"/>
      <c r="I378" s="295"/>
    </row>
    <row r="379" hidden="1" outlineLevel="2">
      <c r="A379" s="284" t="s">
        <v>13</v>
      </c>
      <c r="B379" s="293">
        <f t="shared" si="100"/>
        <v>0</v>
      </c>
      <c r="C379" s="297"/>
      <c r="D379" s="297"/>
      <c r="E379" s="296"/>
      <c r="F379" s="296"/>
      <c r="G379" s="296"/>
      <c r="H379" s="296"/>
      <c r="I379" s="297"/>
    </row>
    <row r="380" hidden="1" outlineLevel="2">
      <c r="A380" s="283" t="s">
        <v>64</v>
      </c>
      <c r="B380" s="293">
        <f t="shared" si="100"/>
        <v>0</v>
      </c>
      <c r="C380" s="294"/>
      <c r="D380" s="294"/>
      <c r="E380" s="295"/>
      <c r="F380" s="294"/>
      <c r="G380" s="295"/>
      <c r="H380" s="295"/>
      <c r="I380" s="294"/>
    </row>
    <row r="381" hidden="1" outlineLevel="2">
      <c r="A381" s="286"/>
      <c r="B381" s="286"/>
      <c r="C381" s="286"/>
      <c r="D381" s="286"/>
      <c r="E381" s="286"/>
      <c r="F381" s="286"/>
      <c r="G381" s="286"/>
      <c r="H381" s="286"/>
      <c r="I381" s="286"/>
    </row>
    <row r="382" hidden="1" outlineLevel="1">
      <c r="A382" s="192" t="s">
        <v>566</v>
      </c>
    </row>
    <row r="383" hidden="1" outlineLevel="1">
      <c r="A383" s="195" t="s">
        <v>186</v>
      </c>
    </row>
    <row r="384" hidden="1" outlineLevel="1">
      <c r="A384" s="196" t="s">
        <v>187</v>
      </c>
      <c r="B384" s="197" t="s">
        <v>77</v>
      </c>
      <c r="C384" s="197" t="s">
        <v>189</v>
      </c>
      <c r="D384" s="198">
        <v>46111.0</v>
      </c>
      <c r="E384" s="198">
        <v>46112.0</v>
      </c>
      <c r="F384" s="198">
        <v>46113.0</v>
      </c>
      <c r="G384" s="198">
        <v>46114.0</v>
      </c>
      <c r="H384" s="198">
        <v>46115.0</v>
      </c>
      <c r="I384" s="198">
        <v>46116.0</v>
      </c>
      <c r="J384" s="198">
        <v>46117.0</v>
      </c>
      <c r="K384" s="199" t="s">
        <v>190</v>
      </c>
      <c r="L384" s="201" t="s">
        <v>191</v>
      </c>
    </row>
    <row r="385" hidden="1" outlineLevel="1">
      <c r="A385" s="202"/>
      <c r="B385" s="203"/>
      <c r="C385" s="203"/>
      <c r="D385" s="205" t="s">
        <v>192</v>
      </c>
      <c r="E385" s="205" t="str">
        <f t="shared" ref="E385:J385" si="101">text(E384,"ddd")</f>
        <v>Tue</v>
      </c>
      <c r="F385" s="205" t="str">
        <f t="shared" si="101"/>
        <v>Wed</v>
      </c>
      <c r="G385" s="205" t="str">
        <f t="shared" si="101"/>
        <v>Thu</v>
      </c>
      <c r="H385" s="205" t="str">
        <f t="shared" si="101"/>
        <v>Fri</v>
      </c>
      <c r="I385" s="205" t="str">
        <f t="shared" si="101"/>
        <v>Sat</v>
      </c>
      <c r="J385" s="205" t="str">
        <f t="shared" si="101"/>
        <v>Sun</v>
      </c>
      <c r="K385" s="206"/>
      <c r="L385" s="203"/>
    </row>
    <row r="386" hidden="1" outlineLevel="1">
      <c r="A386" s="207" t="s">
        <v>194</v>
      </c>
      <c r="B386" s="209">
        <f>30+20+25+25</f>
        <v>100</v>
      </c>
      <c r="C386" s="209">
        <f t="shared" ref="C386:C393" si="102">SUM(D386:J386)</f>
        <v>105</v>
      </c>
      <c r="D386" s="211" t="s">
        <v>197</v>
      </c>
      <c r="E386" s="211">
        <v>33.0</v>
      </c>
      <c r="F386" s="211">
        <v>18.0</v>
      </c>
      <c r="G386" s="211">
        <v>27.0</v>
      </c>
      <c r="H386" s="211">
        <v>27.0</v>
      </c>
      <c r="I386" s="211" t="s">
        <v>92</v>
      </c>
      <c r="J386" s="211" t="s">
        <v>92</v>
      </c>
      <c r="K386" s="214">
        <f t="shared" ref="K386:K393" si="103">iferror(C386/B386,"-")</f>
        <v>1.05</v>
      </c>
      <c r="L386" s="219">
        <f t="shared" ref="L386:L393" si="104">(IF(K386="",(0),IF(K386&gt;=1,(5),IF(K386&gt;=0.9,(4),IF(K386&gt;=0.8,(3),IF(K386&gt;=0.69,(2),IF(K386&lt;=0.69,(1))))))))</f>
        <v>5</v>
      </c>
    </row>
    <row r="387" hidden="1" outlineLevel="1">
      <c r="A387" s="220" t="s">
        <v>118</v>
      </c>
      <c r="B387" s="221">
        <f>30+30+25+25+25</f>
        <v>135</v>
      </c>
      <c r="C387" s="221">
        <f t="shared" si="102"/>
        <v>104</v>
      </c>
      <c r="D387" s="211">
        <v>6.0</v>
      </c>
      <c r="E387" s="211">
        <v>23.0</v>
      </c>
      <c r="F387" s="211">
        <v>21.0</v>
      </c>
      <c r="G387" s="211">
        <v>27.0</v>
      </c>
      <c r="H387" s="211">
        <v>27.0</v>
      </c>
      <c r="I387" s="211" t="s">
        <v>92</v>
      </c>
      <c r="J387" s="211" t="s">
        <v>92</v>
      </c>
      <c r="K387" s="214">
        <f t="shared" si="103"/>
        <v>0.7703703704</v>
      </c>
      <c r="L387" s="219">
        <f t="shared" si="104"/>
        <v>2</v>
      </c>
    </row>
    <row r="388" hidden="1" outlineLevel="1">
      <c r="A388" s="207" t="s">
        <v>19</v>
      </c>
      <c r="B388" s="209">
        <f>30+25+25+20+15</f>
        <v>115</v>
      </c>
      <c r="C388" s="209">
        <f t="shared" si="102"/>
        <v>118</v>
      </c>
      <c r="D388" s="211" t="s">
        <v>92</v>
      </c>
      <c r="E388" s="211" t="s">
        <v>92</v>
      </c>
      <c r="F388" s="211">
        <v>31.0</v>
      </c>
      <c r="G388" s="211">
        <v>26.0</v>
      </c>
      <c r="H388" s="211">
        <v>25.0</v>
      </c>
      <c r="I388" s="211">
        <v>20.0</v>
      </c>
      <c r="J388" s="211">
        <v>16.0</v>
      </c>
      <c r="K388" s="214">
        <f t="shared" si="103"/>
        <v>1.026086957</v>
      </c>
      <c r="L388" s="219">
        <f t="shared" si="104"/>
        <v>5</v>
      </c>
    </row>
    <row r="389" hidden="1" outlineLevel="1">
      <c r="A389" s="220" t="s">
        <v>120</v>
      </c>
      <c r="B389" s="221">
        <f>15+20+15+15</f>
        <v>65</v>
      </c>
      <c r="C389" s="221">
        <f t="shared" si="102"/>
        <v>65</v>
      </c>
      <c r="D389" s="211" t="s">
        <v>92</v>
      </c>
      <c r="E389" s="211" t="s">
        <v>197</v>
      </c>
      <c r="F389" s="211">
        <v>13.0</v>
      </c>
      <c r="G389" s="211">
        <v>19.0</v>
      </c>
      <c r="H389" s="211">
        <v>17.0</v>
      </c>
      <c r="I389" s="211">
        <v>16.0</v>
      </c>
      <c r="J389" s="211" t="s">
        <v>92</v>
      </c>
      <c r="K389" s="214">
        <f t="shared" si="103"/>
        <v>1</v>
      </c>
      <c r="L389" s="219">
        <f t="shared" si="104"/>
        <v>5</v>
      </c>
    </row>
    <row r="390" hidden="1" outlineLevel="1">
      <c r="A390" s="222" t="s">
        <v>22</v>
      </c>
      <c r="B390" s="209">
        <f>20+20+25+20+15</f>
        <v>100</v>
      </c>
      <c r="C390" s="221">
        <f t="shared" si="102"/>
        <v>101</v>
      </c>
      <c r="D390" s="211">
        <v>18.0</v>
      </c>
      <c r="E390" s="211">
        <v>22.0</v>
      </c>
      <c r="F390" s="211">
        <v>25.0</v>
      </c>
      <c r="G390" s="211" t="s">
        <v>92</v>
      </c>
      <c r="H390" s="211" t="s">
        <v>92</v>
      </c>
      <c r="I390" s="211">
        <v>22.0</v>
      </c>
      <c r="J390" s="224">
        <v>14.0</v>
      </c>
      <c r="K390" s="214">
        <f t="shared" si="103"/>
        <v>1.01</v>
      </c>
      <c r="L390" s="219">
        <f t="shared" si="104"/>
        <v>5</v>
      </c>
    </row>
    <row r="391" hidden="1" outlineLevel="1">
      <c r="A391" s="223" t="s">
        <v>129</v>
      </c>
      <c r="B391" s="221">
        <f>35+30+30+25+15</f>
        <v>135</v>
      </c>
      <c r="C391" s="209">
        <f t="shared" si="102"/>
        <v>140</v>
      </c>
      <c r="D391" s="211">
        <v>36.0</v>
      </c>
      <c r="E391" s="211">
        <v>34.0</v>
      </c>
      <c r="F391" s="211">
        <v>33.0</v>
      </c>
      <c r="G391" s="211" t="s">
        <v>92</v>
      </c>
      <c r="H391" s="211" t="s">
        <v>92</v>
      </c>
      <c r="I391" s="211">
        <v>23.0</v>
      </c>
      <c r="J391" s="224">
        <v>14.0</v>
      </c>
      <c r="K391" s="214">
        <f t="shared" si="103"/>
        <v>1.037037037</v>
      </c>
      <c r="L391" s="219">
        <f t="shared" si="104"/>
        <v>5</v>
      </c>
    </row>
    <row r="392" hidden="1" outlineLevel="1">
      <c r="A392" s="223" t="s">
        <v>13</v>
      </c>
      <c r="B392" s="209">
        <f>20+20+20+15+10</f>
        <v>85</v>
      </c>
      <c r="C392" s="209">
        <f t="shared" si="102"/>
        <v>85</v>
      </c>
      <c r="D392" s="211">
        <v>16.0</v>
      </c>
      <c r="E392" s="211">
        <v>21.0</v>
      </c>
      <c r="F392" s="211" t="s">
        <v>92</v>
      </c>
      <c r="G392" s="211" t="s">
        <v>92</v>
      </c>
      <c r="H392" s="211">
        <v>23.0</v>
      </c>
      <c r="I392" s="211">
        <v>17.0</v>
      </c>
      <c r="J392" s="224">
        <v>8.0</v>
      </c>
      <c r="K392" s="214">
        <f t="shared" si="103"/>
        <v>1</v>
      </c>
      <c r="L392" s="219">
        <f t="shared" si="104"/>
        <v>5</v>
      </c>
    </row>
    <row r="393" hidden="1" outlineLevel="1">
      <c r="A393" s="223" t="s">
        <v>428</v>
      </c>
      <c r="B393" s="382">
        <f>15*5</f>
        <v>75</v>
      </c>
      <c r="C393" s="209">
        <f t="shared" si="102"/>
        <v>78</v>
      </c>
      <c r="D393" s="211">
        <v>15.0</v>
      </c>
      <c r="E393" s="211">
        <v>15.0</v>
      </c>
      <c r="F393" s="211">
        <v>18.0</v>
      </c>
      <c r="G393" s="211">
        <v>24.0</v>
      </c>
      <c r="H393" s="211" t="s">
        <v>92</v>
      </c>
      <c r="I393" s="211" t="s">
        <v>92</v>
      </c>
      <c r="J393" s="224">
        <v>6.0</v>
      </c>
      <c r="K393" s="214">
        <f t="shared" si="103"/>
        <v>1.04</v>
      </c>
      <c r="L393" s="219">
        <f t="shared" si="104"/>
        <v>5</v>
      </c>
    </row>
    <row r="394" hidden="1" outlineLevel="1"/>
    <row r="395" hidden="1" outlineLevel="1">
      <c r="A395" s="195" t="s">
        <v>135</v>
      </c>
      <c r="I395" s="195"/>
    </row>
    <row r="396" hidden="1" outlineLevel="1">
      <c r="A396" s="196" t="s">
        <v>187</v>
      </c>
      <c r="B396" s="225" t="s">
        <v>218</v>
      </c>
      <c r="C396" s="225" t="s">
        <v>219</v>
      </c>
      <c r="D396" s="225" t="s">
        <v>139</v>
      </c>
      <c r="E396" s="225" t="s">
        <v>140</v>
      </c>
      <c r="F396" s="225" t="s">
        <v>141</v>
      </c>
      <c r="G396" s="226" t="s">
        <v>143</v>
      </c>
      <c r="H396" s="226" t="s">
        <v>221</v>
      </c>
    </row>
    <row r="397" hidden="1" outlineLevel="1">
      <c r="A397" s="202"/>
      <c r="B397" s="203"/>
      <c r="C397" s="227"/>
      <c r="D397" s="227"/>
      <c r="E397" s="227"/>
      <c r="F397" s="227"/>
      <c r="G397" s="227"/>
      <c r="H397" s="227"/>
    </row>
    <row r="398" hidden="1" outlineLevel="1">
      <c r="A398" s="207" t="s">
        <v>194</v>
      </c>
      <c r="B398" s="335">
        <v>106.0</v>
      </c>
      <c r="C398" s="335">
        <v>105.0</v>
      </c>
      <c r="D398" s="229">
        <f t="shared" ref="D398:D405" si="105">B398-C398</f>
        <v>1</v>
      </c>
      <c r="E398" s="230">
        <f t="shared" ref="E398:E405" si="106">IFERROR(C398/B398,"")</f>
        <v>0.9905660377</v>
      </c>
      <c r="F398" s="339">
        <v>0.0019675925925925924</v>
      </c>
      <c r="G398" s="240">
        <f t="shared" ref="G398:G405" si="107">IFERROR((IF(E398="",(0),IF(E398&gt;=0.98,(5),IF(E398&gt;=0.95,(4.5),IF(E398&gt;=0.9,(4),IF(E398&gt;=0.8,(3),IF(E398&lt;=0.69,(1)))))))),"")</f>
        <v>5</v>
      </c>
      <c r="H398" s="240">
        <f>ROUND(
IF(F398="",
0,
MAX(1, 5 - MAX(0, (F398 - TIME(0,4,0)) / TIME(0,1,0) * 0.5))
),
2
)
</f>
        <v>5</v>
      </c>
    </row>
    <row r="399" hidden="1" outlineLevel="1">
      <c r="A399" s="220" t="s">
        <v>118</v>
      </c>
      <c r="B399" s="341">
        <v>105.0</v>
      </c>
      <c r="C399" s="341">
        <v>105.0</v>
      </c>
      <c r="D399" s="342">
        <f t="shared" si="105"/>
        <v>0</v>
      </c>
      <c r="E399" s="254">
        <f t="shared" si="106"/>
        <v>1</v>
      </c>
      <c r="F399" s="344">
        <v>0.0037731481481481483</v>
      </c>
      <c r="G399" s="240">
        <f t="shared" si="107"/>
        <v>5</v>
      </c>
      <c r="H399" s="240">
        <f>ROUND(
IF(F399="",
0,
MAX(1, 5 - MAX(0, (F399 - TIME(0,7,0)) / TIME(0,1,0) * 0.5))
),
2
)
</f>
        <v>5</v>
      </c>
    </row>
    <row r="400" hidden="1" outlineLevel="1">
      <c r="A400" s="207" t="s">
        <v>19</v>
      </c>
      <c r="B400" s="341">
        <v>114.0</v>
      </c>
      <c r="C400" s="341">
        <v>111.0</v>
      </c>
      <c r="D400" s="342">
        <f t="shared" si="105"/>
        <v>3</v>
      </c>
      <c r="E400" s="254">
        <f t="shared" si="106"/>
        <v>0.9736842105</v>
      </c>
      <c r="F400" s="344">
        <v>0.0037731481481481483</v>
      </c>
      <c r="G400" s="240">
        <f t="shared" si="107"/>
        <v>4.5</v>
      </c>
      <c r="H400" s="240">
        <f>ROUND(
IF(F400="",
0,
MAX(1, 5 - MAX(0, (F400 - TIME(0,4,0)) / TIME(0,1,0) * 0.5))
),
2
)
</f>
        <v>4.28</v>
      </c>
    </row>
    <row r="401" hidden="1" outlineLevel="1">
      <c r="A401" s="220" t="s">
        <v>120</v>
      </c>
      <c r="B401" s="335">
        <v>67.0</v>
      </c>
      <c r="C401" s="335">
        <v>66.0</v>
      </c>
      <c r="D401" s="229">
        <f t="shared" si="105"/>
        <v>1</v>
      </c>
      <c r="E401" s="230">
        <f t="shared" si="106"/>
        <v>0.9850746269</v>
      </c>
      <c r="F401" s="339">
        <v>0.003159722222222222</v>
      </c>
      <c r="G401" s="240">
        <f t="shared" si="107"/>
        <v>5</v>
      </c>
      <c r="H401" s="240">
        <f>ROUND(
IF(F401="",
0,
MAX(1, 5 - MAX(0, (F401 - TIME(0,7,0)) / TIME(0,1,0) * 0.5))
),
2
)
</f>
        <v>5</v>
      </c>
    </row>
    <row r="402" hidden="1" outlineLevel="1">
      <c r="A402" s="222" t="s">
        <v>22</v>
      </c>
      <c r="B402" s="335">
        <v>107.0</v>
      </c>
      <c r="C402" s="335">
        <v>102.0</v>
      </c>
      <c r="D402" s="229">
        <f t="shared" si="105"/>
        <v>5</v>
      </c>
      <c r="E402" s="230">
        <f t="shared" si="106"/>
        <v>0.953271028</v>
      </c>
      <c r="F402" s="339">
        <v>0.003287037037037037</v>
      </c>
      <c r="G402" s="240">
        <f t="shared" si="107"/>
        <v>4.5</v>
      </c>
      <c r="H402" s="240">
        <f>ROUND(
IF(F402="",
0,
MAX(1, 5 - MAX(0, (F402 - TIME(0,4,0)) / TIME(0,1,0) * 0.5))
),
2
)
</f>
        <v>4.63</v>
      </c>
    </row>
    <row r="403" hidden="1" outlineLevel="1">
      <c r="A403" s="223" t="s">
        <v>129</v>
      </c>
      <c r="B403" s="341">
        <v>139.0</v>
      </c>
      <c r="C403" s="341">
        <v>138.0</v>
      </c>
      <c r="D403" s="342">
        <f t="shared" si="105"/>
        <v>1</v>
      </c>
      <c r="E403" s="254">
        <f t="shared" si="106"/>
        <v>0.9928057554</v>
      </c>
      <c r="F403" s="344">
        <v>0.0034953703703703705</v>
      </c>
      <c r="G403" s="240">
        <f t="shared" si="107"/>
        <v>5</v>
      </c>
      <c r="H403" s="240">
        <f>ROUND(
IF(F403="",
0,
MAX(1, 5 - MAX(0, (F403 - TIME(0,7,0)) / TIME(0,1,0) * 0.5))
),
2
)
</f>
        <v>5</v>
      </c>
    </row>
    <row r="404" hidden="1" outlineLevel="1">
      <c r="A404" s="223" t="s">
        <v>13</v>
      </c>
      <c r="B404" s="335">
        <v>85.0</v>
      </c>
      <c r="C404" s="335">
        <v>85.0</v>
      </c>
      <c r="D404" s="229">
        <f t="shared" si="105"/>
        <v>0</v>
      </c>
      <c r="E404" s="230">
        <f t="shared" si="106"/>
        <v>1</v>
      </c>
      <c r="F404" s="339">
        <v>0.0035185185185185185</v>
      </c>
      <c r="G404" s="240">
        <f t="shared" si="107"/>
        <v>5</v>
      </c>
      <c r="H404" s="240">
        <f>ROUND(
IF(F404="",
0,
MAX(1, 5 - MAX(0, (F404 - TIME(0,8,0)) / TIME(0,1,0) * 0.5))
),
2
)
</f>
        <v>5</v>
      </c>
    </row>
    <row r="405" hidden="1" outlineLevel="1">
      <c r="A405" s="223" t="s">
        <v>428</v>
      </c>
      <c r="B405" s="341">
        <v>79.0</v>
      </c>
      <c r="C405" s="341">
        <v>79.0</v>
      </c>
      <c r="D405" s="342">
        <f t="shared" si="105"/>
        <v>0</v>
      </c>
      <c r="E405" s="254">
        <f t="shared" si="106"/>
        <v>1</v>
      </c>
      <c r="F405" s="344">
        <v>0.004108796296296296</v>
      </c>
      <c r="G405" s="240">
        <f t="shared" si="107"/>
        <v>5</v>
      </c>
      <c r="H405" s="240">
        <f>ROUND(
IF(F405="",
0,
MAX(1, 5 - MAX(0, (F405 - TIME(0,10,0)) / TIME(0,1,0) * 0.5))
),
2
)
</f>
        <v>5</v>
      </c>
    </row>
    <row r="406" hidden="1" outlineLevel="1"/>
    <row r="407" hidden="1" outlineLevel="1">
      <c r="A407" s="195" t="s">
        <v>239</v>
      </c>
    </row>
    <row r="408" hidden="1" outlineLevel="1">
      <c r="A408" s="260" t="s">
        <v>240</v>
      </c>
      <c r="B408" s="262" t="s">
        <v>241</v>
      </c>
      <c r="C408" s="264" t="s">
        <v>242</v>
      </c>
      <c r="D408" s="264" t="s">
        <v>243</v>
      </c>
      <c r="E408" s="265" t="s">
        <v>244</v>
      </c>
      <c r="F408" s="267" t="s">
        <v>247</v>
      </c>
      <c r="G408" s="268"/>
    </row>
    <row r="409" hidden="1" outlineLevel="1">
      <c r="A409" s="269" t="s">
        <v>25</v>
      </c>
      <c r="B409" s="271" t="str">
        <f t="shared" ref="B409:B416" si="108">(C409*0.3)+(D409*0.1)</f>
        <v>#REF!</v>
      </c>
      <c r="C409" s="272">
        <v>1.0</v>
      </c>
      <c r="D409" s="272" t="str">
        <f t="shared" ref="D409:D414" si="109">#REF!</f>
        <v>#REF!</v>
      </c>
      <c r="E409" s="273">
        <f t="shared" ref="E409:E416" si="110">(L386+G398+H398)/15*0.3</f>
        <v>0.3</v>
      </c>
      <c r="F409" s="274">
        <f t="shared" ref="F409:F416" si="111">(E409/30%)*10</f>
        <v>10</v>
      </c>
      <c r="G409" s="268"/>
      <c r="H409" s="268"/>
      <c r="I409" s="268"/>
      <c r="J409" s="268"/>
    </row>
    <row r="410" hidden="1" outlineLevel="1">
      <c r="A410" s="275" t="s">
        <v>4</v>
      </c>
      <c r="B410" s="276" t="str">
        <f t="shared" si="108"/>
        <v>#REF!</v>
      </c>
      <c r="C410" s="272">
        <v>1.0</v>
      </c>
      <c r="D410" s="272" t="str">
        <f t="shared" si="109"/>
        <v>#REF!</v>
      </c>
      <c r="E410" s="277">
        <f t="shared" si="110"/>
        <v>0.24</v>
      </c>
      <c r="F410" s="274">
        <f t="shared" si="111"/>
        <v>8</v>
      </c>
      <c r="G410" s="268"/>
      <c r="H410" s="268"/>
      <c r="I410" s="268"/>
      <c r="J410" s="268"/>
    </row>
    <row r="411" hidden="1" outlineLevel="1">
      <c r="A411" s="278" t="s">
        <v>19</v>
      </c>
      <c r="B411" s="279" t="str">
        <f t="shared" si="108"/>
        <v>#REF!</v>
      </c>
      <c r="C411" s="272">
        <v>0.85</v>
      </c>
      <c r="D411" s="280" t="str">
        <f t="shared" si="109"/>
        <v>#REF!</v>
      </c>
      <c r="E411" s="281">
        <f t="shared" si="110"/>
        <v>0.2756</v>
      </c>
      <c r="F411" s="274">
        <f t="shared" si="111"/>
        <v>9.186666667</v>
      </c>
      <c r="G411" s="268"/>
      <c r="H411" s="268"/>
      <c r="I411" s="268"/>
      <c r="J411" s="268"/>
    </row>
    <row r="412" hidden="1" outlineLevel="1">
      <c r="A412" s="275" t="s">
        <v>30</v>
      </c>
      <c r="B412" s="276" t="str">
        <f t="shared" si="108"/>
        <v>#REF!</v>
      </c>
      <c r="C412" s="272">
        <v>1.0</v>
      </c>
      <c r="D412" s="280" t="str">
        <f t="shared" si="109"/>
        <v>#REF!</v>
      </c>
      <c r="E412" s="277">
        <f t="shared" si="110"/>
        <v>0.3</v>
      </c>
      <c r="F412" s="274">
        <f t="shared" si="111"/>
        <v>10</v>
      </c>
      <c r="G412" s="268"/>
      <c r="H412" s="268"/>
      <c r="I412" s="268"/>
      <c r="J412" s="268"/>
    </row>
    <row r="413" hidden="1" outlineLevel="1">
      <c r="A413" s="282" t="s">
        <v>31</v>
      </c>
      <c r="B413" s="279" t="str">
        <f t="shared" si="108"/>
        <v>#REF!</v>
      </c>
      <c r="C413" s="272">
        <v>1.0</v>
      </c>
      <c r="D413" s="280" t="str">
        <f t="shared" si="109"/>
        <v>#REF!</v>
      </c>
      <c r="E413" s="281">
        <f t="shared" si="110"/>
        <v>0.2826</v>
      </c>
      <c r="F413" s="274">
        <f t="shared" si="111"/>
        <v>9.42</v>
      </c>
      <c r="G413" s="268"/>
      <c r="H413" s="268"/>
      <c r="I413" s="268"/>
      <c r="J413" s="268"/>
    </row>
    <row r="414" hidden="1" outlineLevel="1">
      <c r="A414" s="283" t="s">
        <v>129</v>
      </c>
      <c r="B414" s="276" t="str">
        <f t="shared" si="108"/>
        <v>#REF!</v>
      </c>
      <c r="C414" s="272">
        <v>0.6</v>
      </c>
      <c r="D414" s="280" t="str">
        <f t="shared" si="109"/>
        <v>#REF!</v>
      </c>
      <c r="E414" s="277">
        <f t="shared" si="110"/>
        <v>0.3</v>
      </c>
      <c r="F414" s="274">
        <f t="shared" si="111"/>
        <v>10</v>
      </c>
      <c r="G414" s="268"/>
      <c r="H414" s="268"/>
      <c r="I414" s="268"/>
      <c r="J414" s="268"/>
    </row>
    <row r="415" hidden="1" outlineLevel="1">
      <c r="A415" s="284" t="s">
        <v>13</v>
      </c>
      <c r="B415" s="279">
        <f t="shared" si="108"/>
        <v>0.4</v>
      </c>
      <c r="C415" s="272">
        <v>1.0</v>
      </c>
      <c r="D415" s="280">
        <f>Lyra!D179</f>
        <v>1</v>
      </c>
      <c r="E415" s="281">
        <f t="shared" si="110"/>
        <v>0.3</v>
      </c>
      <c r="F415" s="274">
        <f t="shared" si="111"/>
        <v>10</v>
      </c>
      <c r="G415" s="268"/>
      <c r="H415" s="268"/>
      <c r="I415" s="268"/>
      <c r="J415" s="268"/>
    </row>
    <row r="416" hidden="1" outlineLevel="1">
      <c r="A416" s="283" t="s">
        <v>428</v>
      </c>
      <c r="B416" s="276">
        <f t="shared" si="108"/>
        <v>0.3986666667</v>
      </c>
      <c r="C416" s="272">
        <v>1.0</v>
      </c>
      <c r="D416" s="280">
        <f>Mikka!D124</f>
        <v>0.9866666667</v>
      </c>
      <c r="E416" s="277">
        <f t="shared" si="110"/>
        <v>0.3</v>
      </c>
      <c r="F416" s="274">
        <f t="shared" si="111"/>
        <v>10</v>
      </c>
      <c r="G416" s="268"/>
      <c r="H416" s="268"/>
      <c r="I416" s="268"/>
      <c r="J416" s="268"/>
    </row>
    <row r="417" hidden="1" outlineLevel="1">
      <c r="A417" s="286"/>
      <c r="B417" s="286"/>
      <c r="C417" s="287"/>
      <c r="D417" s="288"/>
      <c r="E417" s="289"/>
      <c r="F417" s="268"/>
      <c r="G417" s="268"/>
      <c r="H417" s="268"/>
      <c r="I417" s="268"/>
      <c r="J417" s="268"/>
    </row>
    <row r="418" hidden="1" outlineLevel="1">
      <c r="A418" s="195" t="s">
        <v>269</v>
      </c>
      <c r="B418" s="286"/>
      <c r="C418" s="287"/>
      <c r="D418" s="288"/>
      <c r="E418" s="289"/>
      <c r="F418" s="268"/>
      <c r="G418" s="268"/>
      <c r="H418" s="268"/>
      <c r="I418" s="268"/>
      <c r="J418" s="268"/>
    </row>
    <row r="419" hidden="1" outlineLevel="1">
      <c r="A419" s="290" t="s">
        <v>240</v>
      </c>
      <c r="B419" s="291" t="s">
        <v>270</v>
      </c>
      <c r="C419" s="198">
        <v>46111.0</v>
      </c>
      <c r="D419" s="198">
        <v>46112.0</v>
      </c>
      <c r="E419" s="198">
        <v>46113.0</v>
      </c>
      <c r="F419" s="198">
        <v>46114.0</v>
      </c>
      <c r="G419" s="198">
        <v>46115.0</v>
      </c>
      <c r="H419" s="198">
        <v>46116.0</v>
      </c>
      <c r="I419" s="198">
        <v>46117.0</v>
      </c>
      <c r="J419" s="268"/>
    </row>
    <row r="420" hidden="1" outlineLevel="1">
      <c r="A420" s="325"/>
      <c r="B420" s="325"/>
      <c r="C420" s="205" t="s">
        <v>192</v>
      </c>
      <c r="D420" s="205" t="s">
        <v>272</v>
      </c>
      <c r="E420" s="205" t="s">
        <v>273</v>
      </c>
      <c r="F420" s="205" t="s">
        <v>274</v>
      </c>
      <c r="G420" s="205" t="s">
        <v>275</v>
      </c>
      <c r="H420" s="205" t="s">
        <v>276</v>
      </c>
      <c r="I420" s="205" t="s">
        <v>277</v>
      </c>
    </row>
    <row r="421" hidden="1" outlineLevel="1">
      <c r="A421" s="278" t="s">
        <v>25</v>
      </c>
      <c r="B421" s="293">
        <f t="shared" ref="B421:B428" si="112">Sum(C421:I421)</f>
        <v>0</v>
      </c>
      <c r="C421" s="296"/>
      <c r="D421" s="297"/>
      <c r="E421" s="297"/>
      <c r="F421" s="297"/>
      <c r="G421" s="296"/>
      <c r="H421" s="296"/>
      <c r="I421" s="296"/>
    </row>
    <row r="422" hidden="1" outlineLevel="1">
      <c r="A422" s="275" t="s">
        <v>4</v>
      </c>
      <c r="B422" s="293">
        <f t="shared" si="112"/>
        <v>0</v>
      </c>
      <c r="C422" s="295"/>
      <c r="D422" s="295"/>
      <c r="E422" s="295"/>
      <c r="F422" s="295"/>
      <c r="G422" s="295"/>
      <c r="H422" s="294"/>
      <c r="I422" s="295"/>
    </row>
    <row r="423" hidden="1" outlineLevel="1">
      <c r="A423" s="278" t="s">
        <v>19</v>
      </c>
      <c r="B423" s="293">
        <f t="shared" si="112"/>
        <v>0</v>
      </c>
      <c r="C423" s="296"/>
      <c r="D423" s="297"/>
      <c r="E423" s="296"/>
      <c r="F423" s="296"/>
      <c r="G423" s="296"/>
      <c r="H423" s="296"/>
      <c r="I423" s="297"/>
    </row>
    <row r="424" hidden="1" outlineLevel="1">
      <c r="A424" s="275" t="s">
        <v>30</v>
      </c>
      <c r="B424" s="293">
        <f t="shared" si="112"/>
        <v>0</v>
      </c>
      <c r="C424" s="295"/>
      <c r="D424" s="295"/>
      <c r="E424" s="295"/>
      <c r="F424" s="295"/>
      <c r="G424" s="295"/>
      <c r="H424" s="295"/>
      <c r="I424" s="294"/>
    </row>
    <row r="425" hidden="1" outlineLevel="1">
      <c r="A425" s="282" t="s">
        <v>31</v>
      </c>
      <c r="B425" s="293">
        <f t="shared" si="112"/>
        <v>0</v>
      </c>
      <c r="C425" s="296"/>
      <c r="D425" s="296"/>
      <c r="E425" s="296"/>
      <c r="F425" s="296"/>
      <c r="G425" s="296"/>
      <c r="H425" s="296"/>
      <c r="I425" s="297"/>
    </row>
    <row r="426" ht="16.5" hidden="1" customHeight="1" outlineLevel="1">
      <c r="A426" s="283" t="s">
        <v>129</v>
      </c>
      <c r="B426" s="293">
        <f t="shared" si="112"/>
        <v>0</v>
      </c>
      <c r="C426" s="295"/>
      <c r="D426" s="295"/>
      <c r="E426" s="295"/>
      <c r="F426" s="295"/>
      <c r="G426" s="295"/>
      <c r="H426" s="295"/>
      <c r="I426" s="295"/>
    </row>
    <row r="427" hidden="1" outlineLevel="1">
      <c r="A427" s="284" t="s">
        <v>13</v>
      </c>
      <c r="B427" s="293">
        <f t="shared" si="112"/>
        <v>0</v>
      </c>
      <c r="C427" s="297"/>
      <c r="D427" s="297"/>
      <c r="E427" s="296"/>
      <c r="F427" s="296"/>
      <c r="G427" s="296"/>
      <c r="H427" s="296"/>
      <c r="I427" s="297"/>
    </row>
    <row r="428" hidden="1" outlineLevel="1">
      <c r="A428" s="283" t="s">
        <v>64</v>
      </c>
      <c r="B428" s="293">
        <f t="shared" si="112"/>
        <v>0</v>
      </c>
      <c r="C428" s="294"/>
      <c r="D428" s="294"/>
      <c r="E428" s="295"/>
      <c r="F428" s="294"/>
      <c r="G428" s="295"/>
      <c r="H428" s="295"/>
      <c r="I428" s="294"/>
    </row>
    <row r="429" hidden="1" outlineLevel="1">
      <c r="A429" s="286"/>
      <c r="B429" s="286"/>
      <c r="C429" s="286"/>
      <c r="D429" s="286"/>
      <c r="E429" s="286"/>
      <c r="F429" s="286"/>
      <c r="G429" s="286"/>
      <c r="H429" s="286"/>
      <c r="I429" s="286"/>
    </row>
    <row r="430" collapsed="1">
      <c r="A430" s="190">
        <v>46113.0</v>
      </c>
    </row>
    <row r="431" hidden="1" outlineLevel="1" collapsed="1">
      <c r="A431" s="192" t="s">
        <v>616</v>
      </c>
    </row>
    <row r="432" hidden="1" outlineLevel="2">
      <c r="A432" s="195" t="s">
        <v>186</v>
      </c>
    </row>
    <row r="433" hidden="1" outlineLevel="2">
      <c r="A433" s="196" t="s">
        <v>187</v>
      </c>
      <c r="B433" s="197" t="s">
        <v>77</v>
      </c>
      <c r="C433" s="197" t="s">
        <v>189</v>
      </c>
      <c r="D433" s="198">
        <v>46118.0</v>
      </c>
      <c r="E433" s="198">
        <v>46119.0</v>
      </c>
      <c r="F433" s="198">
        <v>46120.0</v>
      </c>
      <c r="G433" s="198">
        <v>46121.0</v>
      </c>
      <c r="H433" s="198">
        <v>46122.0</v>
      </c>
      <c r="I433" s="198">
        <v>46123.0</v>
      </c>
      <c r="J433" s="198">
        <v>46124.0</v>
      </c>
      <c r="K433" s="199" t="s">
        <v>190</v>
      </c>
      <c r="L433" s="201" t="s">
        <v>191</v>
      </c>
    </row>
    <row r="434" hidden="1" outlineLevel="2">
      <c r="A434" s="202"/>
      <c r="B434" s="203"/>
      <c r="C434" s="203"/>
      <c r="D434" s="205" t="s">
        <v>192</v>
      </c>
      <c r="E434" s="205" t="str">
        <f t="shared" ref="E434:J434" si="113">text(E433,"ddd")</f>
        <v>Tue</v>
      </c>
      <c r="F434" s="205" t="str">
        <f t="shared" si="113"/>
        <v>Wed</v>
      </c>
      <c r="G434" s="205" t="str">
        <f t="shared" si="113"/>
        <v>Thu</v>
      </c>
      <c r="H434" s="205" t="str">
        <f t="shared" si="113"/>
        <v>Fri</v>
      </c>
      <c r="I434" s="205" t="str">
        <f t="shared" si="113"/>
        <v>Sat</v>
      </c>
      <c r="J434" s="205" t="str">
        <f t="shared" si="113"/>
        <v>Sun</v>
      </c>
      <c r="K434" s="206"/>
      <c r="L434" s="203"/>
    </row>
    <row r="435" hidden="1" outlineLevel="2">
      <c r="A435" s="207" t="s">
        <v>194</v>
      </c>
      <c r="B435" s="209">
        <f>35+35+15+15+15</f>
        <v>115</v>
      </c>
      <c r="C435" s="209">
        <f t="shared" ref="C435:C442" si="114">SUM(D435:J435)</f>
        <v>114</v>
      </c>
      <c r="D435" s="211">
        <v>35.0</v>
      </c>
      <c r="E435" s="211">
        <v>37.0</v>
      </c>
      <c r="F435" s="211" t="s">
        <v>92</v>
      </c>
      <c r="G435" s="211" t="s">
        <v>92</v>
      </c>
      <c r="H435" s="211">
        <v>15.0</v>
      </c>
      <c r="I435" s="211">
        <v>14.0</v>
      </c>
      <c r="J435" s="211">
        <v>13.0</v>
      </c>
      <c r="K435" s="214">
        <f t="shared" ref="K435:K442" si="115">iferror(C435/B435,"-")</f>
        <v>0.9913043478</v>
      </c>
      <c r="L435" s="219">
        <f t="shared" ref="L435:L442" si="116">(IF(K435="",(0),IF(K435&gt;=1,(5),IF(K435&gt;=0.9,(4),IF(K435&gt;=0.8,(3),IF(K435&gt;=0.69,(2),IF(K435&lt;=0.69,(1))))))))</f>
        <v>4</v>
      </c>
    </row>
    <row r="436" hidden="1" outlineLevel="2">
      <c r="A436" s="220" t="s">
        <v>118</v>
      </c>
      <c r="B436" s="221">
        <f>25+25+25+30+25</f>
        <v>130</v>
      </c>
      <c r="C436" s="221">
        <f t="shared" si="114"/>
        <v>122</v>
      </c>
      <c r="D436" s="211">
        <v>25.0</v>
      </c>
      <c r="E436" s="211">
        <v>24.0</v>
      </c>
      <c r="F436" s="211">
        <v>21.0</v>
      </c>
      <c r="G436" s="211">
        <v>29.0</v>
      </c>
      <c r="H436" s="211">
        <v>23.0</v>
      </c>
      <c r="I436" s="211" t="s">
        <v>92</v>
      </c>
      <c r="J436" s="211" t="s">
        <v>92</v>
      </c>
      <c r="K436" s="214">
        <f t="shared" si="115"/>
        <v>0.9384615385</v>
      </c>
      <c r="L436" s="219">
        <f t="shared" si="116"/>
        <v>4</v>
      </c>
    </row>
    <row r="437" hidden="1" outlineLevel="2">
      <c r="A437" s="207" t="s">
        <v>19</v>
      </c>
      <c r="B437" s="209">
        <f>30+40+40+35+20</f>
        <v>165</v>
      </c>
      <c r="C437" s="209">
        <f t="shared" si="114"/>
        <v>159</v>
      </c>
      <c r="D437" s="211">
        <v>33.0</v>
      </c>
      <c r="E437" s="211" t="s">
        <v>92</v>
      </c>
      <c r="F437" s="211">
        <v>40.0</v>
      </c>
      <c r="G437" s="211">
        <v>31.0</v>
      </c>
      <c r="H437" s="211" t="s">
        <v>92</v>
      </c>
      <c r="I437" s="211">
        <v>37.0</v>
      </c>
      <c r="J437" s="211">
        <v>18.0</v>
      </c>
      <c r="K437" s="214">
        <f t="shared" si="115"/>
        <v>0.9636363636</v>
      </c>
      <c r="L437" s="219">
        <f t="shared" si="116"/>
        <v>4</v>
      </c>
    </row>
    <row r="438" hidden="1" outlineLevel="2">
      <c r="A438" s="220" t="s">
        <v>120</v>
      </c>
      <c r="B438" s="221">
        <f>15+15+5+10+10</f>
        <v>55</v>
      </c>
      <c r="C438" s="221">
        <f t="shared" si="114"/>
        <v>58</v>
      </c>
      <c r="D438" s="211">
        <v>16.0</v>
      </c>
      <c r="E438" s="211">
        <v>17.0</v>
      </c>
      <c r="F438" s="211">
        <v>3.0</v>
      </c>
      <c r="G438" s="211">
        <v>11.0</v>
      </c>
      <c r="H438" s="211">
        <v>11.0</v>
      </c>
      <c r="I438" s="211" t="s">
        <v>92</v>
      </c>
      <c r="J438" s="211" t="s">
        <v>92</v>
      </c>
      <c r="K438" s="214">
        <f t="shared" si="115"/>
        <v>1.054545455</v>
      </c>
      <c r="L438" s="219">
        <f t="shared" si="116"/>
        <v>5</v>
      </c>
    </row>
    <row r="439" hidden="1" outlineLevel="2">
      <c r="A439" s="222" t="s">
        <v>22</v>
      </c>
      <c r="B439" s="209">
        <f>20+30+35+25+20</f>
        <v>130</v>
      </c>
      <c r="C439" s="221">
        <f t="shared" si="114"/>
        <v>130</v>
      </c>
      <c r="D439" s="211">
        <v>21.0</v>
      </c>
      <c r="E439" s="211">
        <v>30.0</v>
      </c>
      <c r="F439" s="211">
        <v>35.0</v>
      </c>
      <c r="G439" s="211">
        <v>25.0</v>
      </c>
      <c r="H439" s="211">
        <v>19.0</v>
      </c>
      <c r="I439" s="211" t="s">
        <v>92</v>
      </c>
      <c r="J439" s="211" t="s">
        <v>92</v>
      </c>
      <c r="K439" s="214">
        <f t="shared" si="115"/>
        <v>1</v>
      </c>
      <c r="L439" s="219">
        <f t="shared" si="116"/>
        <v>5</v>
      </c>
    </row>
    <row r="440" hidden="1" outlineLevel="2">
      <c r="A440" s="223" t="s">
        <v>129</v>
      </c>
      <c r="B440" s="221">
        <f>30+30+25+20+20</f>
        <v>125</v>
      </c>
      <c r="C440" s="209">
        <f t="shared" si="114"/>
        <v>123</v>
      </c>
      <c r="D440" s="211">
        <v>30.0</v>
      </c>
      <c r="E440" s="211">
        <v>29.0</v>
      </c>
      <c r="F440" s="211">
        <v>28.0</v>
      </c>
      <c r="G440" s="211" t="s">
        <v>92</v>
      </c>
      <c r="H440" s="211" t="s">
        <v>92</v>
      </c>
      <c r="I440" s="211">
        <v>21.0</v>
      </c>
      <c r="J440" s="224">
        <v>15.0</v>
      </c>
      <c r="K440" s="214">
        <f t="shared" si="115"/>
        <v>0.984</v>
      </c>
      <c r="L440" s="219">
        <f t="shared" si="116"/>
        <v>4</v>
      </c>
    </row>
    <row r="441" hidden="1" outlineLevel="2">
      <c r="A441" s="223" t="s">
        <v>13</v>
      </c>
      <c r="B441" s="382">
        <f>20*5</f>
        <v>100</v>
      </c>
      <c r="C441" s="209">
        <f t="shared" si="114"/>
        <v>96</v>
      </c>
      <c r="D441" s="211">
        <v>21.0</v>
      </c>
      <c r="E441" s="211" t="s">
        <v>92</v>
      </c>
      <c r="F441" s="211" t="s">
        <v>92</v>
      </c>
      <c r="G441" s="211">
        <v>27.0</v>
      </c>
      <c r="H441" s="211">
        <v>20.0</v>
      </c>
      <c r="I441" s="211">
        <v>11.0</v>
      </c>
      <c r="J441" s="224">
        <v>17.0</v>
      </c>
      <c r="K441" s="214">
        <f t="shared" si="115"/>
        <v>0.96</v>
      </c>
      <c r="L441" s="219">
        <f t="shared" si="116"/>
        <v>4</v>
      </c>
    </row>
    <row r="442" hidden="1" outlineLevel="2">
      <c r="A442" s="223" t="s">
        <v>428</v>
      </c>
      <c r="B442" s="382">
        <f>15*5</f>
        <v>75</v>
      </c>
      <c r="C442" s="209">
        <f t="shared" si="114"/>
        <v>68</v>
      </c>
      <c r="D442" s="211">
        <v>16.0</v>
      </c>
      <c r="E442" s="211">
        <v>17.0</v>
      </c>
      <c r="F442" s="211">
        <v>14.0</v>
      </c>
      <c r="G442" s="211" t="s">
        <v>92</v>
      </c>
      <c r="H442" s="211" t="s">
        <v>92</v>
      </c>
      <c r="I442" s="211">
        <v>9.0</v>
      </c>
      <c r="J442" s="224">
        <v>12.0</v>
      </c>
      <c r="K442" s="214">
        <f t="shared" si="115"/>
        <v>0.9066666667</v>
      </c>
      <c r="L442" s="219">
        <f t="shared" si="116"/>
        <v>4</v>
      </c>
    </row>
    <row r="443" hidden="1" outlineLevel="2"/>
    <row r="444" hidden="1" outlineLevel="2">
      <c r="A444" s="195" t="s">
        <v>135</v>
      </c>
      <c r="I444" s="195"/>
    </row>
    <row r="445" hidden="1" outlineLevel="2">
      <c r="A445" s="196" t="s">
        <v>187</v>
      </c>
      <c r="B445" s="225" t="s">
        <v>218</v>
      </c>
      <c r="C445" s="225" t="s">
        <v>219</v>
      </c>
      <c r="D445" s="225" t="s">
        <v>139</v>
      </c>
      <c r="E445" s="225" t="s">
        <v>140</v>
      </c>
      <c r="F445" s="225" t="s">
        <v>141</v>
      </c>
      <c r="G445" s="226" t="s">
        <v>143</v>
      </c>
      <c r="H445" s="226" t="s">
        <v>221</v>
      </c>
    </row>
    <row r="446" hidden="1" outlineLevel="2">
      <c r="A446" s="202"/>
      <c r="B446" s="203"/>
      <c r="C446" s="227"/>
      <c r="D446" s="227"/>
      <c r="E446" s="227"/>
      <c r="F446" s="227"/>
      <c r="G446" s="227"/>
      <c r="H446" s="227"/>
    </row>
    <row r="447" hidden="1" outlineLevel="2">
      <c r="A447" s="207" t="s">
        <v>194</v>
      </c>
      <c r="B447" s="228">
        <v>118.0</v>
      </c>
      <c r="C447" s="228">
        <v>114.0</v>
      </c>
      <c r="D447" s="229">
        <f t="shared" ref="D447:D454" si="117">B447-C447</f>
        <v>4</v>
      </c>
      <c r="E447" s="230">
        <f t="shared" ref="E447:E454" si="118">IFERROR(C447/B447,"")</f>
        <v>0.9661016949</v>
      </c>
      <c r="F447" s="232">
        <v>0.0020717592592592593</v>
      </c>
      <c r="G447" s="240">
        <f t="shared" ref="G447:G454" si="119">IFERROR((IF(E447="",(0),IF(E447&gt;=0.98,(5),IF(E447&gt;=0.95,(4.5),IF(E447&gt;=0.9,(4),IF(E447&gt;=0.8,(3),IF(E447&lt;=0.69,(1)))))))),"")</f>
        <v>4.5</v>
      </c>
      <c r="H447" s="240">
        <f>ROUND(
IF(F447="",
0,
MAX(1, 5 - MAX(0, (F447 - TIME(0,4,0)) / TIME(0,1,0) * 0.5))
),
2
)
</f>
        <v>5</v>
      </c>
    </row>
    <row r="448" hidden="1" outlineLevel="2">
      <c r="A448" s="220" t="s">
        <v>118</v>
      </c>
      <c r="B448" s="251">
        <v>123.0</v>
      </c>
      <c r="C448" s="251">
        <v>120.0</v>
      </c>
      <c r="D448" s="342">
        <f t="shared" si="117"/>
        <v>3</v>
      </c>
      <c r="E448" s="254">
        <f t="shared" si="118"/>
        <v>0.9756097561</v>
      </c>
      <c r="F448" s="255">
        <v>0.004398148148148148</v>
      </c>
      <c r="G448" s="240">
        <f t="shared" si="119"/>
        <v>4.5</v>
      </c>
      <c r="H448" s="240">
        <f>ROUND(
IF(F448="",
0,
MAX(1, 5 - MAX(0, (F448 - TIME(0,5,0)) / TIME(0,1,0) * 0.5))
),
2
)
</f>
        <v>4.33</v>
      </c>
    </row>
    <row r="449" hidden="1" outlineLevel="2">
      <c r="A449" s="207" t="s">
        <v>19</v>
      </c>
      <c r="B449" s="251">
        <v>153.0</v>
      </c>
      <c r="C449" s="251">
        <v>148.0</v>
      </c>
      <c r="D449" s="342">
        <f t="shared" si="117"/>
        <v>5</v>
      </c>
      <c r="E449" s="254">
        <f t="shared" si="118"/>
        <v>0.9673202614</v>
      </c>
      <c r="F449" s="255">
        <v>0.0036458333333333334</v>
      </c>
      <c r="G449" s="240">
        <f t="shared" si="119"/>
        <v>4.5</v>
      </c>
      <c r="H449" s="240">
        <f>ROUND(
IF(F449="",
0,
MAX(1, 5 - MAX(0, (F449 - TIME(0,4,0)) / TIME(0,1,0) * 0.5))
),
2
)
</f>
        <v>4.38</v>
      </c>
    </row>
    <row r="450" hidden="1" outlineLevel="2">
      <c r="A450" s="220" t="s">
        <v>120</v>
      </c>
      <c r="B450" s="228">
        <v>60.0</v>
      </c>
      <c r="C450" s="228">
        <v>59.0</v>
      </c>
      <c r="D450" s="229">
        <f t="shared" si="117"/>
        <v>1</v>
      </c>
      <c r="E450" s="230">
        <f t="shared" si="118"/>
        <v>0.9833333333</v>
      </c>
      <c r="F450" s="232">
        <v>0.003460648148148148</v>
      </c>
      <c r="G450" s="240">
        <f t="shared" si="119"/>
        <v>5</v>
      </c>
      <c r="H450" s="240">
        <f>ROUND(
IF(F450="",
0,
MAX(1, 5 - MAX(0, (F450 - TIME(0,5,0)) / TIME(0,1,0) * 0.5))
),
2
)
</f>
        <v>5</v>
      </c>
    </row>
    <row r="451" hidden="1" outlineLevel="2">
      <c r="A451" s="222" t="s">
        <v>22</v>
      </c>
      <c r="B451" s="228">
        <v>140.0</v>
      </c>
      <c r="C451" s="228">
        <v>134.0</v>
      </c>
      <c r="D451" s="229">
        <f t="shared" si="117"/>
        <v>6</v>
      </c>
      <c r="E451" s="230">
        <f t="shared" si="118"/>
        <v>0.9571428571</v>
      </c>
      <c r="F451" s="232">
        <v>0.0022800925925925927</v>
      </c>
      <c r="G451" s="240">
        <f t="shared" si="119"/>
        <v>4.5</v>
      </c>
      <c r="H451" s="240">
        <f>ROUND(
IF(F451="",
0,
MAX(1, 5 - MAX(0, (F451 - TIME(0,4,0)) / TIME(0,1,0) * 0.5))
),
2
)
</f>
        <v>5</v>
      </c>
    </row>
    <row r="452" hidden="1" outlineLevel="2">
      <c r="A452" s="223" t="s">
        <v>129</v>
      </c>
      <c r="B452" s="251">
        <v>121.0</v>
      </c>
      <c r="C452" s="251">
        <v>121.0</v>
      </c>
      <c r="D452" s="342">
        <f t="shared" si="117"/>
        <v>0</v>
      </c>
      <c r="E452" s="254">
        <f t="shared" si="118"/>
        <v>1</v>
      </c>
      <c r="F452" s="255">
        <v>0.0038888888888888888</v>
      </c>
      <c r="G452" s="240">
        <f t="shared" si="119"/>
        <v>5</v>
      </c>
      <c r="H452" s="240">
        <f t="shared" ref="H452:H454" si="120">ROUND(
IF(F452="",
0,
MAX(1, 5 - MAX(0, (F452 - TIME(0,5,0)) / TIME(0,1,0) * 0.5))
),
2
)
</f>
        <v>4.7</v>
      </c>
    </row>
    <row r="453" hidden="1" outlineLevel="2">
      <c r="A453" s="223" t="s">
        <v>13</v>
      </c>
      <c r="B453" s="228">
        <v>101.0</v>
      </c>
      <c r="C453" s="228">
        <v>96.0</v>
      </c>
      <c r="D453" s="229">
        <f t="shared" si="117"/>
        <v>5</v>
      </c>
      <c r="E453" s="230">
        <f t="shared" si="118"/>
        <v>0.9504950495</v>
      </c>
      <c r="F453" s="232">
        <v>0.0031134259259259257</v>
      </c>
      <c r="G453" s="240">
        <f t="shared" si="119"/>
        <v>4.5</v>
      </c>
      <c r="H453" s="240">
        <f t="shared" si="120"/>
        <v>5</v>
      </c>
    </row>
    <row r="454" hidden="1" outlineLevel="2">
      <c r="A454" s="223" t="s">
        <v>428</v>
      </c>
      <c r="B454" s="251">
        <v>68.0</v>
      </c>
      <c r="C454" s="251">
        <v>68.0</v>
      </c>
      <c r="D454" s="342">
        <f t="shared" si="117"/>
        <v>0</v>
      </c>
      <c r="E454" s="254">
        <f t="shared" si="118"/>
        <v>1</v>
      </c>
      <c r="F454" s="255">
        <v>0.0044444444444444444</v>
      </c>
      <c r="G454" s="240">
        <f t="shared" si="119"/>
        <v>5</v>
      </c>
      <c r="H454" s="240">
        <f t="shared" si="120"/>
        <v>4.3</v>
      </c>
    </row>
    <row r="455" hidden="1" outlineLevel="2"/>
    <row r="456" hidden="1" outlineLevel="2">
      <c r="A456" s="195" t="s">
        <v>239</v>
      </c>
    </row>
    <row r="457" hidden="1" outlineLevel="2">
      <c r="A457" s="260" t="s">
        <v>240</v>
      </c>
      <c r="B457" s="262" t="s">
        <v>241</v>
      </c>
      <c r="C457" s="264" t="s">
        <v>242</v>
      </c>
      <c r="D457" s="264" t="s">
        <v>243</v>
      </c>
      <c r="E457" s="265" t="s">
        <v>244</v>
      </c>
      <c r="F457" s="267" t="s">
        <v>247</v>
      </c>
      <c r="G457" s="268"/>
    </row>
    <row r="458" hidden="1" outlineLevel="2">
      <c r="A458" s="269" t="s">
        <v>25</v>
      </c>
      <c r="B458" s="271" t="str">
        <f t="shared" ref="B458:B465" si="121">(C458*0.3)+(D458*0.1)</f>
        <v>#REF!</v>
      </c>
      <c r="C458" s="272">
        <v>1.0</v>
      </c>
      <c r="D458" s="272" t="str">
        <f t="shared" ref="D458:D463" si="122">#REF!</f>
        <v>#REF!</v>
      </c>
      <c r="E458" s="273">
        <f t="shared" ref="E458:E465" si="123">(L435+G447+H447)/15*0.3</f>
        <v>0.27</v>
      </c>
      <c r="F458" s="274">
        <f t="shared" ref="F458:F465" si="124">(E458/30%)*10</f>
        <v>9</v>
      </c>
      <c r="G458" s="268"/>
      <c r="H458" s="268"/>
      <c r="I458" s="268"/>
      <c r="J458" s="268"/>
    </row>
    <row r="459" hidden="1" outlineLevel="2">
      <c r="A459" s="275" t="s">
        <v>4</v>
      </c>
      <c r="B459" s="276" t="str">
        <f t="shared" si="121"/>
        <v>#REF!</v>
      </c>
      <c r="C459" s="272">
        <v>1.0</v>
      </c>
      <c r="D459" s="272" t="str">
        <f t="shared" si="122"/>
        <v>#REF!</v>
      </c>
      <c r="E459" s="277">
        <f t="shared" si="123"/>
        <v>0.2566</v>
      </c>
      <c r="F459" s="274">
        <f t="shared" si="124"/>
        <v>8.553333333</v>
      </c>
      <c r="G459" s="268"/>
      <c r="H459" s="268"/>
      <c r="I459" s="268"/>
      <c r="J459" s="268"/>
    </row>
    <row r="460" hidden="1" outlineLevel="2">
      <c r="A460" s="278" t="s">
        <v>19</v>
      </c>
      <c r="B460" s="279" t="str">
        <f t="shared" si="121"/>
        <v>#REF!</v>
      </c>
      <c r="C460" s="272">
        <v>0.6667</v>
      </c>
      <c r="D460" s="280" t="str">
        <f t="shared" si="122"/>
        <v>#REF!</v>
      </c>
      <c r="E460" s="281">
        <f t="shared" si="123"/>
        <v>0.2576</v>
      </c>
      <c r="F460" s="274">
        <f t="shared" si="124"/>
        <v>8.586666667</v>
      </c>
      <c r="G460" s="268"/>
      <c r="H460" s="268"/>
      <c r="I460" s="268"/>
      <c r="J460" s="268"/>
    </row>
    <row r="461" hidden="1" outlineLevel="2">
      <c r="A461" s="275" t="s">
        <v>30</v>
      </c>
      <c r="B461" s="276" t="str">
        <f t="shared" si="121"/>
        <v>#REF!</v>
      </c>
      <c r="C461" s="272">
        <v>0.7</v>
      </c>
      <c r="D461" s="280" t="str">
        <f t="shared" si="122"/>
        <v>#REF!</v>
      </c>
      <c r="E461" s="277">
        <f t="shared" si="123"/>
        <v>0.3</v>
      </c>
      <c r="F461" s="274">
        <f t="shared" si="124"/>
        <v>10</v>
      </c>
      <c r="G461" s="268"/>
      <c r="H461" s="268"/>
      <c r="I461" s="268"/>
      <c r="J461" s="268"/>
    </row>
    <row r="462" hidden="1" outlineLevel="2">
      <c r="A462" s="282" t="s">
        <v>31</v>
      </c>
      <c r="B462" s="279" t="str">
        <f t="shared" si="121"/>
        <v>#REF!</v>
      </c>
      <c r="C462" s="272">
        <v>1.0</v>
      </c>
      <c r="D462" s="280" t="str">
        <f t="shared" si="122"/>
        <v>#REF!</v>
      </c>
      <c r="E462" s="281">
        <f t="shared" si="123"/>
        <v>0.29</v>
      </c>
      <c r="F462" s="274">
        <f t="shared" si="124"/>
        <v>9.666666667</v>
      </c>
      <c r="G462" s="268"/>
      <c r="H462" s="268"/>
      <c r="I462" s="268"/>
      <c r="J462" s="268"/>
    </row>
    <row r="463" hidden="1" outlineLevel="2">
      <c r="A463" s="283" t="s">
        <v>129</v>
      </c>
      <c r="B463" s="276" t="str">
        <f t="shared" si="121"/>
        <v>#REF!</v>
      </c>
      <c r="C463" s="272">
        <v>1.0</v>
      </c>
      <c r="D463" s="280" t="str">
        <f t="shared" si="122"/>
        <v>#REF!</v>
      </c>
      <c r="E463" s="277">
        <f t="shared" si="123"/>
        <v>0.274</v>
      </c>
      <c r="F463" s="274">
        <f t="shared" si="124"/>
        <v>9.133333333</v>
      </c>
      <c r="G463" s="268"/>
      <c r="H463" s="268"/>
      <c r="I463" s="268"/>
      <c r="J463" s="268"/>
    </row>
    <row r="464" hidden="1" outlineLevel="2">
      <c r="A464" s="284" t="s">
        <v>13</v>
      </c>
      <c r="B464" s="279">
        <f t="shared" si="121"/>
        <v>0.4</v>
      </c>
      <c r="C464" s="272">
        <v>1.0</v>
      </c>
      <c r="D464" s="280">
        <f>Lyra!D197</f>
        <v>1</v>
      </c>
      <c r="E464" s="281">
        <f t="shared" si="123"/>
        <v>0.27</v>
      </c>
      <c r="F464" s="274">
        <f t="shared" si="124"/>
        <v>9</v>
      </c>
      <c r="G464" s="268"/>
      <c r="H464" s="268"/>
      <c r="I464" s="268"/>
      <c r="J464" s="268"/>
    </row>
    <row r="465" hidden="1" outlineLevel="2">
      <c r="A465" s="283" t="s">
        <v>428</v>
      </c>
      <c r="B465" s="276">
        <f t="shared" si="121"/>
        <v>0.1</v>
      </c>
      <c r="C465" s="272"/>
      <c r="D465" s="280">
        <f>Mikka!D142</f>
        <v>1</v>
      </c>
      <c r="E465" s="277">
        <f t="shared" si="123"/>
        <v>0.266</v>
      </c>
      <c r="F465" s="274">
        <f t="shared" si="124"/>
        <v>8.866666667</v>
      </c>
      <c r="G465" s="268"/>
      <c r="H465" s="268"/>
      <c r="I465" s="268"/>
      <c r="J465" s="268"/>
    </row>
    <row r="466" hidden="1" outlineLevel="2">
      <c r="A466" s="286"/>
      <c r="B466" s="286"/>
      <c r="C466" s="287"/>
      <c r="D466" s="288"/>
      <c r="E466" s="289"/>
      <c r="F466" s="268"/>
      <c r="G466" s="268"/>
      <c r="H466" s="268"/>
      <c r="I466" s="268"/>
      <c r="J466" s="268"/>
    </row>
    <row r="467" hidden="1" outlineLevel="2">
      <c r="A467" s="195" t="s">
        <v>269</v>
      </c>
      <c r="B467" s="286"/>
      <c r="C467" s="287"/>
      <c r="D467" s="288"/>
      <c r="E467" s="289"/>
      <c r="F467" s="268"/>
      <c r="G467" s="268"/>
      <c r="H467" s="268"/>
      <c r="I467" s="268"/>
      <c r="J467" s="268"/>
    </row>
    <row r="468" hidden="1" outlineLevel="2">
      <c r="A468" s="290" t="s">
        <v>240</v>
      </c>
      <c r="B468" s="291" t="s">
        <v>270</v>
      </c>
      <c r="C468" s="198">
        <v>46118.0</v>
      </c>
      <c r="D468" s="198">
        <v>46119.0</v>
      </c>
      <c r="E468" s="198">
        <v>46120.0</v>
      </c>
      <c r="F468" s="198">
        <v>46121.0</v>
      </c>
      <c r="G468" s="198">
        <v>46122.0</v>
      </c>
      <c r="H468" s="198">
        <v>46123.0</v>
      </c>
      <c r="I468" s="198">
        <v>46124.0</v>
      </c>
      <c r="J468" s="268"/>
    </row>
    <row r="469" hidden="1" outlineLevel="2">
      <c r="A469" s="325"/>
      <c r="B469" s="325"/>
      <c r="C469" s="205" t="s">
        <v>192</v>
      </c>
      <c r="D469" s="205" t="s">
        <v>272</v>
      </c>
      <c r="E469" s="205" t="s">
        <v>273</v>
      </c>
      <c r="F469" s="205" t="s">
        <v>274</v>
      </c>
      <c r="G469" s="205" t="s">
        <v>275</v>
      </c>
      <c r="H469" s="205" t="s">
        <v>276</v>
      </c>
      <c r="I469" s="205" t="s">
        <v>277</v>
      </c>
    </row>
    <row r="470" hidden="1" outlineLevel="2">
      <c r="A470" s="278" t="s">
        <v>25</v>
      </c>
      <c r="B470" s="293">
        <f t="shared" ref="B470:B477" si="125">Sum(C470:I470)</f>
        <v>0</v>
      </c>
      <c r="C470" s="296"/>
      <c r="D470" s="297"/>
      <c r="E470" s="297"/>
      <c r="F470" s="297"/>
      <c r="G470" s="296"/>
      <c r="H470" s="296"/>
      <c r="I470" s="296"/>
    </row>
    <row r="471" hidden="1" outlineLevel="2">
      <c r="A471" s="275" t="s">
        <v>4</v>
      </c>
      <c r="B471" s="293">
        <f t="shared" si="125"/>
        <v>0</v>
      </c>
      <c r="C471" s="295"/>
      <c r="D471" s="295"/>
      <c r="E471" s="295"/>
      <c r="F471" s="295"/>
      <c r="G471" s="295"/>
      <c r="H471" s="294"/>
      <c r="I471" s="295"/>
    </row>
    <row r="472" hidden="1" outlineLevel="2">
      <c r="A472" s="278" t="s">
        <v>19</v>
      </c>
      <c r="B472" s="293">
        <f t="shared" si="125"/>
        <v>0</v>
      </c>
      <c r="C472" s="296"/>
      <c r="D472" s="297"/>
      <c r="E472" s="296"/>
      <c r="F472" s="296"/>
      <c r="G472" s="296"/>
      <c r="H472" s="296"/>
      <c r="I472" s="297"/>
    </row>
    <row r="473" hidden="1" outlineLevel="2">
      <c r="A473" s="275" t="s">
        <v>30</v>
      </c>
      <c r="B473" s="293">
        <f t="shared" si="125"/>
        <v>0</v>
      </c>
      <c r="C473" s="295"/>
      <c r="D473" s="295"/>
      <c r="E473" s="295"/>
      <c r="F473" s="295"/>
      <c r="G473" s="295"/>
      <c r="H473" s="295"/>
      <c r="I473" s="294"/>
    </row>
    <row r="474" hidden="1" outlineLevel="2">
      <c r="A474" s="282" t="s">
        <v>31</v>
      </c>
      <c r="B474" s="293">
        <f t="shared" si="125"/>
        <v>0</v>
      </c>
      <c r="C474" s="296"/>
      <c r="D474" s="296"/>
      <c r="E474" s="296"/>
      <c r="F474" s="296"/>
      <c r="G474" s="296"/>
      <c r="H474" s="296"/>
      <c r="I474" s="297"/>
    </row>
    <row r="475" ht="16.5" hidden="1" customHeight="1" outlineLevel="2">
      <c r="A475" s="283" t="s">
        <v>129</v>
      </c>
      <c r="B475" s="293">
        <f t="shared" si="125"/>
        <v>0</v>
      </c>
      <c r="C475" s="295"/>
      <c r="D475" s="295"/>
      <c r="E475" s="295"/>
      <c r="F475" s="295"/>
      <c r="G475" s="295"/>
      <c r="H475" s="295"/>
      <c r="I475" s="295"/>
    </row>
    <row r="476" hidden="1" outlineLevel="2">
      <c r="A476" s="284" t="s">
        <v>13</v>
      </c>
      <c r="B476" s="293">
        <f t="shared" si="125"/>
        <v>0</v>
      </c>
      <c r="C476" s="297"/>
      <c r="D476" s="297"/>
      <c r="E476" s="296"/>
      <c r="F476" s="296"/>
      <c r="G476" s="296"/>
      <c r="H476" s="296"/>
      <c r="I476" s="297"/>
    </row>
    <row r="477" hidden="1" outlineLevel="2">
      <c r="A477" s="283" t="s">
        <v>64</v>
      </c>
      <c r="B477" s="293">
        <f t="shared" si="125"/>
        <v>0</v>
      </c>
      <c r="C477" s="294"/>
      <c r="D477" s="294"/>
      <c r="E477" s="295"/>
      <c r="F477" s="294"/>
      <c r="G477" s="295"/>
      <c r="H477" s="295"/>
      <c r="I477" s="294"/>
    </row>
    <row r="478" hidden="1" outlineLevel="2">
      <c r="A478" s="286"/>
      <c r="B478" s="286"/>
      <c r="C478" s="286"/>
      <c r="D478" s="286"/>
      <c r="E478" s="286"/>
      <c r="F478" s="286"/>
      <c r="G478" s="286"/>
      <c r="H478" s="286"/>
      <c r="I478" s="286"/>
    </row>
    <row r="479" hidden="1" outlineLevel="1" collapsed="1">
      <c r="A479" s="192" t="s">
        <v>660</v>
      </c>
    </row>
    <row r="480" hidden="1" outlineLevel="2">
      <c r="A480" s="195" t="s">
        <v>186</v>
      </c>
    </row>
    <row r="481" hidden="1" outlineLevel="2">
      <c r="A481" s="196" t="s">
        <v>187</v>
      </c>
      <c r="B481" s="197" t="s">
        <v>77</v>
      </c>
      <c r="C481" s="197" t="s">
        <v>189</v>
      </c>
      <c r="D481" s="198">
        <v>46125.0</v>
      </c>
      <c r="E481" s="198">
        <v>46126.0</v>
      </c>
      <c r="F481" s="198">
        <v>46127.0</v>
      </c>
      <c r="G481" s="198">
        <v>46128.0</v>
      </c>
      <c r="H481" s="198">
        <v>46129.0</v>
      </c>
      <c r="I481" s="198">
        <v>46130.0</v>
      </c>
      <c r="J481" s="198">
        <v>46124.0</v>
      </c>
      <c r="K481" s="199" t="s">
        <v>190</v>
      </c>
      <c r="L481" s="201" t="s">
        <v>191</v>
      </c>
    </row>
    <row r="482" hidden="1" outlineLevel="2">
      <c r="A482" s="202"/>
      <c r="B482" s="203"/>
      <c r="C482" s="203"/>
      <c r="D482" s="205" t="s">
        <v>192</v>
      </c>
      <c r="E482" s="205" t="str">
        <f t="shared" ref="E482:J482" si="126">text(E481,"ddd")</f>
        <v>Tue</v>
      </c>
      <c r="F482" s="205" t="str">
        <f t="shared" si="126"/>
        <v>Wed</v>
      </c>
      <c r="G482" s="205" t="str">
        <f t="shared" si="126"/>
        <v>Thu</v>
      </c>
      <c r="H482" s="205" t="str">
        <f t="shared" si="126"/>
        <v>Fri</v>
      </c>
      <c r="I482" s="205" t="str">
        <f t="shared" si="126"/>
        <v>Sat</v>
      </c>
      <c r="J482" s="205" t="str">
        <f t="shared" si="126"/>
        <v>Sun</v>
      </c>
      <c r="K482" s="206"/>
      <c r="L482" s="203"/>
    </row>
    <row r="483" hidden="1" outlineLevel="2">
      <c r="A483" s="207" t="s">
        <v>194</v>
      </c>
      <c r="B483" s="209">
        <f>25+15+15+20+25</f>
        <v>100</v>
      </c>
      <c r="C483" s="209">
        <f t="shared" ref="C483:C490" si="127">SUM(D483:J483)</f>
        <v>93</v>
      </c>
      <c r="D483" s="211">
        <v>26.0</v>
      </c>
      <c r="E483" s="211">
        <v>12.0</v>
      </c>
      <c r="F483" s="211">
        <v>10.0</v>
      </c>
      <c r="G483" s="211">
        <v>18.0</v>
      </c>
      <c r="H483" s="211">
        <v>27.0</v>
      </c>
      <c r="I483" s="211" t="s">
        <v>92</v>
      </c>
      <c r="J483" s="211" t="s">
        <v>92</v>
      </c>
      <c r="K483" s="214">
        <f t="shared" ref="K483:K490" si="128">iferror(C483/B483,"-")</f>
        <v>0.93</v>
      </c>
      <c r="L483" s="219">
        <f t="shared" ref="L483:L490" si="129">(IF(K483="",(0),IF(K483&gt;=1,(5),IF(K483&gt;=0.9,(4),IF(K483&gt;=0.8,(3),IF(K483&gt;=0.69,(2),IF(K483&lt;=0.69,(1))))))))</f>
        <v>4</v>
      </c>
    </row>
    <row r="484" hidden="1" outlineLevel="2">
      <c r="A484" s="220" t="s">
        <v>118</v>
      </c>
      <c r="B484" s="221">
        <f>25+25+15+25+25</f>
        <v>115</v>
      </c>
      <c r="C484" s="221">
        <f t="shared" si="127"/>
        <v>104</v>
      </c>
      <c r="D484" s="211">
        <v>24.0</v>
      </c>
      <c r="E484" s="211">
        <v>22.0</v>
      </c>
      <c r="F484" s="211">
        <v>14.0</v>
      </c>
      <c r="G484" s="211">
        <v>21.0</v>
      </c>
      <c r="H484" s="211">
        <v>23.0</v>
      </c>
      <c r="I484" s="211" t="s">
        <v>92</v>
      </c>
      <c r="J484" s="211" t="s">
        <v>92</v>
      </c>
      <c r="K484" s="214">
        <f t="shared" si="128"/>
        <v>0.9043478261</v>
      </c>
      <c r="L484" s="219">
        <f t="shared" si="129"/>
        <v>4</v>
      </c>
    </row>
    <row r="485" hidden="1" outlineLevel="2">
      <c r="A485" s="207" t="s">
        <v>19</v>
      </c>
      <c r="B485" s="209">
        <f>30+30+30+30+30</f>
        <v>150</v>
      </c>
      <c r="C485" s="209">
        <f t="shared" si="127"/>
        <v>147</v>
      </c>
      <c r="D485" s="211">
        <v>34.0</v>
      </c>
      <c r="E485" s="211">
        <v>25.0</v>
      </c>
      <c r="F485" s="211" t="s">
        <v>92</v>
      </c>
      <c r="G485" s="211">
        <v>27.0</v>
      </c>
      <c r="H485" s="211">
        <v>32.0</v>
      </c>
      <c r="I485" s="211">
        <v>29.0</v>
      </c>
      <c r="J485" s="211" t="s">
        <v>92</v>
      </c>
      <c r="K485" s="214">
        <f t="shared" si="128"/>
        <v>0.98</v>
      </c>
      <c r="L485" s="219">
        <f t="shared" si="129"/>
        <v>4</v>
      </c>
    </row>
    <row r="486" hidden="1" outlineLevel="2">
      <c r="A486" s="220" t="s">
        <v>120</v>
      </c>
      <c r="B486" s="221">
        <f>25+20+10+20</f>
        <v>75</v>
      </c>
      <c r="C486" s="221">
        <f t="shared" si="127"/>
        <v>72</v>
      </c>
      <c r="D486" s="211">
        <v>26.0</v>
      </c>
      <c r="E486" s="211">
        <v>18.0</v>
      </c>
      <c r="F486" s="211" t="s">
        <v>197</v>
      </c>
      <c r="G486" s="211">
        <v>8.0</v>
      </c>
      <c r="H486" s="211">
        <v>20.0</v>
      </c>
      <c r="I486" s="211" t="s">
        <v>92</v>
      </c>
      <c r="J486" s="211" t="s">
        <v>92</v>
      </c>
      <c r="K486" s="214">
        <f t="shared" si="128"/>
        <v>0.96</v>
      </c>
      <c r="L486" s="219">
        <f t="shared" si="129"/>
        <v>4</v>
      </c>
    </row>
    <row r="487" hidden="1" outlineLevel="2">
      <c r="A487" s="222" t="s">
        <v>22</v>
      </c>
      <c r="B487" s="209">
        <f>20+20+30+15+20</f>
        <v>105</v>
      </c>
      <c r="C487" s="221">
        <f t="shared" si="127"/>
        <v>105</v>
      </c>
      <c r="D487" s="211">
        <v>22.0</v>
      </c>
      <c r="E487" s="211">
        <v>20.0</v>
      </c>
      <c r="F487" s="211">
        <v>31.0</v>
      </c>
      <c r="G487" s="211" t="s">
        <v>92</v>
      </c>
      <c r="H487" s="211" t="s">
        <v>92</v>
      </c>
      <c r="I487" s="211">
        <v>12.0</v>
      </c>
      <c r="J487" s="211">
        <v>20.0</v>
      </c>
      <c r="K487" s="214">
        <f t="shared" si="128"/>
        <v>1</v>
      </c>
      <c r="L487" s="219">
        <f t="shared" si="129"/>
        <v>5</v>
      </c>
    </row>
    <row r="488" hidden="1" outlineLevel="2">
      <c r="A488" s="223" t="s">
        <v>129</v>
      </c>
      <c r="B488" s="221">
        <f>30+35+25+20</f>
        <v>110</v>
      </c>
      <c r="C488" s="209">
        <f t="shared" si="127"/>
        <v>109</v>
      </c>
      <c r="D488" s="211" t="s">
        <v>197</v>
      </c>
      <c r="E488" s="211">
        <v>31.0</v>
      </c>
      <c r="F488" s="211">
        <v>34.0</v>
      </c>
      <c r="G488" s="211" t="s">
        <v>92</v>
      </c>
      <c r="H488" s="211" t="s">
        <v>92</v>
      </c>
      <c r="I488" s="211">
        <v>26.0</v>
      </c>
      <c r="J488" s="224">
        <v>18.0</v>
      </c>
      <c r="K488" s="214">
        <f t="shared" si="128"/>
        <v>0.9909090909</v>
      </c>
      <c r="L488" s="219">
        <f t="shared" si="129"/>
        <v>4</v>
      </c>
    </row>
    <row r="489" hidden="1" outlineLevel="2">
      <c r="A489" s="223" t="s">
        <v>13</v>
      </c>
      <c r="B489" s="382">
        <f>20+15+15+20+10</f>
        <v>80</v>
      </c>
      <c r="C489" s="209">
        <f t="shared" si="127"/>
        <v>74</v>
      </c>
      <c r="D489" s="211">
        <v>18.0</v>
      </c>
      <c r="E489" s="211" t="s">
        <v>92</v>
      </c>
      <c r="F489" s="211" t="s">
        <v>92</v>
      </c>
      <c r="G489" s="211">
        <v>13.0</v>
      </c>
      <c r="H489" s="211">
        <v>12.0</v>
      </c>
      <c r="I489" s="211">
        <v>19.0</v>
      </c>
      <c r="J489" s="224">
        <v>12.0</v>
      </c>
      <c r="K489" s="214">
        <f t="shared" si="128"/>
        <v>0.925</v>
      </c>
      <c r="L489" s="219">
        <f t="shared" si="129"/>
        <v>4</v>
      </c>
    </row>
    <row r="490" hidden="1" outlineLevel="2">
      <c r="A490" s="223" t="s">
        <v>428</v>
      </c>
      <c r="B490" s="382">
        <f>20+20+20+20+12</f>
        <v>92</v>
      </c>
      <c r="C490" s="209">
        <f t="shared" si="127"/>
        <v>88</v>
      </c>
      <c r="D490" s="211">
        <v>19.0</v>
      </c>
      <c r="E490" s="211">
        <v>19.0</v>
      </c>
      <c r="F490" s="211">
        <v>18.0</v>
      </c>
      <c r="G490" s="211" t="s">
        <v>92</v>
      </c>
      <c r="H490" s="211" t="s">
        <v>92</v>
      </c>
      <c r="I490" s="211">
        <v>20.0</v>
      </c>
      <c r="J490" s="224">
        <v>12.0</v>
      </c>
      <c r="K490" s="214">
        <f t="shared" si="128"/>
        <v>0.9565217391</v>
      </c>
      <c r="L490" s="219">
        <f t="shared" si="129"/>
        <v>4</v>
      </c>
    </row>
    <row r="491" hidden="1" outlineLevel="2"/>
    <row r="492" hidden="1" outlineLevel="2">
      <c r="A492" s="195" t="s">
        <v>135</v>
      </c>
      <c r="I492" s="195"/>
    </row>
    <row r="493" hidden="1" outlineLevel="2">
      <c r="A493" s="196" t="s">
        <v>187</v>
      </c>
      <c r="B493" s="225" t="s">
        <v>218</v>
      </c>
      <c r="C493" s="225" t="s">
        <v>219</v>
      </c>
      <c r="D493" s="225" t="s">
        <v>139</v>
      </c>
      <c r="E493" s="225" t="s">
        <v>140</v>
      </c>
      <c r="F493" s="225" t="s">
        <v>141</v>
      </c>
      <c r="G493" s="226" t="s">
        <v>143</v>
      </c>
      <c r="H493" s="226" t="s">
        <v>221</v>
      </c>
    </row>
    <row r="494" hidden="1" outlineLevel="2">
      <c r="A494" s="202"/>
      <c r="B494" s="203"/>
      <c r="C494" s="227"/>
      <c r="D494" s="227"/>
      <c r="E494" s="227"/>
      <c r="F494" s="227"/>
      <c r="G494" s="227"/>
      <c r="H494" s="227"/>
    </row>
    <row r="495" hidden="1" outlineLevel="2">
      <c r="A495" s="207" t="s">
        <v>194</v>
      </c>
      <c r="B495" s="228">
        <v>93.0</v>
      </c>
      <c r="C495" s="228">
        <v>93.0</v>
      </c>
      <c r="D495" s="229">
        <f t="shared" ref="D495:D502" si="130">B495-C495</f>
        <v>0</v>
      </c>
      <c r="E495" s="230">
        <f t="shared" ref="E495:E502" si="131">IFERROR(C495/B495,"")</f>
        <v>1</v>
      </c>
      <c r="F495" s="232">
        <v>0.002685185185185185</v>
      </c>
      <c r="G495" s="240">
        <f t="shared" ref="G495:G502" si="132">IFERROR((IF(E495="",(0),IF(E495&gt;=0.98,(5),IF(E495&gt;=0.95,(4.5),IF(E495&gt;=0.9,(4),IF(E495&gt;=0.8,(3),IF(E495&lt;=0.69,(1)))))))),"")</f>
        <v>5</v>
      </c>
      <c r="H495" s="240">
        <f>ROUND(
IF(F495="",
0,
MAX(1, 5 - MAX(0, (F495 - TIME(0,4,0)) / TIME(0,1,0) * 0.5))
),
2
)
</f>
        <v>5</v>
      </c>
    </row>
    <row r="496" hidden="1" outlineLevel="2">
      <c r="A496" s="220" t="s">
        <v>118</v>
      </c>
      <c r="B496" s="251">
        <v>104.0</v>
      </c>
      <c r="C496" s="251">
        <v>104.0</v>
      </c>
      <c r="D496" s="342">
        <f t="shared" si="130"/>
        <v>0</v>
      </c>
      <c r="E496" s="254">
        <f t="shared" si="131"/>
        <v>1</v>
      </c>
      <c r="F496" s="255">
        <v>0.004525462962962963</v>
      </c>
      <c r="G496" s="240">
        <f t="shared" si="132"/>
        <v>5</v>
      </c>
      <c r="H496" s="240">
        <f>ROUND(
IF(F496="",
0,
MAX(1, 5 - MAX(0, (F496 - TIME(0,5,0)) / TIME(0,1,0) * 0.5))
),
2
)
</f>
        <v>4.24</v>
      </c>
    </row>
    <row r="497" hidden="1" outlineLevel="2">
      <c r="A497" s="207" t="s">
        <v>19</v>
      </c>
      <c r="B497" s="251">
        <v>144.0</v>
      </c>
      <c r="C497" s="251">
        <v>140.0</v>
      </c>
      <c r="D497" s="342">
        <f t="shared" si="130"/>
        <v>4</v>
      </c>
      <c r="E497" s="254">
        <f t="shared" si="131"/>
        <v>0.9722222222</v>
      </c>
      <c r="F497" s="255">
        <v>0.003935185185185185</v>
      </c>
      <c r="G497" s="240">
        <f t="shared" si="132"/>
        <v>4.5</v>
      </c>
      <c r="H497" s="240">
        <f>ROUND(
IF(F497="",
0,
MAX(1, 5 - MAX(0, (F497 - TIME(0,4,0)) / TIME(0,1,0) * 0.5))
),
2
)
</f>
        <v>4.17</v>
      </c>
    </row>
    <row r="498" hidden="1" outlineLevel="2">
      <c r="A498" s="220" t="s">
        <v>120</v>
      </c>
      <c r="B498" s="228">
        <v>75.0</v>
      </c>
      <c r="C498" s="228">
        <v>72.0</v>
      </c>
      <c r="D498" s="229">
        <f t="shared" si="130"/>
        <v>3</v>
      </c>
      <c r="E498" s="230">
        <f t="shared" si="131"/>
        <v>0.96</v>
      </c>
      <c r="F498" s="232">
        <v>0.003287037037037037</v>
      </c>
      <c r="G498" s="240">
        <f t="shared" si="132"/>
        <v>4.5</v>
      </c>
      <c r="H498" s="240">
        <f>ROUND(
IF(F498="",
0,
MAX(1, 5 - MAX(0, (F498 - TIME(0,5,0)) / TIME(0,1,0) * 0.5))
),
2
)
</f>
        <v>5</v>
      </c>
    </row>
    <row r="499" hidden="1" outlineLevel="2">
      <c r="A499" s="222" t="s">
        <v>22</v>
      </c>
      <c r="B499" s="228">
        <v>111.0</v>
      </c>
      <c r="C499" s="228">
        <v>109.0</v>
      </c>
      <c r="D499" s="229">
        <f t="shared" si="130"/>
        <v>2</v>
      </c>
      <c r="E499" s="230">
        <f t="shared" si="131"/>
        <v>0.981981982</v>
      </c>
      <c r="F499" s="232">
        <v>0.002025462962962963</v>
      </c>
      <c r="G499" s="240">
        <f t="shared" si="132"/>
        <v>5</v>
      </c>
      <c r="H499" s="240">
        <f>ROUND(
IF(F499="",
0,
MAX(1, 5 - MAX(0, (F499 - TIME(0,4,0)) / TIME(0,1,0) * 0.5))
),
2
)
</f>
        <v>5</v>
      </c>
    </row>
    <row r="500" hidden="1" outlineLevel="2">
      <c r="A500" s="223" t="s">
        <v>129</v>
      </c>
      <c r="B500" s="251">
        <v>107.0</v>
      </c>
      <c r="C500" s="251">
        <v>107.0</v>
      </c>
      <c r="D500" s="342">
        <f t="shared" si="130"/>
        <v>0</v>
      </c>
      <c r="E500" s="254">
        <f t="shared" si="131"/>
        <v>1</v>
      </c>
      <c r="F500" s="255">
        <v>0.0035185185185185185</v>
      </c>
      <c r="G500" s="240">
        <f t="shared" si="132"/>
        <v>5</v>
      </c>
      <c r="H500" s="240">
        <f t="shared" ref="H500:H502" si="133">ROUND(
IF(F500="",
0,
MAX(1, 5 - MAX(0, (F500 - TIME(0,5,0)) / TIME(0,1,0) * 0.5))
),
2
)
</f>
        <v>4.97</v>
      </c>
    </row>
    <row r="501" hidden="1" outlineLevel="2">
      <c r="A501" s="223" t="s">
        <v>13</v>
      </c>
      <c r="B501" s="228">
        <v>74.0</v>
      </c>
      <c r="C501" s="228">
        <v>74.0</v>
      </c>
      <c r="D501" s="229">
        <f t="shared" si="130"/>
        <v>0</v>
      </c>
      <c r="E501" s="230">
        <f t="shared" si="131"/>
        <v>1</v>
      </c>
      <c r="F501" s="232">
        <v>0.0037962962962962963</v>
      </c>
      <c r="G501" s="240">
        <f t="shared" si="132"/>
        <v>5</v>
      </c>
      <c r="H501" s="240">
        <f t="shared" si="133"/>
        <v>4.77</v>
      </c>
    </row>
    <row r="502" hidden="1" outlineLevel="2">
      <c r="A502" s="223" t="s">
        <v>428</v>
      </c>
      <c r="B502" s="251">
        <v>88.0</v>
      </c>
      <c r="C502" s="251">
        <v>88.0</v>
      </c>
      <c r="D502" s="342">
        <f t="shared" si="130"/>
        <v>0</v>
      </c>
      <c r="E502" s="254">
        <f t="shared" si="131"/>
        <v>1</v>
      </c>
      <c r="F502" s="255">
        <v>0.003703703703703704</v>
      </c>
      <c r="G502" s="240">
        <f t="shared" si="132"/>
        <v>5</v>
      </c>
      <c r="H502" s="240">
        <f t="shared" si="133"/>
        <v>4.83</v>
      </c>
    </row>
    <row r="503" hidden="1" outlineLevel="2"/>
    <row r="504" hidden="1" outlineLevel="2">
      <c r="A504" s="195" t="s">
        <v>239</v>
      </c>
    </row>
    <row r="505" hidden="1" outlineLevel="2">
      <c r="A505" s="260" t="s">
        <v>240</v>
      </c>
      <c r="B505" s="262" t="s">
        <v>241</v>
      </c>
      <c r="C505" s="264" t="s">
        <v>242</v>
      </c>
      <c r="D505" s="264" t="s">
        <v>243</v>
      </c>
      <c r="E505" s="265" t="s">
        <v>244</v>
      </c>
      <c r="F505" s="267" t="s">
        <v>247</v>
      </c>
      <c r="G505" s="268"/>
    </row>
    <row r="506" hidden="1" outlineLevel="2">
      <c r="A506" s="269" t="s">
        <v>25</v>
      </c>
      <c r="B506" s="271" t="str">
        <f t="shared" ref="B506:B513" si="134">(C506*0.3)+(D506*0.1)</f>
        <v>#REF!</v>
      </c>
      <c r="C506" s="272">
        <v>1.0</v>
      </c>
      <c r="D506" s="272" t="str">
        <f t="shared" ref="D506:D511" si="135">#REF!</f>
        <v>#REF!</v>
      </c>
      <c r="E506" s="273">
        <f t="shared" ref="E506:E513" si="136">(L483+G495+H495)/15*0.3</f>
        <v>0.28</v>
      </c>
      <c r="F506" s="274">
        <f t="shared" ref="F506:F513" si="137">(E506/30%)*10</f>
        <v>9.333333333</v>
      </c>
      <c r="G506" s="268"/>
      <c r="H506" s="268"/>
      <c r="I506" s="268"/>
      <c r="J506" s="268"/>
    </row>
    <row r="507" hidden="1" outlineLevel="2">
      <c r="A507" s="275" t="s">
        <v>4</v>
      </c>
      <c r="B507" s="276" t="str">
        <f t="shared" si="134"/>
        <v>#REF!</v>
      </c>
      <c r="C507" s="272">
        <v>1.0</v>
      </c>
      <c r="D507" s="272" t="str">
        <f t="shared" si="135"/>
        <v>#REF!</v>
      </c>
      <c r="E507" s="277">
        <f t="shared" si="136"/>
        <v>0.2648</v>
      </c>
      <c r="F507" s="274">
        <f t="shared" si="137"/>
        <v>8.826666667</v>
      </c>
      <c r="G507" s="268"/>
      <c r="H507" s="268"/>
      <c r="I507" s="268"/>
      <c r="J507" s="268"/>
    </row>
    <row r="508" hidden="1" outlineLevel="2">
      <c r="A508" s="278" t="s">
        <v>19</v>
      </c>
      <c r="B508" s="279" t="str">
        <f t="shared" si="134"/>
        <v>#REF!</v>
      </c>
      <c r="C508" s="272">
        <v>0.8667</v>
      </c>
      <c r="D508" s="280" t="str">
        <f t="shared" si="135"/>
        <v>#REF!</v>
      </c>
      <c r="E508" s="281">
        <f t="shared" si="136"/>
        <v>0.2534</v>
      </c>
      <c r="F508" s="274">
        <f t="shared" si="137"/>
        <v>8.446666667</v>
      </c>
      <c r="G508" s="268"/>
      <c r="H508" s="268"/>
      <c r="I508" s="268"/>
      <c r="J508" s="268"/>
    </row>
    <row r="509" hidden="1" outlineLevel="2">
      <c r="A509" s="275" t="s">
        <v>30</v>
      </c>
      <c r="B509" s="276" t="str">
        <f t="shared" si="134"/>
        <v>#REF!</v>
      </c>
      <c r="C509" s="272">
        <v>1.0</v>
      </c>
      <c r="D509" s="280" t="str">
        <f t="shared" si="135"/>
        <v>#REF!</v>
      </c>
      <c r="E509" s="277">
        <f t="shared" si="136"/>
        <v>0.27</v>
      </c>
      <c r="F509" s="274">
        <f t="shared" si="137"/>
        <v>9</v>
      </c>
      <c r="G509" s="268"/>
      <c r="H509" s="268"/>
      <c r="I509" s="268"/>
      <c r="J509" s="268"/>
    </row>
    <row r="510" hidden="1" outlineLevel="2">
      <c r="A510" s="282" t="s">
        <v>31</v>
      </c>
      <c r="B510" s="279" t="str">
        <f t="shared" si="134"/>
        <v>#REF!</v>
      </c>
      <c r="C510" s="272">
        <v>0.6</v>
      </c>
      <c r="D510" s="280" t="str">
        <f t="shared" si="135"/>
        <v>#REF!</v>
      </c>
      <c r="E510" s="281">
        <f t="shared" si="136"/>
        <v>0.3</v>
      </c>
      <c r="F510" s="274">
        <f t="shared" si="137"/>
        <v>10</v>
      </c>
      <c r="G510" s="268"/>
      <c r="H510" s="268"/>
      <c r="I510" s="268"/>
      <c r="J510" s="268"/>
    </row>
    <row r="511" hidden="1" outlineLevel="2">
      <c r="A511" s="283" t="s">
        <v>129</v>
      </c>
      <c r="B511" s="276" t="str">
        <f t="shared" si="134"/>
        <v>#REF!</v>
      </c>
      <c r="C511" s="272">
        <v>0.7</v>
      </c>
      <c r="D511" s="280" t="str">
        <f t="shared" si="135"/>
        <v>#REF!</v>
      </c>
      <c r="E511" s="277">
        <f t="shared" si="136"/>
        <v>0.2794</v>
      </c>
      <c r="F511" s="274">
        <f t="shared" si="137"/>
        <v>9.313333333</v>
      </c>
      <c r="G511" s="268"/>
      <c r="H511" s="268"/>
      <c r="I511" s="268"/>
      <c r="J511" s="268"/>
    </row>
    <row r="512" hidden="1" outlineLevel="2">
      <c r="A512" s="284" t="s">
        <v>13</v>
      </c>
      <c r="B512" s="279">
        <f t="shared" si="134"/>
        <v>0.4</v>
      </c>
      <c r="C512" s="272">
        <v>1.0</v>
      </c>
      <c r="D512" s="280">
        <f>Lyra!D215</f>
        <v>1</v>
      </c>
      <c r="E512" s="281">
        <f t="shared" si="136"/>
        <v>0.2754</v>
      </c>
      <c r="F512" s="274">
        <f t="shared" si="137"/>
        <v>9.18</v>
      </c>
      <c r="G512" s="268"/>
      <c r="H512" s="268"/>
      <c r="I512" s="268"/>
      <c r="J512" s="268"/>
    </row>
    <row r="513" hidden="1" outlineLevel="2">
      <c r="A513" s="283" t="s">
        <v>428</v>
      </c>
      <c r="B513" s="276">
        <f t="shared" si="134"/>
        <v>0.4</v>
      </c>
      <c r="C513" s="272">
        <v>1.0</v>
      </c>
      <c r="D513" s="280">
        <f>Mikka!D160</f>
        <v>1</v>
      </c>
      <c r="E513" s="277">
        <f t="shared" si="136"/>
        <v>0.2766</v>
      </c>
      <c r="F513" s="274">
        <f t="shared" si="137"/>
        <v>9.22</v>
      </c>
      <c r="G513" s="268"/>
      <c r="H513" s="268"/>
      <c r="I513" s="268"/>
      <c r="J513" s="268"/>
    </row>
    <row r="514" hidden="1" outlineLevel="2">
      <c r="A514" s="286"/>
      <c r="B514" s="286"/>
      <c r="C514" s="287"/>
      <c r="D514" s="288"/>
      <c r="E514" s="289"/>
      <c r="F514" s="268"/>
      <c r="G514" s="268"/>
      <c r="H514" s="268"/>
      <c r="I514" s="268"/>
      <c r="J514" s="268"/>
    </row>
    <row r="515" hidden="1" outlineLevel="2">
      <c r="A515" s="195" t="s">
        <v>269</v>
      </c>
      <c r="B515" s="286"/>
      <c r="C515" s="287"/>
      <c r="D515" s="288"/>
      <c r="E515" s="289"/>
      <c r="F515" s="268"/>
      <c r="G515" s="268"/>
      <c r="H515" s="268"/>
      <c r="I515" s="268"/>
      <c r="J515" s="268"/>
    </row>
    <row r="516" hidden="1" outlineLevel="2">
      <c r="A516" s="290" t="s">
        <v>240</v>
      </c>
      <c r="B516" s="291" t="s">
        <v>270</v>
      </c>
      <c r="C516" s="198">
        <v>46118.0</v>
      </c>
      <c r="D516" s="198">
        <v>46119.0</v>
      </c>
      <c r="E516" s="198">
        <v>46120.0</v>
      </c>
      <c r="F516" s="198">
        <v>46121.0</v>
      </c>
      <c r="G516" s="198">
        <v>46122.0</v>
      </c>
      <c r="H516" s="198">
        <v>46123.0</v>
      </c>
      <c r="I516" s="198">
        <v>46124.0</v>
      </c>
      <c r="J516" s="268"/>
    </row>
    <row r="517" hidden="1" outlineLevel="2">
      <c r="A517" s="325"/>
      <c r="B517" s="325"/>
      <c r="C517" s="205" t="s">
        <v>192</v>
      </c>
      <c r="D517" s="205" t="s">
        <v>272</v>
      </c>
      <c r="E517" s="205" t="s">
        <v>273</v>
      </c>
      <c r="F517" s="205" t="s">
        <v>274</v>
      </c>
      <c r="G517" s="205" t="s">
        <v>275</v>
      </c>
      <c r="H517" s="205" t="s">
        <v>276</v>
      </c>
      <c r="I517" s="205" t="s">
        <v>277</v>
      </c>
    </row>
    <row r="518" hidden="1" outlineLevel="2">
      <c r="A518" s="278" t="s">
        <v>25</v>
      </c>
      <c r="B518" s="293">
        <f t="shared" ref="B518:B525" si="138">Sum(C518:I518)</f>
        <v>0</v>
      </c>
      <c r="C518" s="296"/>
      <c r="D518" s="297"/>
      <c r="E518" s="297"/>
      <c r="F518" s="297"/>
      <c r="G518" s="296"/>
      <c r="H518" s="296"/>
      <c r="I518" s="296"/>
    </row>
    <row r="519" hidden="1" outlineLevel="2">
      <c r="A519" s="275" t="s">
        <v>4</v>
      </c>
      <c r="B519" s="293">
        <f t="shared" si="138"/>
        <v>0</v>
      </c>
      <c r="C519" s="295"/>
      <c r="D519" s="295"/>
      <c r="E519" s="295"/>
      <c r="F519" s="295"/>
      <c r="G519" s="295"/>
      <c r="H519" s="294"/>
      <c r="I519" s="295"/>
    </row>
    <row r="520" hidden="1" outlineLevel="2">
      <c r="A520" s="278" t="s">
        <v>19</v>
      </c>
      <c r="B520" s="293">
        <f t="shared" si="138"/>
        <v>0</v>
      </c>
      <c r="C520" s="296"/>
      <c r="D520" s="297"/>
      <c r="E520" s="296"/>
      <c r="F520" s="296"/>
      <c r="G520" s="296"/>
      <c r="H520" s="296"/>
      <c r="I520" s="297"/>
    </row>
    <row r="521" hidden="1" outlineLevel="2">
      <c r="A521" s="275" t="s">
        <v>30</v>
      </c>
      <c r="B521" s="293">
        <f t="shared" si="138"/>
        <v>0</v>
      </c>
      <c r="C521" s="295"/>
      <c r="D521" s="295"/>
      <c r="E521" s="295"/>
      <c r="F521" s="295"/>
      <c r="G521" s="295"/>
      <c r="H521" s="295"/>
      <c r="I521" s="294"/>
    </row>
    <row r="522" hidden="1" outlineLevel="2">
      <c r="A522" s="282" t="s">
        <v>31</v>
      </c>
      <c r="B522" s="293">
        <f t="shared" si="138"/>
        <v>0</v>
      </c>
      <c r="C522" s="296"/>
      <c r="D522" s="296"/>
      <c r="E522" s="296"/>
      <c r="F522" s="296"/>
      <c r="G522" s="296"/>
      <c r="H522" s="296"/>
      <c r="I522" s="297"/>
    </row>
    <row r="523" ht="16.5" hidden="1" customHeight="1" outlineLevel="2">
      <c r="A523" s="283" t="s">
        <v>129</v>
      </c>
      <c r="B523" s="293">
        <f t="shared" si="138"/>
        <v>0</v>
      </c>
      <c r="C523" s="295"/>
      <c r="D523" s="295"/>
      <c r="E523" s="295"/>
      <c r="F523" s="295"/>
      <c r="G523" s="295"/>
      <c r="H523" s="295"/>
      <c r="I523" s="295"/>
    </row>
    <row r="524" hidden="1" outlineLevel="2">
      <c r="A524" s="284" t="s">
        <v>13</v>
      </c>
      <c r="B524" s="293">
        <f t="shared" si="138"/>
        <v>0</v>
      </c>
      <c r="C524" s="297"/>
      <c r="D524" s="297"/>
      <c r="E524" s="296"/>
      <c r="F524" s="296"/>
      <c r="G524" s="296"/>
      <c r="H524" s="296"/>
      <c r="I524" s="297"/>
    </row>
    <row r="525" hidden="1" outlineLevel="2">
      <c r="A525" s="283" t="s">
        <v>64</v>
      </c>
      <c r="B525" s="293">
        <f t="shared" si="138"/>
        <v>0</v>
      </c>
      <c r="C525" s="294"/>
      <c r="D525" s="294"/>
      <c r="E525" s="295"/>
      <c r="F525" s="294"/>
      <c r="G525" s="295"/>
      <c r="H525" s="295"/>
      <c r="I525" s="294"/>
    </row>
    <row r="526" hidden="1" outlineLevel="2">
      <c r="A526" s="286"/>
      <c r="B526" s="286"/>
      <c r="C526" s="286"/>
      <c r="D526" s="286"/>
      <c r="E526" s="286"/>
      <c r="F526" s="286"/>
      <c r="G526" s="286"/>
      <c r="H526" s="286"/>
      <c r="I526" s="286"/>
    </row>
    <row r="527" hidden="1" outlineLevel="1" collapsed="1">
      <c r="A527" s="192" t="s">
        <v>705</v>
      </c>
    </row>
    <row r="528" hidden="1" outlineLevel="2">
      <c r="A528" s="195" t="s">
        <v>186</v>
      </c>
    </row>
    <row r="529" hidden="1" outlineLevel="2">
      <c r="A529" s="196" t="s">
        <v>187</v>
      </c>
      <c r="B529" s="197" t="s">
        <v>77</v>
      </c>
      <c r="C529" s="197" t="s">
        <v>189</v>
      </c>
      <c r="D529" s="198">
        <v>46132.0</v>
      </c>
      <c r="E529" s="198">
        <v>46133.0</v>
      </c>
      <c r="F529" s="198">
        <v>46134.0</v>
      </c>
      <c r="G529" s="198">
        <v>46135.0</v>
      </c>
      <c r="H529" s="198">
        <v>46136.0</v>
      </c>
      <c r="I529" s="198">
        <v>46137.0</v>
      </c>
      <c r="J529" s="198">
        <v>46138.0</v>
      </c>
      <c r="K529" s="199" t="s">
        <v>190</v>
      </c>
      <c r="L529" s="201" t="s">
        <v>191</v>
      </c>
    </row>
    <row r="530" hidden="1" outlineLevel="2">
      <c r="A530" s="399"/>
      <c r="B530" s="292"/>
      <c r="C530" s="292"/>
      <c r="D530" s="205" t="s">
        <v>192</v>
      </c>
      <c r="E530" s="205" t="str">
        <f t="shared" ref="E530:J530" si="139">text(E529,"ddd")</f>
        <v>Tue</v>
      </c>
      <c r="F530" s="205" t="str">
        <f t="shared" si="139"/>
        <v>Wed</v>
      </c>
      <c r="G530" s="205" t="str">
        <f t="shared" si="139"/>
        <v>Thu</v>
      </c>
      <c r="H530" s="205" t="str">
        <f t="shared" si="139"/>
        <v>Fri</v>
      </c>
      <c r="I530" s="205" t="str">
        <f t="shared" si="139"/>
        <v>Sat</v>
      </c>
      <c r="J530" s="205" t="str">
        <f t="shared" si="139"/>
        <v>Sun</v>
      </c>
      <c r="K530" s="206"/>
      <c r="L530" s="203"/>
    </row>
    <row r="531" hidden="1" outlineLevel="2">
      <c r="A531" s="400" t="s">
        <v>194</v>
      </c>
      <c r="B531" s="401">
        <f>30+15+20+20+20</f>
        <v>105</v>
      </c>
      <c r="C531" s="401">
        <f t="shared" ref="C531:C538" si="140">SUM(D531:J531)</f>
        <v>108</v>
      </c>
      <c r="D531" s="402" t="s">
        <v>92</v>
      </c>
      <c r="E531" s="402">
        <v>32.0</v>
      </c>
      <c r="F531" s="402">
        <v>14.0</v>
      </c>
      <c r="G531" s="402">
        <v>18.0</v>
      </c>
      <c r="H531" s="402">
        <v>23.0</v>
      </c>
      <c r="I531" s="402">
        <v>21.0</v>
      </c>
      <c r="J531" s="211" t="s">
        <v>92</v>
      </c>
      <c r="K531" s="214">
        <f t="shared" ref="K531:K538" si="141">iferror(C531/B531,"-")</f>
        <v>1.028571429</v>
      </c>
      <c r="L531" s="219">
        <f t="shared" ref="L531:L538" si="142">(IF(K531="",(0),IF(K531&gt;=1,(5),IF(K531&gt;=0.9,(4),IF(K531&gt;=0.8,(3),IF(K531&gt;=0.69,(2),IF(K531&lt;=0.69,(1))))))))</f>
        <v>5</v>
      </c>
    </row>
    <row r="532" hidden="1" outlineLevel="2">
      <c r="A532" s="403" t="s">
        <v>118</v>
      </c>
      <c r="B532" s="404">
        <f>15+20+20+25+20</f>
        <v>100</v>
      </c>
      <c r="C532" s="404">
        <f t="shared" si="140"/>
        <v>99</v>
      </c>
      <c r="D532" s="405">
        <v>17.0</v>
      </c>
      <c r="E532" s="405">
        <v>19.0</v>
      </c>
      <c r="F532" s="405">
        <v>19.0</v>
      </c>
      <c r="G532" s="405">
        <v>23.0</v>
      </c>
      <c r="H532" s="405">
        <v>21.0</v>
      </c>
      <c r="I532" s="405" t="s">
        <v>92</v>
      </c>
      <c r="J532" s="211" t="s">
        <v>92</v>
      </c>
      <c r="K532" s="214">
        <f t="shared" si="141"/>
        <v>0.99</v>
      </c>
      <c r="L532" s="219">
        <f t="shared" si="142"/>
        <v>4</v>
      </c>
    </row>
    <row r="533" hidden="1" outlineLevel="2">
      <c r="A533" s="400" t="s">
        <v>19</v>
      </c>
      <c r="B533" s="401">
        <f>35+30+30+30+20</f>
        <v>145</v>
      </c>
      <c r="C533" s="401">
        <f t="shared" si="140"/>
        <v>140</v>
      </c>
      <c r="D533" s="402">
        <v>36.0</v>
      </c>
      <c r="E533" s="402">
        <v>31.0</v>
      </c>
      <c r="F533" s="402" t="s">
        <v>92</v>
      </c>
      <c r="G533" s="402">
        <v>27.0</v>
      </c>
      <c r="H533" s="402">
        <v>29.0</v>
      </c>
      <c r="I533" s="402">
        <v>17.0</v>
      </c>
      <c r="J533" s="211" t="s">
        <v>92</v>
      </c>
      <c r="K533" s="214">
        <f t="shared" si="141"/>
        <v>0.9655172414</v>
      </c>
      <c r="L533" s="219">
        <f t="shared" si="142"/>
        <v>4</v>
      </c>
    </row>
    <row r="534" hidden="1" outlineLevel="2">
      <c r="A534" s="403" t="s">
        <v>120</v>
      </c>
      <c r="B534" s="404">
        <f>25+20+20+20+5</f>
        <v>90</v>
      </c>
      <c r="C534" s="404">
        <f t="shared" si="140"/>
        <v>89</v>
      </c>
      <c r="D534" s="405" t="s">
        <v>92</v>
      </c>
      <c r="E534" s="405">
        <v>22.0</v>
      </c>
      <c r="F534" s="405">
        <v>20.0</v>
      </c>
      <c r="G534" s="405">
        <v>22.0</v>
      </c>
      <c r="H534" s="405">
        <v>19.0</v>
      </c>
      <c r="I534" s="405" t="s">
        <v>92</v>
      </c>
      <c r="J534" s="211">
        <v>6.0</v>
      </c>
      <c r="K534" s="214">
        <f t="shared" si="141"/>
        <v>0.9888888889</v>
      </c>
      <c r="L534" s="219">
        <f t="shared" si="142"/>
        <v>4</v>
      </c>
    </row>
    <row r="535" hidden="1" outlineLevel="2">
      <c r="A535" s="301" t="s">
        <v>22</v>
      </c>
      <c r="B535" s="401">
        <f>20+25+20+15+15</f>
        <v>95</v>
      </c>
      <c r="C535" s="401">
        <f t="shared" si="140"/>
        <v>92</v>
      </c>
      <c r="D535" s="402">
        <v>22.0</v>
      </c>
      <c r="E535" s="402">
        <v>24.0</v>
      </c>
      <c r="F535" s="402">
        <v>18.0</v>
      </c>
      <c r="G535" s="402">
        <v>14.0</v>
      </c>
      <c r="H535" s="402" t="s">
        <v>92</v>
      </c>
      <c r="I535" s="402" t="s">
        <v>92</v>
      </c>
      <c r="J535" s="211">
        <v>14.0</v>
      </c>
      <c r="K535" s="214">
        <f t="shared" si="141"/>
        <v>0.9684210526</v>
      </c>
      <c r="L535" s="219">
        <f t="shared" si="142"/>
        <v>4</v>
      </c>
    </row>
    <row r="536" hidden="1" outlineLevel="2">
      <c r="A536" s="284" t="s">
        <v>129</v>
      </c>
      <c r="B536" s="404">
        <f>30+25+25+25+15</f>
        <v>120</v>
      </c>
      <c r="C536" s="404">
        <f t="shared" si="140"/>
        <v>123</v>
      </c>
      <c r="D536" s="405">
        <v>30.0</v>
      </c>
      <c r="E536" s="405">
        <v>26.0</v>
      </c>
      <c r="F536" s="405">
        <v>25.0</v>
      </c>
      <c r="G536" s="405" t="s">
        <v>92</v>
      </c>
      <c r="H536" s="405" t="s">
        <v>92</v>
      </c>
      <c r="I536" s="405">
        <v>25.0</v>
      </c>
      <c r="J536" s="224">
        <v>17.0</v>
      </c>
      <c r="K536" s="214">
        <f t="shared" si="141"/>
        <v>1.025</v>
      </c>
      <c r="L536" s="219">
        <f t="shared" si="142"/>
        <v>5</v>
      </c>
    </row>
    <row r="537" hidden="1" outlineLevel="2">
      <c r="A537" s="283" t="s">
        <v>13</v>
      </c>
      <c r="B537" s="406">
        <f>15*4</f>
        <v>60</v>
      </c>
      <c r="C537" s="401">
        <f t="shared" si="140"/>
        <v>62</v>
      </c>
      <c r="D537" s="402">
        <v>14.0</v>
      </c>
      <c r="E537" s="402" t="s">
        <v>92</v>
      </c>
      <c r="F537" s="402" t="s">
        <v>92</v>
      </c>
      <c r="G537" s="402" t="s">
        <v>197</v>
      </c>
      <c r="H537" s="402">
        <v>17.0</v>
      </c>
      <c r="I537" s="402">
        <v>17.0</v>
      </c>
      <c r="J537" s="224">
        <v>14.0</v>
      </c>
      <c r="K537" s="214">
        <f t="shared" si="141"/>
        <v>1.033333333</v>
      </c>
      <c r="L537" s="219">
        <f t="shared" si="142"/>
        <v>5</v>
      </c>
    </row>
    <row r="538" hidden="1" outlineLevel="2">
      <c r="A538" s="284" t="s">
        <v>428</v>
      </c>
      <c r="B538" s="407">
        <f>15+20+15+20+15</f>
        <v>85</v>
      </c>
      <c r="C538" s="404">
        <f t="shared" si="140"/>
        <v>83</v>
      </c>
      <c r="D538" s="405">
        <v>14.0</v>
      </c>
      <c r="E538" s="405">
        <v>21.0</v>
      </c>
      <c r="F538" s="405">
        <v>15.0</v>
      </c>
      <c r="G538" s="405">
        <v>17.0</v>
      </c>
      <c r="H538" s="405" t="s">
        <v>92</v>
      </c>
      <c r="I538" s="405">
        <v>16.0</v>
      </c>
      <c r="J538" s="211" t="s">
        <v>92</v>
      </c>
      <c r="K538" s="214">
        <f t="shared" si="141"/>
        <v>0.9764705882</v>
      </c>
      <c r="L538" s="219">
        <f t="shared" si="142"/>
        <v>4</v>
      </c>
    </row>
    <row r="539" hidden="1" outlineLevel="2"/>
    <row r="540" hidden="1" outlineLevel="2">
      <c r="A540" s="195" t="s">
        <v>135</v>
      </c>
      <c r="I540" s="195"/>
    </row>
    <row r="541" hidden="1" outlineLevel="2">
      <c r="A541" s="196" t="s">
        <v>187</v>
      </c>
      <c r="B541" s="225" t="s">
        <v>218</v>
      </c>
      <c r="C541" s="225" t="s">
        <v>219</v>
      </c>
      <c r="D541" s="225" t="s">
        <v>139</v>
      </c>
      <c r="E541" s="225" t="s">
        <v>140</v>
      </c>
      <c r="F541" s="225" t="s">
        <v>141</v>
      </c>
      <c r="G541" s="226" t="s">
        <v>143</v>
      </c>
      <c r="H541" s="226" t="s">
        <v>221</v>
      </c>
    </row>
    <row r="542" hidden="1" outlineLevel="2">
      <c r="A542" s="399"/>
      <c r="B542" s="292"/>
      <c r="C542" s="292"/>
      <c r="D542" s="292"/>
      <c r="E542" s="292"/>
      <c r="F542" s="292"/>
      <c r="G542" s="292"/>
      <c r="H542" s="292"/>
    </row>
    <row r="543" hidden="1" outlineLevel="2">
      <c r="A543" s="400" t="s">
        <v>194</v>
      </c>
      <c r="B543" s="402">
        <v>110.0</v>
      </c>
      <c r="C543" s="402">
        <v>108.0</v>
      </c>
      <c r="D543" s="136">
        <f t="shared" ref="D543:D550" si="143">B543-C543</f>
        <v>2</v>
      </c>
      <c r="E543" s="408">
        <f t="shared" ref="E543:E550" si="144">IFERROR(C543/B543,"")</f>
        <v>0.9818181818</v>
      </c>
      <c r="F543" s="409">
        <v>0.0022800925925925927</v>
      </c>
      <c r="G543" s="240">
        <f t="shared" ref="G543:G550" si="145">IFERROR((IF(E543="",(0),IF(E543&gt;=0.98,(5),IF(E543&gt;=0.95,(4.5),IF(E543&gt;=0.9,(4),IF(E543&gt;=0.8,(3),IF(E543&lt;=0.69,(1)))))))),"")</f>
        <v>5</v>
      </c>
      <c r="H543" s="240">
        <f>ROUND(
IF(F543="",
0,
MAX(1, 5 - MAX(0, (F543 - TIME(0,4,0)) / TIME(0,1,0) * 0.5))
),
2
)
</f>
        <v>5</v>
      </c>
    </row>
    <row r="544" hidden="1" outlineLevel="2">
      <c r="A544" s="403" t="s">
        <v>118</v>
      </c>
      <c r="B544" s="405">
        <v>99.0</v>
      </c>
      <c r="C544" s="405">
        <v>98.0</v>
      </c>
      <c r="D544" s="410">
        <f t="shared" si="143"/>
        <v>1</v>
      </c>
      <c r="E544" s="411">
        <f t="shared" si="144"/>
        <v>0.9898989899</v>
      </c>
      <c r="F544" s="412">
        <v>0.005046296296296296</v>
      </c>
      <c r="G544" s="240">
        <f t="shared" si="145"/>
        <v>5</v>
      </c>
      <c r="H544" s="240">
        <f>ROUND(
IF(F544="",
0,
MAX(1, 5 - MAX(0, (F544 - TIME(0,5,0)) / TIME(0,1,0) * 0.5))
),
2
)
</f>
        <v>3.87</v>
      </c>
    </row>
    <row r="545" hidden="1" outlineLevel="2">
      <c r="A545" s="400" t="s">
        <v>19</v>
      </c>
      <c r="B545" s="402">
        <v>149.0</v>
      </c>
      <c r="C545" s="402">
        <v>144.0</v>
      </c>
      <c r="D545" s="136">
        <f t="shared" si="143"/>
        <v>5</v>
      </c>
      <c r="E545" s="408">
        <f t="shared" si="144"/>
        <v>0.966442953</v>
      </c>
      <c r="F545" s="409">
        <v>0.003587962962962963</v>
      </c>
      <c r="G545" s="240">
        <f t="shared" si="145"/>
        <v>4.5</v>
      </c>
      <c r="H545" s="240">
        <f>ROUND(
IF(F545="",
0,
MAX(1, 5 - MAX(0, (F545 - TIME(0,4,0)) / TIME(0,1,0) * 0.5))
),
2
)
</f>
        <v>4.42</v>
      </c>
    </row>
    <row r="546" hidden="1" outlineLevel="2">
      <c r="A546" s="403" t="s">
        <v>120</v>
      </c>
      <c r="B546" s="405">
        <v>92.0</v>
      </c>
      <c r="C546" s="405">
        <v>89.0</v>
      </c>
      <c r="D546" s="410">
        <f t="shared" si="143"/>
        <v>3</v>
      </c>
      <c r="E546" s="411">
        <f t="shared" si="144"/>
        <v>0.9673913043</v>
      </c>
      <c r="F546" s="412">
        <v>0.003298611111111111</v>
      </c>
      <c r="G546" s="240">
        <f t="shared" si="145"/>
        <v>4.5</v>
      </c>
      <c r="H546" s="240">
        <f>ROUND(
IF(F546="",
0,
MAX(1, 5 - MAX(0, (F546 - TIME(0,5,0)) / TIME(0,1,0) * 0.5))
),
2
)
</f>
        <v>5</v>
      </c>
    </row>
    <row r="547" hidden="1" outlineLevel="2">
      <c r="A547" s="301" t="s">
        <v>22</v>
      </c>
      <c r="B547" s="402">
        <v>105.0</v>
      </c>
      <c r="C547" s="402">
        <v>95.0</v>
      </c>
      <c r="D547" s="136">
        <f t="shared" si="143"/>
        <v>10</v>
      </c>
      <c r="E547" s="408">
        <f t="shared" si="144"/>
        <v>0.9047619048</v>
      </c>
      <c r="F547" s="409">
        <v>0.0024652777777777776</v>
      </c>
      <c r="G547" s="240">
        <f t="shared" si="145"/>
        <v>4</v>
      </c>
      <c r="H547" s="240">
        <f>ROUND(
IF(F547="",
0,
MAX(1, 5 - MAX(0, (F547 - TIME(0,4,0)) / TIME(0,1,0) * 0.5))
),
2
)
</f>
        <v>5</v>
      </c>
    </row>
    <row r="548" hidden="1" outlineLevel="2">
      <c r="A548" s="284" t="s">
        <v>129</v>
      </c>
      <c r="B548" s="405">
        <v>122.0</v>
      </c>
      <c r="C548" s="405">
        <v>122.0</v>
      </c>
      <c r="D548" s="410">
        <f t="shared" si="143"/>
        <v>0</v>
      </c>
      <c r="E548" s="411">
        <f t="shared" si="144"/>
        <v>1</v>
      </c>
      <c r="F548" s="412">
        <v>0.00443287037037037</v>
      </c>
      <c r="G548" s="240">
        <f t="shared" si="145"/>
        <v>5</v>
      </c>
      <c r="H548" s="240">
        <f t="shared" ref="H548:H550" si="146">ROUND(
IF(F548="",
0,
MAX(1, 5 - MAX(0, (F548 - TIME(0,5,0)) / TIME(0,1,0) * 0.5))
),
2
)
</f>
        <v>4.31</v>
      </c>
    </row>
    <row r="549" hidden="1" outlineLevel="2">
      <c r="A549" s="283" t="s">
        <v>13</v>
      </c>
      <c r="B549" s="402">
        <v>72.0</v>
      </c>
      <c r="C549" s="402">
        <v>62.0</v>
      </c>
      <c r="D549" s="136">
        <f t="shared" si="143"/>
        <v>10</v>
      </c>
      <c r="E549" s="408">
        <f t="shared" si="144"/>
        <v>0.8611111111</v>
      </c>
      <c r="F549" s="409">
        <v>0.004108796296296296</v>
      </c>
      <c r="G549" s="240">
        <f t="shared" si="145"/>
        <v>3</v>
      </c>
      <c r="H549" s="240">
        <f t="shared" si="146"/>
        <v>4.54</v>
      </c>
    </row>
    <row r="550" hidden="1" outlineLevel="2">
      <c r="A550" s="284" t="s">
        <v>428</v>
      </c>
      <c r="B550" s="405">
        <v>83.0</v>
      </c>
      <c r="C550" s="405">
        <v>83.0</v>
      </c>
      <c r="D550" s="410">
        <f t="shared" si="143"/>
        <v>0</v>
      </c>
      <c r="E550" s="411">
        <f t="shared" si="144"/>
        <v>1</v>
      </c>
      <c r="F550" s="412">
        <v>0.004618055555555556</v>
      </c>
      <c r="G550" s="240">
        <f t="shared" si="145"/>
        <v>5</v>
      </c>
      <c r="H550" s="240">
        <f t="shared" si="146"/>
        <v>4.18</v>
      </c>
    </row>
    <row r="551" hidden="1" outlineLevel="2"/>
    <row r="552" hidden="1" outlineLevel="2">
      <c r="A552" s="195" t="s">
        <v>239</v>
      </c>
    </row>
    <row r="553" hidden="1" outlineLevel="2">
      <c r="A553" s="260" t="s">
        <v>240</v>
      </c>
      <c r="B553" s="262" t="s">
        <v>241</v>
      </c>
      <c r="C553" s="264" t="s">
        <v>242</v>
      </c>
      <c r="D553" s="264" t="s">
        <v>243</v>
      </c>
      <c r="E553" s="265" t="s">
        <v>244</v>
      </c>
      <c r="F553" s="267" t="s">
        <v>247</v>
      </c>
      <c r="G553" s="268"/>
    </row>
    <row r="554" hidden="1" outlineLevel="2">
      <c r="A554" s="278" t="s">
        <v>25</v>
      </c>
      <c r="B554" s="279" t="str">
        <f t="shared" ref="B554:B561" si="147">(C554*0.3)+(D554*0.1)</f>
        <v>#REF!</v>
      </c>
      <c r="C554" s="272">
        <v>1.0</v>
      </c>
      <c r="D554" s="272" t="str">
        <f t="shared" ref="D554:D559" si="148">#REF!</f>
        <v>#REF!</v>
      </c>
      <c r="E554" s="281">
        <f t="shared" ref="E554:E561" si="149">(L531+G543+H543)/15*0.3</f>
        <v>0.3</v>
      </c>
      <c r="F554" s="274">
        <f t="shared" ref="F554:F561" si="150">(E554/30%)*10</f>
        <v>10</v>
      </c>
      <c r="G554" s="268"/>
      <c r="H554" s="268"/>
      <c r="I554" s="268"/>
      <c r="J554" s="268"/>
    </row>
    <row r="555" hidden="1" outlineLevel="2">
      <c r="A555" s="275" t="s">
        <v>4</v>
      </c>
      <c r="B555" s="276" t="str">
        <f t="shared" si="147"/>
        <v>#REF!</v>
      </c>
      <c r="C555" s="272">
        <v>1.0</v>
      </c>
      <c r="D555" s="272" t="str">
        <f t="shared" si="148"/>
        <v>#REF!</v>
      </c>
      <c r="E555" s="277">
        <f t="shared" si="149"/>
        <v>0.2574</v>
      </c>
      <c r="F555" s="274">
        <f t="shared" si="150"/>
        <v>8.58</v>
      </c>
      <c r="G555" s="268"/>
      <c r="H555" s="268"/>
      <c r="I555" s="268"/>
      <c r="J555" s="268"/>
    </row>
    <row r="556" hidden="1" outlineLevel="2">
      <c r="A556" s="278" t="s">
        <v>19</v>
      </c>
      <c r="B556" s="279" t="str">
        <f t="shared" si="147"/>
        <v>#REF!</v>
      </c>
      <c r="C556" s="272">
        <v>1.0</v>
      </c>
      <c r="D556" s="280" t="str">
        <f t="shared" si="148"/>
        <v>#REF!</v>
      </c>
      <c r="E556" s="281">
        <f t="shared" si="149"/>
        <v>0.2584</v>
      </c>
      <c r="F556" s="274">
        <f t="shared" si="150"/>
        <v>8.613333333</v>
      </c>
      <c r="G556" s="268"/>
      <c r="H556" s="268"/>
      <c r="I556" s="268"/>
      <c r="J556" s="268"/>
    </row>
    <row r="557" hidden="1" outlineLevel="2">
      <c r="A557" s="275" t="s">
        <v>30</v>
      </c>
      <c r="B557" s="276" t="str">
        <f t="shared" si="147"/>
        <v>#REF!</v>
      </c>
      <c r="C557" s="272">
        <v>1.0</v>
      </c>
      <c r="D557" s="280" t="str">
        <f t="shared" si="148"/>
        <v>#REF!</v>
      </c>
      <c r="E557" s="277">
        <f t="shared" si="149"/>
        <v>0.27</v>
      </c>
      <c r="F557" s="274">
        <f t="shared" si="150"/>
        <v>9</v>
      </c>
      <c r="G557" s="268"/>
      <c r="H557" s="268"/>
      <c r="I557" s="268"/>
      <c r="J557" s="268"/>
    </row>
    <row r="558" hidden="1" outlineLevel="2">
      <c r="A558" s="282" t="s">
        <v>31</v>
      </c>
      <c r="B558" s="279" t="str">
        <f t="shared" si="147"/>
        <v>#REF!</v>
      </c>
      <c r="C558" s="272">
        <v>0.4</v>
      </c>
      <c r="D558" s="280" t="str">
        <f t="shared" si="148"/>
        <v>#REF!</v>
      </c>
      <c r="E558" s="281">
        <f t="shared" si="149"/>
        <v>0.26</v>
      </c>
      <c r="F558" s="274">
        <f t="shared" si="150"/>
        <v>8.666666667</v>
      </c>
      <c r="G558" s="268"/>
      <c r="H558" s="268"/>
      <c r="I558" s="268"/>
      <c r="J558" s="268"/>
    </row>
    <row r="559" hidden="1" outlineLevel="2">
      <c r="A559" s="283" t="s">
        <v>129</v>
      </c>
      <c r="B559" s="276" t="str">
        <f t="shared" si="147"/>
        <v>#REF!</v>
      </c>
      <c r="C559" s="272">
        <v>1.0</v>
      </c>
      <c r="D559" s="280" t="str">
        <f t="shared" si="148"/>
        <v>#REF!</v>
      </c>
      <c r="E559" s="277">
        <f t="shared" si="149"/>
        <v>0.2862</v>
      </c>
      <c r="F559" s="274">
        <f t="shared" si="150"/>
        <v>9.54</v>
      </c>
      <c r="G559" s="268"/>
      <c r="H559" s="268"/>
      <c r="I559" s="268"/>
      <c r="J559" s="268"/>
    </row>
    <row r="560" hidden="1" outlineLevel="2">
      <c r="A560" s="284" t="s">
        <v>13</v>
      </c>
      <c r="B560" s="279">
        <f t="shared" si="147"/>
        <v>0.355</v>
      </c>
      <c r="C560" s="272">
        <v>0.85</v>
      </c>
      <c r="D560" s="280">
        <f>Lyra!D233</f>
        <v>1</v>
      </c>
      <c r="E560" s="281">
        <f t="shared" si="149"/>
        <v>0.2508</v>
      </c>
      <c r="F560" s="274">
        <f t="shared" si="150"/>
        <v>8.36</v>
      </c>
      <c r="G560" s="268"/>
      <c r="H560" s="268"/>
      <c r="I560" s="268"/>
      <c r="J560" s="268"/>
    </row>
    <row r="561" hidden="1" outlineLevel="2">
      <c r="A561" s="283" t="s">
        <v>428</v>
      </c>
      <c r="B561" s="276">
        <f t="shared" si="147"/>
        <v>0.37</v>
      </c>
      <c r="C561" s="272">
        <v>0.9</v>
      </c>
      <c r="D561" s="280">
        <f>Mikka!D178</f>
        <v>1</v>
      </c>
      <c r="E561" s="277">
        <f t="shared" si="149"/>
        <v>0.2636</v>
      </c>
      <c r="F561" s="274">
        <f t="shared" si="150"/>
        <v>8.786666667</v>
      </c>
      <c r="G561" s="268"/>
      <c r="H561" s="268"/>
      <c r="I561" s="268"/>
      <c r="J561" s="268"/>
    </row>
    <row r="562" hidden="1" outlineLevel="2">
      <c r="A562" s="286"/>
      <c r="B562" s="286"/>
      <c r="C562" s="287"/>
      <c r="D562" s="288"/>
      <c r="E562" s="289"/>
      <c r="F562" s="268"/>
      <c r="G562" s="268"/>
      <c r="H562" s="268"/>
      <c r="I562" s="268"/>
      <c r="J562" s="268"/>
    </row>
    <row r="563" hidden="1" outlineLevel="2">
      <c r="A563" s="195" t="s">
        <v>269</v>
      </c>
      <c r="B563" s="286"/>
      <c r="C563" s="287"/>
      <c r="D563" s="288"/>
      <c r="E563" s="289"/>
      <c r="F563" s="268"/>
      <c r="G563" s="268"/>
      <c r="H563" s="268"/>
      <c r="I563" s="268"/>
      <c r="J563" s="268"/>
    </row>
    <row r="564" hidden="1" outlineLevel="2">
      <c r="A564" s="290" t="s">
        <v>240</v>
      </c>
      <c r="B564" s="291" t="s">
        <v>270</v>
      </c>
      <c r="C564" s="198">
        <v>46118.0</v>
      </c>
      <c r="D564" s="198">
        <v>46119.0</v>
      </c>
      <c r="E564" s="198">
        <v>46120.0</v>
      </c>
      <c r="F564" s="198">
        <v>46121.0</v>
      </c>
      <c r="G564" s="198">
        <v>46122.0</v>
      </c>
      <c r="H564" s="198">
        <v>46123.0</v>
      </c>
      <c r="I564" s="198">
        <v>46124.0</v>
      </c>
      <c r="J564" s="268"/>
    </row>
    <row r="565" hidden="1" outlineLevel="2">
      <c r="A565" s="325"/>
      <c r="B565" s="325"/>
      <c r="C565" s="205" t="s">
        <v>192</v>
      </c>
      <c r="D565" s="205" t="s">
        <v>272</v>
      </c>
      <c r="E565" s="205" t="s">
        <v>273</v>
      </c>
      <c r="F565" s="205" t="s">
        <v>274</v>
      </c>
      <c r="G565" s="205" t="s">
        <v>275</v>
      </c>
      <c r="H565" s="205" t="s">
        <v>276</v>
      </c>
      <c r="I565" s="205" t="s">
        <v>277</v>
      </c>
    </row>
    <row r="566" hidden="1" outlineLevel="2">
      <c r="A566" s="278" t="s">
        <v>25</v>
      </c>
      <c r="B566" s="293">
        <f t="shared" ref="B566:B573" si="151">Sum(C566:I566)</f>
        <v>0</v>
      </c>
      <c r="C566" s="296"/>
      <c r="D566" s="297"/>
      <c r="E566" s="297"/>
      <c r="F566" s="297"/>
      <c r="G566" s="296"/>
      <c r="H566" s="296"/>
      <c r="I566" s="296"/>
    </row>
    <row r="567" hidden="1" outlineLevel="2">
      <c r="A567" s="275" t="s">
        <v>4</v>
      </c>
      <c r="B567" s="293">
        <f t="shared" si="151"/>
        <v>0</v>
      </c>
      <c r="C567" s="295"/>
      <c r="D567" s="295"/>
      <c r="E567" s="295"/>
      <c r="F567" s="295"/>
      <c r="G567" s="295"/>
      <c r="H567" s="294"/>
      <c r="I567" s="295"/>
    </row>
    <row r="568" hidden="1" outlineLevel="2">
      <c r="A568" s="278" t="s">
        <v>19</v>
      </c>
      <c r="B568" s="293">
        <f t="shared" si="151"/>
        <v>0</v>
      </c>
      <c r="C568" s="296"/>
      <c r="D568" s="297"/>
      <c r="E568" s="296"/>
      <c r="F568" s="296"/>
      <c r="G568" s="296"/>
      <c r="H568" s="296"/>
      <c r="I568" s="297"/>
    </row>
    <row r="569" hidden="1" outlineLevel="2">
      <c r="A569" s="275" t="s">
        <v>30</v>
      </c>
      <c r="B569" s="293">
        <f t="shared" si="151"/>
        <v>0</v>
      </c>
      <c r="C569" s="295"/>
      <c r="D569" s="295"/>
      <c r="E569" s="295"/>
      <c r="F569" s="295"/>
      <c r="G569" s="295"/>
      <c r="H569" s="295"/>
      <c r="I569" s="294"/>
    </row>
    <row r="570" hidden="1" outlineLevel="2">
      <c r="A570" s="282" t="s">
        <v>31</v>
      </c>
      <c r="B570" s="293">
        <f t="shared" si="151"/>
        <v>0</v>
      </c>
      <c r="C570" s="296"/>
      <c r="D570" s="296"/>
      <c r="E570" s="296"/>
      <c r="F570" s="296"/>
      <c r="G570" s="296"/>
      <c r="H570" s="296"/>
      <c r="I570" s="297"/>
    </row>
    <row r="571" ht="16.5" hidden="1" customHeight="1" outlineLevel="2">
      <c r="A571" s="283" t="s">
        <v>129</v>
      </c>
      <c r="B571" s="293">
        <f t="shared" si="151"/>
        <v>0</v>
      </c>
      <c r="C571" s="295"/>
      <c r="D571" s="295"/>
      <c r="E571" s="295"/>
      <c r="F571" s="295"/>
      <c r="G571" s="295"/>
      <c r="H571" s="295"/>
      <c r="I571" s="295"/>
    </row>
    <row r="572" hidden="1" outlineLevel="2">
      <c r="A572" s="284" t="s">
        <v>13</v>
      </c>
      <c r="B572" s="293">
        <f t="shared" si="151"/>
        <v>0</v>
      </c>
      <c r="C572" s="297"/>
      <c r="D572" s="297"/>
      <c r="E572" s="296"/>
      <c r="F572" s="296"/>
      <c r="G572" s="296"/>
      <c r="H572" s="296"/>
      <c r="I572" s="297"/>
    </row>
    <row r="573" hidden="1" outlineLevel="2">
      <c r="A573" s="283" t="s">
        <v>64</v>
      </c>
      <c r="B573" s="293">
        <f t="shared" si="151"/>
        <v>0</v>
      </c>
      <c r="C573" s="294"/>
      <c r="D573" s="294"/>
      <c r="E573" s="295"/>
      <c r="F573" s="294"/>
      <c r="G573" s="295"/>
      <c r="H573" s="295"/>
      <c r="I573" s="294"/>
    </row>
    <row r="574" hidden="1" outlineLevel="2">
      <c r="A574" s="286"/>
      <c r="B574" s="286"/>
      <c r="C574" s="286"/>
      <c r="D574" s="286"/>
      <c r="E574" s="286"/>
      <c r="F574" s="286"/>
      <c r="G574" s="286"/>
      <c r="H574" s="286"/>
      <c r="I574" s="286"/>
    </row>
    <row r="575" hidden="1" outlineLevel="1">
      <c r="A575" s="192" t="s">
        <v>757</v>
      </c>
    </row>
    <row r="576" hidden="1" outlineLevel="1">
      <c r="A576" s="195" t="s">
        <v>186</v>
      </c>
    </row>
    <row r="577" hidden="1" outlineLevel="1">
      <c r="A577" s="196" t="s">
        <v>187</v>
      </c>
      <c r="B577" s="197" t="s">
        <v>77</v>
      </c>
      <c r="C577" s="197" t="s">
        <v>189</v>
      </c>
      <c r="D577" s="198">
        <v>46139.0</v>
      </c>
      <c r="E577" s="198">
        <v>46140.0</v>
      </c>
      <c r="F577" s="198">
        <v>46141.0</v>
      </c>
      <c r="G577" s="198">
        <v>46142.0</v>
      </c>
      <c r="H577" s="198">
        <v>46143.0</v>
      </c>
      <c r="I577" s="198">
        <v>46144.0</v>
      </c>
      <c r="J577" s="198">
        <v>46145.0</v>
      </c>
      <c r="K577" s="199" t="s">
        <v>190</v>
      </c>
      <c r="L577" s="201" t="s">
        <v>191</v>
      </c>
    </row>
    <row r="578" hidden="1" outlineLevel="1">
      <c r="A578" s="399"/>
      <c r="B578" s="292"/>
      <c r="C578" s="292"/>
      <c r="D578" s="205" t="s">
        <v>192</v>
      </c>
      <c r="E578" s="205" t="str">
        <f t="shared" ref="E578:J578" si="152">text(E577,"ddd")</f>
        <v>Tue</v>
      </c>
      <c r="F578" s="205" t="str">
        <f t="shared" si="152"/>
        <v>Wed</v>
      </c>
      <c r="G578" s="205" t="str">
        <f t="shared" si="152"/>
        <v>Thu</v>
      </c>
      <c r="H578" s="205" t="str">
        <f t="shared" si="152"/>
        <v>Fri</v>
      </c>
      <c r="I578" s="205" t="str">
        <f t="shared" si="152"/>
        <v>Sat</v>
      </c>
      <c r="J578" s="205" t="str">
        <f t="shared" si="152"/>
        <v>Sun</v>
      </c>
      <c r="K578" s="206"/>
      <c r="L578" s="203"/>
    </row>
    <row r="579" hidden="1" outlineLevel="1">
      <c r="A579" s="400" t="s">
        <v>194</v>
      </c>
      <c r="B579" s="401">
        <f>25+20+20+20+15</f>
        <v>100</v>
      </c>
      <c r="C579" s="401">
        <f t="shared" ref="C579:C586" si="153">SUM(D579:J579)</f>
        <v>88</v>
      </c>
      <c r="D579" s="402">
        <v>14.0</v>
      </c>
      <c r="E579" s="402">
        <v>27.0</v>
      </c>
      <c r="F579" s="402">
        <v>18.0</v>
      </c>
      <c r="G579" s="402">
        <v>9.0</v>
      </c>
      <c r="H579" s="402">
        <v>20.0</v>
      </c>
      <c r="I579" s="402" t="s">
        <v>92</v>
      </c>
      <c r="J579" s="211" t="s">
        <v>92</v>
      </c>
      <c r="K579" s="214">
        <f t="shared" ref="K579:K586" si="154">iferror(C579/B579,"-")</f>
        <v>0.88</v>
      </c>
      <c r="L579" s="219">
        <f t="shared" ref="L579:L586" si="155">(IF(K579="",(0),IF(K579&gt;=1,(5),IF(K579&gt;=0.9,(4),IF(K579&gt;=0.8,(3),IF(K579&gt;=0.69,(2),IF(K579&lt;=0.69,(1))))))))</f>
        <v>3</v>
      </c>
    </row>
    <row r="580" hidden="1" outlineLevel="1">
      <c r="A580" s="403" t="s">
        <v>118</v>
      </c>
      <c r="B580" s="404">
        <f>25*5</f>
        <v>125</v>
      </c>
      <c r="C580" s="404">
        <f t="shared" si="153"/>
        <v>123</v>
      </c>
      <c r="D580" s="405">
        <v>26.0</v>
      </c>
      <c r="E580" s="405">
        <v>25.0</v>
      </c>
      <c r="F580" s="405">
        <v>23.0</v>
      </c>
      <c r="G580" s="405">
        <v>23.0</v>
      </c>
      <c r="H580" s="405">
        <v>26.0</v>
      </c>
      <c r="I580" s="405" t="s">
        <v>92</v>
      </c>
      <c r="J580" s="211" t="s">
        <v>92</v>
      </c>
      <c r="K580" s="214">
        <f t="shared" si="154"/>
        <v>0.984</v>
      </c>
      <c r="L580" s="219">
        <f t="shared" si="155"/>
        <v>4</v>
      </c>
    </row>
    <row r="581" hidden="1" outlineLevel="1">
      <c r="A581" s="400" t="s">
        <v>19</v>
      </c>
      <c r="B581" s="401">
        <f>30*5</f>
        <v>150</v>
      </c>
      <c r="C581" s="401">
        <f t="shared" si="153"/>
        <v>140</v>
      </c>
      <c r="D581" s="402">
        <v>26.0</v>
      </c>
      <c r="E581" s="402">
        <v>31.0</v>
      </c>
      <c r="F581" s="402">
        <v>26.0</v>
      </c>
      <c r="G581" s="402" t="s">
        <v>92</v>
      </c>
      <c r="H581" s="402">
        <v>34.0</v>
      </c>
      <c r="I581" s="402">
        <v>23.0</v>
      </c>
      <c r="J581" s="211" t="s">
        <v>92</v>
      </c>
      <c r="K581" s="214">
        <f t="shared" si="154"/>
        <v>0.9333333333</v>
      </c>
      <c r="L581" s="219">
        <f t="shared" si="155"/>
        <v>4</v>
      </c>
    </row>
    <row r="582" hidden="1" outlineLevel="1">
      <c r="A582" s="403" t="s">
        <v>120</v>
      </c>
      <c r="B582" s="404">
        <f>15+15+20+20+15</f>
        <v>85</v>
      </c>
      <c r="C582" s="404">
        <f t="shared" si="153"/>
        <v>87</v>
      </c>
      <c r="D582" s="405">
        <v>14.0</v>
      </c>
      <c r="E582" s="405">
        <v>15.0</v>
      </c>
      <c r="F582" s="405">
        <v>23.0</v>
      </c>
      <c r="G582" s="405" t="s">
        <v>92</v>
      </c>
      <c r="H582" s="405">
        <v>19.0</v>
      </c>
      <c r="I582" s="405">
        <v>16.0</v>
      </c>
      <c r="J582" s="211" t="s">
        <v>92</v>
      </c>
      <c r="K582" s="214">
        <f t="shared" si="154"/>
        <v>1.023529412</v>
      </c>
      <c r="L582" s="219">
        <f t="shared" si="155"/>
        <v>5</v>
      </c>
    </row>
    <row r="583" hidden="1" outlineLevel="1">
      <c r="A583" s="301" t="s">
        <v>22</v>
      </c>
      <c r="B583" s="401">
        <f>15+30+20+15+10</f>
        <v>90</v>
      </c>
      <c r="C583" s="401">
        <f t="shared" si="153"/>
        <v>93</v>
      </c>
      <c r="D583" s="402">
        <v>17.0</v>
      </c>
      <c r="E583" s="402" t="s">
        <v>92</v>
      </c>
      <c r="F583" s="402" t="s">
        <v>92</v>
      </c>
      <c r="G583" s="402">
        <v>29.0</v>
      </c>
      <c r="H583" s="402">
        <v>20.0</v>
      </c>
      <c r="I583" s="402">
        <v>14.0</v>
      </c>
      <c r="J583" s="211">
        <v>13.0</v>
      </c>
      <c r="K583" s="214">
        <f t="shared" si="154"/>
        <v>1.033333333</v>
      </c>
      <c r="L583" s="219">
        <f t="shared" si="155"/>
        <v>5</v>
      </c>
    </row>
    <row r="584" hidden="1" outlineLevel="1">
      <c r="A584" s="284" t="s">
        <v>129</v>
      </c>
      <c r="B584" s="404">
        <f>30+30+30+25+25</f>
        <v>140</v>
      </c>
      <c r="C584" s="404">
        <f t="shared" si="153"/>
        <v>132</v>
      </c>
      <c r="D584" s="405">
        <v>27.0</v>
      </c>
      <c r="E584" s="405">
        <v>31.0</v>
      </c>
      <c r="F584" s="405">
        <v>31.0</v>
      </c>
      <c r="G584" s="405" t="s">
        <v>92</v>
      </c>
      <c r="H584" s="405" t="s">
        <v>92</v>
      </c>
      <c r="I584" s="405">
        <v>22.0</v>
      </c>
      <c r="J584" s="224">
        <v>21.0</v>
      </c>
      <c r="K584" s="214">
        <f t="shared" si="154"/>
        <v>0.9428571429</v>
      </c>
      <c r="L584" s="219">
        <f t="shared" si="155"/>
        <v>4</v>
      </c>
    </row>
    <row r="585" hidden="1" outlineLevel="1">
      <c r="A585" s="283" t="s">
        <v>13</v>
      </c>
      <c r="B585" s="406">
        <f>25+20+20</f>
        <v>65</v>
      </c>
      <c r="C585" s="401">
        <f t="shared" si="153"/>
        <v>59</v>
      </c>
      <c r="D585" s="402">
        <v>23.0</v>
      </c>
      <c r="E585" s="402" t="s">
        <v>92</v>
      </c>
      <c r="F585" s="402" t="s">
        <v>92</v>
      </c>
      <c r="G585" s="402">
        <v>18.0</v>
      </c>
      <c r="H585" s="402">
        <v>18.0</v>
      </c>
      <c r="I585" s="402" t="s">
        <v>196</v>
      </c>
      <c r="J585" s="224" t="s">
        <v>196</v>
      </c>
      <c r="K585" s="214">
        <f t="shared" si="154"/>
        <v>0.9076923077</v>
      </c>
      <c r="L585" s="219">
        <f t="shared" si="155"/>
        <v>4</v>
      </c>
    </row>
    <row r="586" hidden="1" outlineLevel="1">
      <c r="A586" s="284" t="s">
        <v>428</v>
      </c>
      <c r="B586" s="407">
        <f>25*4+15</f>
        <v>115</v>
      </c>
      <c r="C586" s="404">
        <f t="shared" si="153"/>
        <v>90</v>
      </c>
      <c r="D586" s="405">
        <v>18.0</v>
      </c>
      <c r="E586" s="405">
        <v>19.0</v>
      </c>
      <c r="F586" s="405">
        <v>19.0</v>
      </c>
      <c r="G586" s="405">
        <v>21.0</v>
      </c>
      <c r="H586" s="405" t="s">
        <v>92</v>
      </c>
      <c r="I586" s="405" t="s">
        <v>92</v>
      </c>
      <c r="J586" s="211">
        <v>13.0</v>
      </c>
      <c r="K586" s="214">
        <f t="shared" si="154"/>
        <v>0.7826086957</v>
      </c>
      <c r="L586" s="219">
        <f t="shared" si="155"/>
        <v>2</v>
      </c>
    </row>
    <row r="587" hidden="1" outlineLevel="1"/>
    <row r="588" hidden="1" outlineLevel="1">
      <c r="A588" s="195" t="s">
        <v>135</v>
      </c>
      <c r="I588" s="195"/>
    </row>
    <row r="589" hidden="1" outlineLevel="1">
      <c r="A589" s="196" t="s">
        <v>187</v>
      </c>
      <c r="B589" s="225" t="s">
        <v>218</v>
      </c>
      <c r="C589" s="225" t="s">
        <v>219</v>
      </c>
      <c r="D589" s="225" t="s">
        <v>139</v>
      </c>
      <c r="E589" s="225" t="s">
        <v>140</v>
      </c>
      <c r="F589" s="225" t="s">
        <v>141</v>
      </c>
      <c r="G589" s="226" t="s">
        <v>143</v>
      </c>
      <c r="H589" s="226" t="s">
        <v>221</v>
      </c>
    </row>
    <row r="590" hidden="1" outlineLevel="1">
      <c r="A590" s="399"/>
      <c r="B590" s="292"/>
      <c r="C590" s="292"/>
      <c r="D590" s="292"/>
      <c r="E590" s="292"/>
      <c r="F590" s="292"/>
      <c r="G590" s="292"/>
      <c r="H590" s="292"/>
    </row>
    <row r="591" hidden="1" outlineLevel="1">
      <c r="A591" s="400" t="s">
        <v>194</v>
      </c>
      <c r="B591" s="402">
        <v>92.0</v>
      </c>
      <c r="C591" s="402">
        <v>91.0</v>
      </c>
      <c r="D591" s="136">
        <f t="shared" ref="D591:D598" si="156">B591-C591</f>
        <v>1</v>
      </c>
      <c r="E591" s="408">
        <f t="shared" ref="E591:E598" si="157">IFERROR(C591/B591,"")</f>
        <v>0.9891304348</v>
      </c>
      <c r="F591" s="409">
        <v>0.0024537037037037036</v>
      </c>
      <c r="G591" s="240">
        <f t="shared" ref="G591:G598" si="158">IFERROR((IF(E591="",(0),IF(E591&gt;=0.98,(5),IF(E591&gt;=0.95,(4.5),IF(E591&gt;=0.9,(4),IF(E591&gt;=0.8,(3),IF(E591&lt;=0.69,(1)))))))),"")</f>
        <v>5</v>
      </c>
      <c r="H591" s="240">
        <f>ROUND(
IF(F591="",
0,
MAX(1, 5 - MAX(0, (F591 - TIME(0,4,0)) / TIME(0,1,0) * 0.5))
),
2
)
</f>
        <v>5</v>
      </c>
    </row>
    <row r="592" hidden="1" outlineLevel="1">
      <c r="A592" s="403" t="s">
        <v>118</v>
      </c>
      <c r="B592" s="405">
        <v>124.0</v>
      </c>
      <c r="C592" s="405">
        <v>123.0</v>
      </c>
      <c r="D592" s="410">
        <f t="shared" si="156"/>
        <v>1</v>
      </c>
      <c r="E592" s="411">
        <f t="shared" si="157"/>
        <v>0.9919354839</v>
      </c>
      <c r="F592" s="412">
        <v>0.003981481481481482</v>
      </c>
      <c r="G592" s="240">
        <f t="shared" si="158"/>
        <v>5</v>
      </c>
      <c r="H592" s="240">
        <f>ROUND(
IF(F592="",
0,
MAX(1, 5 - MAX(0, (F592 - TIME(0,5,0)) / TIME(0,1,0) * 0.5))
),
2
)
</f>
        <v>4.63</v>
      </c>
    </row>
    <row r="593" hidden="1" outlineLevel="1">
      <c r="A593" s="400" t="s">
        <v>19</v>
      </c>
      <c r="B593" s="402">
        <v>141.0</v>
      </c>
      <c r="C593" s="402">
        <v>140.0</v>
      </c>
      <c r="D593" s="136">
        <f t="shared" si="156"/>
        <v>1</v>
      </c>
      <c r="E593" s="408">
        <f t="shared" si="157"/>
        <v>0.9929078014</v>
      </c>
      <c r="F593" s="409">
        <v>0.0036805555555555554</v>
      </c>
      <c r="G593" s="240">
        <f t="shared" si="158"/>
        <v>5</v>
      </c>
      <c r="H593" s="240">
        <f>ROUND(
IF(F593="",
0,
MAX(1, 5 - MAX(0, (F593 - TIME(0,4,0)) / TIME(0,1,0) * 0.5))
),
2
)
</f>
        <v>4.35</v>
      </c>
    </row>
    <row r="594" hidden="1" outlineLevel="1">
      <c r="A594" s="403" t="s">
        <v>120</v>
      </c>
      <c r="B594" s="405">
        <v>89.0</v>
      </c>
      <c r="C594" s="405">
        <v>88.0</v>
      </c>
      <c r="D594" s="410">
        <f t="shared" si="156"/>
        <v>1</v>
      </c>
      <c r="E594" s="411">
        <f t="shared" si="157"/>
        <v>0.9887640449</v>
      </c>
      <c r="F594" s="412">
        <v>0.0030555555555555557</v>
      </c>
      <c r="G594" s="240">
        <f t="shared" si="158"/>
        <v>5</v>
      </c>
      <c r="H594" s="240">
        <f>ROUND(
IF(F594="",
0,
MAX(1, 5 - MAX(0, (F594 - TIME(0,5,0)) / TIME(0,1,0) * 0.5))
),
2
)
</f>
        <v>5</v>
      </c>
    </row>
    <row r="595" hidden="1" outlineLevel="1">
      <c r="A595" s="301" t="s">
        <v>22</v>
      </c>
      <c r="B595" s="402">
        <v>98.0</v>
      </c>
      <c r="C595" s="402">
        <v>95.0</v>
      </c>
      <c r="D595" s="136">
        <f t="shared" si="156"/>
        <v>3</v>
      </c>
      <c r="E595" s="408">
        <f t="shared" si="157"/>
        <v>0.9693877551</v>
      </c>
      <c r="F595" s="409">
        <v>0.002673611111111111</v>
      </c>
      <c r="G595" s="240">
        <f t="shared" si="158"/>
        <v>4.5</v>
      </c>
      <c r="H595" s="240">
        <f>ROUND(
IF(F595="",
0,
MAX(1, 5 - MAX(0, (F595 - TIME(0,4,0)) / TIME(0,1,0) * 0.5))
),
2
)
</f>
        <v>5</v>
      </c>
    </row>
    <row r="596" hidden="1" outlineLevel="1">
      <c r="A596" s="284" t="s">
        <v>129</v>
      </c>
      <c r="B596" s="405">
        <v>133.0</v>
      </c>
      <c r="C596" s="405">
        <v>132.0</v>
      </c>
      <c r="D596" s="410">
        <f t="shared" si="156"/>
        <v>1</v>
      </c>
      <c r="E596" s="411">
        <f t="shared" si="157"/>
        <v>0.992481203</v>
      </c>
      <c r="F596" s="412">
        <v>0.003715277777777778</v>
      </c>
      <c r="G596" s="240">
        <f t="shared" si="158"/>
        <v>5</v>
      </c>
      <c r="H596" s="240">
        <f t="shared" ref="H596:H598" si="159">ROUND(
IF(F596="",
0,
MAX(1, 5 - MAX(0, (F596 - TIME(0,5,0)) / TIME(0,1,0) * 0.5))
),
2
)
</f>
        <v>4.83</v>
      </c>
    </row>
    <row r="597" hidden="1" outlineLevel="1">
      <c r="A597" s="283" t="s">
        <v>13</v>
      </c>
      <c r="B597" s="402">
        <v>62.0</v>
      </c>
      <c r="C597" s="402">
        <v>60.0</v>
      </c>
      <c r="D597" s="136">
        <f t="shared" si="156"/>
        <v>2</v>
      </c>
      <c r="E597" s="408">
        <f t="shared" si="157"/>
        <v>0.9677419355</v>
      </c>
      <c r="F597" s="409">
        <v>0.004247685185185185</v>
      </c>
      <c r="G597" s="240">
        <f t="shared" si="158"/>
        <v>4.5</v>
      </c>
      <c r="H597" s="240">
        <f t="shared" si="159"/>
        <v>4.44</v>
      </c>
    </row>
    <row r="598" hidden="1" outlineLevel="1">
      <c r="A598" s="284" t="s">
        <v>428</v>
      </c>
      <c r="B598" s="405">
        <v>92.0</v>
      </c>
      <c r="C598" s="405">
        <v>90.0</v>
      </c>
      <c r="D598" s="410">
        <f t="shared" si="156"/>
        <v>2</v>
      </c>
      <c r="E598" s="411">
        <f t="shared" si="157"/>
        <v>0.9782608696</v>
      </c>
      <c r="F598" s="412">
        <v>0.005023148148148148</v>
      </c>
      <c r="G598" s="240">
        <f t="shared" si="158"/>
        <v>4.5</v>
      </c>
      <c r="H598" s="240">
        <f t="shared" si="159"/>
        <v>3.88</v>
      </c>
    </row>
    <row r="599" hidden="1" outlineLevel="1"/>
    <row r="600" hidden="1" outlineLevel="1">
      <c r="A600" s="195" t="s">
        <v>239</v>
      </c>
    </row>
    <row r="601" hidden="1" outlineLevel="1">
      <c r="A601" s="260" t="s">
        <v>240</v>
      </c>
      <c r="B601" s="262" t="s">
        <v>241</v>
      </c>
      <c r="C601" s="264" t="s">
        <v>242</v>
      </c>
      <c r="D601" s="264" t="s">
        <v>243</v>
      </c>
      <c r="E601" s="265" t="s">
        <v>244</v>
      </c>
      <c r="F601" s="267" t="s">
        <v>247</v>
      </c>
      <c r="G601" s="268"/>
    </row>
    <row r="602" hidden="1" outlineLevel="1">
      <c r="A602" s="278" t="s">
        <v>25</v>
      </c>
      <c r="B602" s="279" t="str">
        <f t="shared" ref="B602:B609" si="160">(C602*0.3)+(D602*0.1)</f>
        <v>#REF!</v>
      </c>
      <c r="C602" s="272">
        <v>1.0</v>
      </c>
      <c r="D602" s="272" t="str">
        <f t="shared" ref="D602:D607" si="161">#REF!</f>
        <v>#REF!</v>
      </c>
      <c r="E602" s="281">
        <f t="shared" ref="E602:E609" si="162">(L579+G591+H591)/15*0.3</f>
        <v>0.26</v>
      </c>
      <c r="F602" s="274">
        <f t="shared" ref="F602:F609" si="163">(E602/30%)*10</f>
        <v>8.666666667</v>
      </c>
      <c r="G602" s="268"/>
      <c r="H602" s="268"/>
      <c r="I602" s="268"/>
      <c r="J602" s="268"/>
    </row>
    <row r="603" hidden="1" outlineLevel="1">
      <c r="A603" s="275" t="s">
        <v>4</v>
      </c>
      <c r="B603" s="276" t="str">
        <f t="shared" si="160"/>
        <v>#REF!</v>
      </c>
      <c r="C603" s="272">
        <v>1.0</v>
      </c>
      <c r="D603" s="272" t="str">
        <f t="shared" si="161"/>
        <v>#REF!</v>
      </c>
      <c r="E603" s="277">
        <f t="shared" si="162"/>
        <v>0.2726</v>
      </c>
      <c r="F603" s="274">
        <f t="shared" si="163"/>
        <v>9.086666667</v>
      </c>
      <c r="G603" s="268"/>
      <c r="H603" s="268"/>
      <c r="I603" s="268"/>
      <c r="J603" s="268"/>
    </row>
    <row r="604" hidden="1" outlineLevel="1">
      <c r="A604" s="278" t="s">
        <v>19</v>
      </c>
      <c r="B604" s="279" t="str">
        <f t="shared" si="160"/>
        <v>#REF!</v>
      </c>
      <c r="C604" s="272">
        <v>1.0</v>
      </c>
      <c r="D604" s="280" t="str">
        <f t="shared" si="161"/>
        <v>#REF!</v>
      </c>
      <c r="E604" s="281">
        <f t="shared" si="162"/>
        <v>0.267</v>
      </c>
      <c r="F604" s="274">
        <f t="shared" si="163"/>
        <v>8.9</v>
      </c>
      <c r="G604" s="268"/>
      <c r="H604" s="268"/>
      <c r="I604" s="268"/>
      <c r="J604" s="268"/>
    </row>
    <row r="605" hidden="1" outlineLevel="1">
      <c r="A605" s="275" t="s">
        <v>30</v>
      </c>
      <c r="B605" s="276" t="str">
        <f t="shared" si="160"/>
        <v>#REF!</v>
      </c>
      <c r="C605" s="272">
        <v>1.0</v>
      </c>
      <c r="D605" s="280" t="str">
        <f t="shared" si="161"/>
        <v>#REF!</v>
      </c>
      <c r="E605" s="277">
        <f t="shared" si="162"/>
        <v>0.3</v>
      </c>
      <c r="F605" s="274">
        <f t="shared" si="163"/>
        <v>10</v>
      </c>
      <c r="G605" s="268"/>
      <c r="H605" s="268"/>
      <c r="I605" s="268"/>
      <c r="J605" s="268"/>
    </row>
    <row r="606" hidden="1" outlineLevel="1">
      <c r="A606" s="282" t="s">
        <v>31</v>
      </c>
      <c r="B606" s="279" t="str">
        <f t="shared" si="160"/>
        <v>#REF!</v>
      </c>
      <c r="C606" s="272">
        <v>1.0</v>
      </c>
      <c r="D606" s="280" t="str">
        <f t="shared" si="161"/>
        <v>#REF!</v>
      </c>
      <c r="E606" s="281">
        <f t="shared" si="162"/>
        <v>0.29</v>
      </c>
      <c r="F606" s="274">
        <f t="shared" si="163"/>
        <v>9.666666667</v>
      </c>
      <c r="G606" s="268"/>
      <c r="H606" s="268"/>
      <c r="I606" s="268"/>
      <c r="J606" s="268"/>
    </row>
    <row r="607" hidden="1" outlineLevel="1">
      <c r="A607" s="283" t="s">
        <v>129</v>
      </c>
      <c r="B607" s="276" t="str">
        <f t="shared" si="160"/>
        <v>#REF!</v>
      </c>
      <c r="C607" s="272">
        <v>1.0</v>
      </c>
      <c r="D607" s="280" t="str">
        <f t="shared" si="161"/>
        <v>#REF!</v>
      </c>
      <c r="E607" s="277">
        <f t="shared" si="162"/>
        <v>0.2766</v>
      </c>
      <c r="F607" s="274">
        <f t="shared" si="163"/>
        <v>9.22</v>
      </c>
      <c r="G607" s="268"/>
      <c r="H607" s="268"/>
      <c r="I607" s="268"/>
      <c r="J607" s="268"/>
    </row>
    <row r="608" hidden="1" outlineLevel="1">
      <c r="A608" s="284" t="s">
        <v>13</v>
      </c>
      <c r="B608" s="279">
        <f t="shared" si="160"/>
        <v>0.4</v>
      </c>
      <c r="C608" s="272">
        <v>1.0</v>
      </c>
      <c r="D608" s="280">
        <f>Lyra!D251</f>
        <v>1</v>
      </c>
      <c r="E608" s="281">
        <f t="shared" si="162"/>
        <v>0.2588</v>
      </c>
      <c r="F608" s="274">
        <f t="shared" si="163"/>
        <v>8.626666667</v>
      </c>
      <c r="G608" s="268"/>
      <c r="H608" s="268"/>
      <c r="I608" s="268"/>
      <c r="J608" s="268"/>
    </row>
    <row r="609" hidden="1" outlineLevel="1">
      <c r="A609" s="283" t="s">
        <v>428</v>
      </c>
      <c r="B609" s="276">
        <f t="shared" si="160"/>
        <v>0.4</v>
      </c>
      <c r="C609" s="272">
        <v>1.0</v>
      </c>
      <c r="D609" s="280">
        <f>Mikka!D196</f>
        <v>1</v>
      </c>
      <c r="E609" s="277">
        <f t="shared" si="162"/>
        <v>0.2076</v>
      </c>
      <c r="F609" s="274">
        <f t="shared" si="163"/>
        <v>6.92</v>
      </c>
      <c r="G609" s="268"/>
      <c r="H609" s="268"/>
      <c r="I609" s="268"/>
      <c r="J609" s="268"/>
    </row>
    <row r="610" hidden="1" outlineLevel="1">
      <c r="A610" s="286"/>
      <c r="B610" s="286"/>
      <c r="C610" s="287"/>
      <c r="D610" s="288"/>
      <c r="E610" s="289"/>
      <c r="F610" s="268"/>
      <c r="G610" s="268"/>
      <c r="H610" s="268"/>
      <c r="I610" s="268"/>
      <c r="J610" s="268"/>
    </row>
    <row r="611" hidden="1" outlineLevel="1">
      <c r="A611" s="195" t="s">
        <v>269</v>
      </c>
      <c r="B611" s="286"/>
      <c r="C611" s="287"/>
      <c r="D611" s="288"/>
      <c r="E611" s="289"/>
      <c r="F611" s="268"/>
      <c r="G611" s="268"/>
      <c r="H611" s="268"/>
      <c r="I611" s="268"/>
      <c r="J611" s="268"/>
    </row>
    <row r="612" hidden="1" outlineLevel="1">
      <c r="A612" s="290" t="s">
        <v>240</v>
      </c>
      <c r="B612" s="291" t="s">
        <v>270</v>
      </c>
      <c r="C612" s="198">
        <v>46118.0</v>
      </c>
      <c r="D612" s="198">
        <v>46119.0</v>
      </c>
      <c r="E612" s="198">
        <v>46120.0</v>
      </c>
      <c r="F612" s="198">
        <v>46121.0</v>
      </c>
      <c r="G612" s="198">
        <v>46122.0</v>
      </c>
      <c r="H612" s="198">
        <v>46123.0</v>
      </c>
      <c r="I612" s="198">
        <v>46124.0</v>
      </c>
      <c r="J612" s="268"/>
    </row>
    <row r="613" hidden="1" outlineLevel="1">
      <c r="A613" s="325"/>
      <c r="B613" s="325"/>
      <c r="C613" s="205" t="s">
        <v>192</v>
      </c>
      <c r="D613" s="205" t="s">
        <v>272</v>
      </c>
      <c r="E613" s="205" t="s">
        <v>273</v>
      </c>
      <c r="F613" s="205" t="s">
        <v>274</v>
      </c>
      <c r="G613" s="205" t="s">
        <v>275</v>
      </c>
      <c r="H613" s="205" t="s">
        <v>276</v>
      </c>
      <c r="I613" s="205" t="s">
        <v>277</v>
      </c>
    </row>
    <row r="614" hidden="1" outlineLevel="1">
      <c r="A614" s="278" t="s">
        <v>25</v>
      </c>
      <c r="B614" s="293">
        <f t="shared" ref="B614:B621" si="164">Sum(C614:I614)</f>
        <v>0</v>
      </c>
      <c r="C614" s="296"/>
      <c r="D614" s="297"/>
      <c r="E614" s="297"/>
      <c r="F614" s="297"/>
      <c r="G614" s="296"/>
      <c r="H614" s="296"/>
      <c r="I614" s="296"/>
    </row>
    <row r="615" hidden="1" outlineLevel="1">
      <c r="A615" s="275" t="s">
        <v>4</v>
      </c>
      <c r="B615" s="293">
        <f t="shared" si="164"/>
        <v>0</v>
      </c>
      <c r="C615" s="295"/>
      <c r="D615" s="295"/>
      <c r="E615" s="295"/>
      <c r="F615" s="295"/>
      <c r="G615" s="295"/>
      <c r="H615" s="294"/>
      <c r="I615" s="295"/>
    </row>
    <row r="616" hidden="1" outlineLevel="1">
      <c r="A616" s="278" t="s">
        <v>19</v>
      </c>
      <c r="B616" s="293">
        <f t="shared" si="164"/>
        <v>0</v>
      </c>
      <c r="C616" s="296"/>
      <c r="D616" s="297"/>
      <c r="E616" s="296"/>
      <c r="F616" s="296"/>
      <c r="G616" s="296"/>
      <c r="H616" s="296"/>
      <c r="I616" s="297"/>
    </row>
    <row r="617" hidden="1" outlineLevel="1">
      <c r="A617" s="275" t="s">
        <v>30</v>
      </c>
      <c r="B617" s="293">
        <f t="shared" si="164"/>
        <v>0</v>
      </c>
      <c r="C617" s="295"/>
      <c r="D617" s="295"/>
      <c r="E617" s="295"/>
      <c r="F617" s="295"/>
      <c r="G617" s="295"/>
      <c r="H617" s="295"/>
      <c r="I617" s="294"/>
    </row>
    <row r="618" hidden="1" outlineLevel="1">
      <c r="A618" s="282" t="s">
        <v>31</v>
      </c>
      <c r="B618" s="293">
        <f t="shared" si="164"/>
        <v>0</v>
      </c>
      <c r="C618" s="296"/>
      <c r="D618" s="296"/>
      <c r="E618" s="296"/>
      <c r="F618" s="296"/>
      <c r="G618" s="296"/>
      <c r="H618" s="296"/>
      <c r="I618" s="297"/>
    </row>
    <row r="619" ht="16.5" hidden="1" customHeight="1" outlineLevel="1">
      <c r="A619" s="283" t="s">
        <v>129</v>
      </c>
      <c r="B619" s="293">
        <f t="shared" si="164"/>
        <v>0</v>
      </c>
      <c r="C619" s="295"/>
      <c r="D619" s="295"/>
      <c r="E619" s="295"/>
      <c r="F619" s="295"/>
      <c r="G619" s="295"/>
      <c r="H619" s="295"/>
      <c r="I619" s="295"/>
    </row>
    <row r="620" hidden="1" outlineLevel="1">
      <c r="A620" s="284" t="s">
        <v>13</v>
      </c>
      <c r="B620" s="293">
        <f t="shared" si="164"/>
        <v>0</v>
      </c>
      <c r="C620" s="297"/>
      <c r="D620" s="297"/>
      <c r="E620" s="296"/>
      <c r="F620" s="296"/>
      <c r="G620" s="296"/>
      <c r="H620" s="296"/>
      <c r="I620" s="297"/>
    </row>
    <row r="621" hidden="1" outlineLevel="1">
      <c r="A621" s="283" t="s">
        <v>64</v>
      </c>
      <c r="B621" s="293">
        <f t="shared" si="164"/>
        <v>0</v>
      </c>
      <c r="C621" s="294"/>
      <c r="D621" s="294"/>
      <c r="E621" s="295"/>
      <c r="F621" s="294"/>
      <c r="G621" s="295"/>
      <c r="H621" s="295"/>
      <c r="I621" s="294"/>
    </row>
    <row r="622" hidden="1" outlineLevel="1">
      <c r="A622" s="286"/>
      <c r="B622" s="286"/>
      <c r="C622" s="286"/>
      <c r="D622" s="286"/>
      <c r="E622" s="286"/>
      <c r="F622" s="286"/>
      <c r="G622" s="286"/>
      <c r="H622" s="286"/>
      <c r="I622" s="286"/>
    </row>
    <row r="623" collapsed="1">
      <c r="A623" s="190">
        <v>46143.0</v>
      </c>
    </row>
    <row r="624" hidden="1" outlineLevel="1" collapsed="1">
      <c r="A624" s="192" t="s">
        <v>802</v>
      </c>
    </row>
    <row r="625" hidden="1" outlineLevel="2">
      <c r="A625" s="195" t="s">
        <v>186</v>
      </c>
    </row>
    <row r="626" hidden="1" outlineLevel="2">
      <c r="A626" s="196" t="s">
        <v>187</v>
      </c>
      <c r="B626" s="197" t="s">
        <v>77</v>
      </c>
      <c r="C626" s="197" t="s">
        <v>189</v>
      </c>
      <c r="D626" s="198">
        <v>46146.0</v>
      </c>
      <c r="E626" s="198">
        <v>46147.0</v>
      </c>
      <c r="F626" s="198">
        <v>46148.0</v>
      </c>
      <c r="G626" s="198">
        <v>46149.0</v>
      </c>
      <c r="H626" s="198">
        <v>46150.0</v>
      </c>
      <c r="I626" s="198">
        <v>46151.0</v>
      </c>
      <c r="J626" s="198">
        <v>46152.0</v>
      </c>
      <c r="K626" s="199" t="s">
        <v>190</v>
      </c>
      <c r="L626" s="201" t="s">
        <v>191</v>
      </c>
    </row>
    <row r="627" hidden="1" outlineLevel="2">
      <c r="A627" s="415"/>
      <c r="B627" s="325"/>
      <c r="C627" s="325"/>
      <c r="D627" s="205" t="s">
        <v>192</v>
      </c>
      <c r="E627" s="205" t="str">
        <f t="shared" ref="E627:J627" si="165">text(E626,"ddd")</f>
        <v>Tue</v>
      </c>
      <c r="F627" s="205" t="str">
        <f t="shared" si="165"/>
        <v>Wed</v>
      </c>
      <c r="G627" s="205" t="str">
        <f t="shared" si="165"/>
        <v>Thu</v>
      </c>
      <c r="H627" s="205" t="str">
        <f t="shared" si="165"/>
        <v>Fri</v>
      </c>
      <c r="I627" s="205" t="str">
        <f t="shared" si="165"/>
        <v>Sat</v>
      </c>
      <c r="J627" s="205" t="str">
        <f t="shared" si="165"/>
        <v>Sun</v>
      </c>
      <c r="K627" s="206"/>
      <c r="L627" s="203"/>
    </row>
    <row r="628" hidden="1" outlineLevel="2">
      <c r="A628" s="403" t="s">
        <v>194</v>
      </c>
      <c r="B628" s="404">
        <f>20+15+15+15+20</f>
        <v>85</v>
      </c>
      <c r="C628" s="404">
        <f t="shared" ref="C628:C635" si="166">SUM(D628:J628)</f>
        <v>88</v>
      </c>
      <c r="D628" s="405">
        <v>21.0</v>
      </c>
      <c r="E628" s="405">
        <v>13.0</v>
      </c>
      <c r="F628" s="405">
        <v>17.0</v>
      </c>
      <c r="G628" s="405">
        <v>17.0</v>
      </c>
      <c r="H628" s="405">
        <v>20.0</v>
      </c>
      <c r="I628" s="405" t="s">
        <v>92</v>
      </c>
      <c r="J628" s="211" t="s">
        <v>92</v>
      </c>
      <c r="K628" s="214">
        <f t="shared" ref="K628:K635" si="167">iferror(C628/B628,"-")</f>
        <v>1.035294118</v>
      </c>
      <c r="L628" s="219">
        <f t="shared" ref="L628:L635" si="168">(IF(K628="",(0),IF(K628&gt;=1,(5),IF(K628&gt;=0.9,(4),IF(K628&gt;=0.8,(3),IF(K628&gt;=0.69,(2),IF(K628&lt;=0.69,(1))))))))</f>
        <v>5</v>
      </c>
    </row>
    <row r="629" hidden="1" outlineLevel="2">
      <c r="A629" s="400" t="s">
        <v>118</v>
      </c>
      <c r="B629" s="401">
        <f>30+30+25+20+20+10</f>
        <v>135</v>
      </c>
      <c r="C629" s="401">
        <f t="shared" si="166"/>
        <v>125</v>
      </c>
      <c r="D629" s="402">
        <v>24.0</v>
      </c>
      <c r="E629" s="402">
        <v>30.0</v>
      </c>
      <c r="F629" s="402">
        <v>21.0</v>
      </c>
      <c r="G629" s="402">
        <v>21.0</v>
      </c>
      <c r="H629" s="402">
        <v>16.0</v>
      </c>
      <c r="I629" s="402" t="s">
        <v>92</v>
      </c>
      <c r="J629" s="211">
        <v>13.0</v>
      </c>
      <c r="K629" s="214">
        <f t="shared" si="167"/>
        <v>0.9259259259</v>
      </c>
      <c r="L629" s="219">
        <f t="shared" si="168"/>
        <v>4</v>
      </c>
    </row>
    <row r="630" hidden="1" outlineLevel="2">
      <c r="A630" s="403" t="s">
        <v>19</v>
      </c>
      <c r="B630" s="404">
        <f>30+30+30+30+20+10</f>
        <v>150</v>
      </c>
      <c r="C630" s="404">
        <f t="shared" si="166"/>
        <v>144</v>
      </c>
      <c r="D630" s="405">
        <v>27.0</v>
      </c>
      <c r="E630" s="405">
        <v>26.0</v>
      </c>
      <c r="F630" s="405" t="s">
        <v>92</v>
      </c>
      <c r="G630" s="405">
        <v>33.0</v>
      </c>
      <c r="H630" s="405">
        <v>31.0</v>
      </c>
      <c r="I630" s="405">
        <v>18.0</v>
      </c>
      <c r="J630" s="211">
        <v>9.0</v>
      </c>
      <c r="K630" s="214">
        <f t="shared" si="167"/>
        <v>0.96</v>
      </c>
      <c r="L630" s="219">
        <f t="shared" si="168"/>
        <v>4</v>
      </c>
    </row>
    <row r="631" hidden="1" outlineLevel="2">
      <c r="A631" s="400" t="s">
        <v>120</v>
      </c>
      <c r="B631" s="401">
        <f>15+20+10+15+5</f>
        <v>65</v>
      </c>
      <c r="C631" s="401">
        <f t="shared" si="166"/>
        <v>61</v>
      </c>
      <c r="D631" s="402">
        <v>17.0</v>
      </c>
      <c r="E631" s="402">
        <v>18.0</v>
      </c>
      <c r="F631" s="402">
        <v>9.0</v>
      </c>
      <c r="G631" s="402">
        <v>13.0</v>
      </c>
      <c r="H631" s="402" t="s">
        <v>92</v>
      </c>
      <c r="I631" s="402" t="s">
        <v>92</v>
      </c>
      <c r="J631" s="211">
        <v>4.0</v>
      </c>
      <c r="K631" s="214">
        <f t="shared" si="167"/>
        <v>0.9384615385</v>
      </c>
      <c r="L631" s="219">
        <f t="shared" si="168"/>
        <v>4</v>
      </c>
    </row>
    <row r="632" hidden="1" outlineLevel="2">
      <c r="A632" s="282" t="s">
        <v>22</v>
      </c>
      <c r="B632" s="407">
        <f>20+15+15</f>
        <v>50</v>
      </c>
      <c r="C632" s="404">
        <f t="shared" si="166"/>
        <v>48</v>
      </c>
      <c r="D632" s="405">
        <v>16.0</v>
      </c>
      <c r="E632" s="405">
        <v>16.0</v>
      </c>
      <c r="F632" s="405">
        <v>16.0</v>
      </c>
      <c r="G632" s="405" t="s">
        <v>92</v>
      </c>
      <c r="H632" s="405" t="s">
        <v>92</v>
      </c>
      <c r="I632" s="405" t="s">
        <v>197</v>
      </c>
      <c r="J632" s="211" t="s">
        <v>197</v>
      </c>
      <c r="K632" s="214">
        <f t="shared" si="167"/>
        <v>0.96</v>
      </c>
      <c r="L632" s="219">
        <f t="shared" si="168"/>
        <v>4</v>
      </c>
    </row>
    <row r="633" hidden="1" outlineLevel="2">
      <c r="A633" s="283" t="s">
        <v>129</v>
      </c>
      <c r="B633" s="401">
        <f>35+30+30+25+25</f>
        <v>145</v>
      </c>
      <c r="C633" s="401">
        <f t="shared" si="166"/>
        <v>134</v>
      </c>
      <c r="D633" s="402">
        <v>36.0</v>
      </c>
      <c r="E633" s="402" t="s">
        <v>92</v>
      </c>
      <c r="F633" s="402">
        <v>27.0</v>
      </c>
      <c r="G633" s="402">
        <v>26.0</v>
      </c>
      <c r="H633" s="402">
        <v>23.0</v>
      </c>
      <c r="I633" s="402">
        <v>22.0</v>
      </c>
      <c r="J633" s="211" t="s">
        <v>92</v>
      </c>
      <c r="K633" s="214">
        <f t="shared" si="167"/>
        <v>0.924137931</v>
      </c>
      <c r="L633" s="219">
        <f t="shared" si="168"/>
        <v>4</v>
      </c>
    </row>
    <row r="634" hidden="1" outlineLevel="2">
      <c r="A634" s="284" t="s">
        <v>13</v>
      </c>
      <c r="B634" s="407">
        <f>25+20+20+15+10</f>
        <v>90</v>
      </c>
      <c r="C634" s="404">
        <f t="shared" si="166"/>
        <v>85</v>
      </c>
      <c r="D634" s="405" t="s">
        <v>92</v>
      </c>
      <c r="E634" s="405" t="s">
        <v>92</v>
      </c>
      <c r="F634" s="405">
        <v>22.0</v>
      </c>
      <c r="G634" s="405">
        <v>17.0</v>
      </c>
      <c r="H634" s="405">
        <v>21.0</v>
      </c>
      <c r="I634" s="405">
        <v>13.0</v>
      </c>
      <c r="J634" s="224">
        <v>12.0</v>
      </c>
      <c r="K634" s="214">
        <f t="shared" si="167"/>
        <v>0.9444444444</v>
      </c>
      <c r="L634" s="219">
        <f t="shared" si="168"/>
        <v>4</v>
      </c>
    </row>
    <row r="635" hidden="1" outlineLevel="2">
      <c r="A635" s="283" t="s">
        <v>428</v>
      </c>
      <c r="B635" s="406">
        <f>25+20+15+15+20+15</f>
        <v>110</v>
      </c>
      <c r="C635" s="401">
        <f t="shared" si="166"/>
        <v>107</v>
      </c>
      <c r="D635" s="402">
        <v>21.0</v>
      </c>
      <c r="E635" s="402">
        <v>20.0</v>
      </c>
      <c r="F635" s="402">
        <v>17.0</v>
      </c>
      <c r="G635" s="402">
        <v>16.0</v>
      </c>
      <c r="H635" s="402">
        <v>20.0</v>
      </c>
      <c r="I635" s="402">
        <v>13.0</v>
      </c>
      <c r="J635" s="211" t="s">
        <v>92</v>
      </c>
      <c r="K635" s="214">
        <f t="shared" si="167"/>
        <v>0.9727272727</v>
      </c>
      <c r="L635" s="219">
        <f t="shared" si="168"/>
        <v>4</v>
      </c>
    </row>
    <row r="636" hidden="1" outlineLevel="2"/>
    <row r="637" hidden="1" outlineLevel="2">
      <c r="A637" s="195" t="s">
        <v>135</v>
      </c>
      <c r="I637" s="195"/>
    </row>
    <row r="638" hidden="1" outlineLevel="2">
      <c r="A638" s="196" t="s">
        <v>187</v>
      </c>
      <c r="B638" s="225" t="s">
        <v>218</v>
      </c>
      <c r="C638" s="225" t="s">
        <v>219</v>
      </c>
      <c r="D638" s="225" t="s">
        <v>139</v>
      </c>
      <c r="E638" s="225" t="s">
        <v>140</v>
      </c>
      <c r="F638" s="225" t="s">
        <v>141</v>
      </c>
      <c r="G638" s="226" t="s">
        <v>143</v>
      </c>
      <c r="H638" s="226" t="s">
        <v>221</v>
      </c>
    </row>
    <row r="639" hidden="1" outlineLevel="2">
      <c r="A639" s="415"/>
      <c r="B639" s="325"/>
      <c r="C639" s="325"/>
      <c r="D639" s="325"/>
      <c r="E639" s="325"/>
      <c r="F639" s="325"/>
      <c r="G639" s="325"/>
      <c r="H639" s="325"/>
    </row>
    <row r="640" hidden="1" outlineLevel="2">
      <c r="A640" s="403" t="s">
        <v>194</v>
      </c>
      <c r="B640" s="405">
        <v>93.0</v>
      </c>
      <c r="C640" s="405">
        <v>88.0</v>
      </c>
      <c r="D640" s="410">
        <f t="shared" ref="D640:D647" si="169">B640-C640</f>
        <v>5</v>
      </c>
      <c r="E640" s="411">
        <f t="shared" ref="E640:E647" si="170">IFERROR(C640/B640,"")</f>
        <v>0.9462365591</v>
      </c>
      <c r="F640" s="412">
        <v>0.0021412037037037038</v>
      </c>
      <c r="G640" s="240">
        <f t="shared" ref="G640:G647" si="171">IFERROR((IF(E640="",(0),IF(E640&gt;=0.98,(5),IF(E640&gt;=0.95,(4.5),IF(E640&gt;=0.9,(4),IF(E640&gt;=0.8,(3),IF(E640&lt;=0.69,(1)))))))),"")</f>
        <v>4</v>
      </c>
      <c r="H640" s="240">
        <f>ROUND(
IF(F640="",
0,
MAX(1, 5 - MAX(0, (F640 - TIME(0,4,0)) / TIME(0,1,0) * 0.5))
),
2
)
</f>
        <v>5</v>
      </c>
    </row>
    <row r="641" hidden="1" outlineLevel="2">
      <c r="A641" s="400" t="s">
        <v>118</v>
      </c>
      <c r="B641" s="402">
        <v>127.0</v>
      </c>
      <c r="C641" s="402">
        <v>126.0</v>
      </c>
      <c r="D641" s="136">
        <f t="shared" si="169"/>
        <v>1</v>
      </c>
      <c r="E641" s="408">
        <f t="shared" si="170"/>
        <v>0.9921259843</v>
      </c>
      <c r="F641" s="409">
        <v>0.0038541666666666668</v>
      </c>
      <c r="G641" s="240">
        <f t="shared" si="171"/>
        <v>5</v>
      </c>
      <c r="H641" s="240">
        <f>ROUND(
IF(F641="",
0,
MAX(1, 5 - MAX(0, (F641 - TIME(0,5,0)) / TIME(0,1,0) * 0.5))
),
2
)
</f>
        <v>4.73</v>
      </c>
    </row>
    <row r="642" hidden="1" outlineLevel="2">
      <c r="A642" s="403" t="s">
        <v>19</v>
      </c>
      <c r="B642" s="405">
        <v>148.0</v>
      </c>
      <c r="C642" s="405">
        <v>144.0</v>
      </c>
      <c r="D642" s="410">
        <f t="shared" si="169"/>
        <v>4</v>
      </c>
      <c r="E642" s="411">
        <f t="shared" si="170"/>
        <v>0.972972973</v>
      </c>
      <c r="F642" s="412">
        <v>0.0035069444444444445</v>
      </c>
      <c r="G642" s="240">
        <f t="shared" si="171"/>
        <v>4.5</v>
      </c>
      <c r="H642" s="240">
        <f>ROUND(
IF(F642="",
0,
MAX(1, 5 - MAX(0, (F642 - TIME(0,4,0)) / TIME(0,1,0) * 0.5))
),
2
)
</f>
        <v>4.48</v>
      </c>
    </row>
    <row r="643" hidden="1" outlineLevel="2">
      <c r="A643" s="400" t="s">
        <v>120</v>
      </c>
      <c r="B643" s="402">
        <v>63.0</v>
      </c>
      <c r="C643" s="402">
        <v>61.0</v>
      </c>
      <c r="D643" s="136">
        <f t="shared" si="169"/>
        <v>2</v>
      </c>
      <c r="E643" s="408">
        <f t="shared" si="170"/>
        <v>0.9682539683</v>
      </c>
      <c r="F643" s="409">
        <v>0.003414351851851852</v>
      </c>
      <c r="G643" s="240">
        <f t="shared" si="171"/>
        <v>4.5</v>
      </c>
      <c r="H643" s="240">
        <f>ROUND(
IF(F643="",
0,
MAX(1, 5 - MAX(0, (F643 - TIME(0,5,0)) / TIME(0,1,0) * 0.5))
),
2
)
</f>
        <v>5</v>
      </c>
    </row>
    <row r="644" hidden="1" outlineLevel="2">
      <c r="A644" s="282" t="s">
        <v>22</v>
      </c>
      <c r="B644" s="405">
        <v>49.0</v>
      </c>
      <c r="C644" s="405">
        <v>47.0</v>
      </c>
      <c r="D644" s="410">
        <f t="shared" si="169"/>
        <v>2</v>
      </c>
      <c r="E644" s="411">
        <f t="shared" si="170"/>
        <v>0.9591836735</v>
      </c>
      <c r="F644" s="412">
        <v>0.002476851851851852</v>
      </c>
      <c r="G644" s="240">
        <f t="shared" si="171"/>
        <v>4.5</v>
      </c>
      <c r="H644" s="240">
        <f>ROUND(
IF(F644="",
0,
MAX(1, 5 - MAX(0, (F644 - TIME(0,4,0)) / TIME(0,1,0) * 0.5))
),
2
)
</f>
        <v>5</v>
      </c>
    </row>
    <row r="645" hidden="1" outlineLevel="2">
      <c r="A645" s="283" t="s">
        <v>129</v>
      </c>
      <c r="B645" s="402">
        <v>134.0</v>
      </c>
      <c r="C645" s="402">
        <v>134.0</v>
      </c>
      <c r="D645" s="136">
        <f t="shared" si="169"/>
        <v>0</v>
      </c>
      <c r="E645" s="408">
        <f t="shared" si="170"/>
        <v>1</v>
      </c>
      <c r="F645" s="409">
        <v>0.0038773148148148148</v>
      </c>
      <c r="G645" s="240">
        <f t="shared" si="171"/>
        <v>5</v>
      </c>
      <c r="H645" s="240">
        <f t="shared" ref="H645:H647" si="172">ROUND(
IF(F645="",
0,
MAX(1, 5 - MAX(0, (F645 - TIME(0,5,0)) / TIME(0,1,0) * 0.5))
),
2
)
</f>
        <v>4.71</v>
      </c>
    </row>
    <row r="646" hidden="1" outlineLevel="2">
      <c r="A646" s="284" t="s">
        <v>13</v>
      </c>
      <c r="B646" s="405">
        <v>86.0</v>
      </c>
      <c r="C646" s="405">
        <v>85.0</v>
      </c>
      <c r="D646" s="410">
        <f t="shared" si="169"/>
        <v>1</v>
      </c>
      <c r="E646" s="411">
        <f t="shared" si="170"/>
        <v>0.988372093</v>
      </c>
      <c r="F646" s="412">
        <v>0.004270833333333333</v>
      </c>
      <c r="G646" s="240">
        <f t="shared" si="171"/>
        <v>5</v>
      </c>
      <c r="H646" s="240">
        <f t="shared" si="172"/>
        <v>4.43</v>
      </c>
    </row>
    <row r="647" hidden="1" outlineLevel="2">
      <c r="A647" s="283" t="s">
        <v>428</v>
      </c>
      <c r="B647" s="402">
        <v>107.0</v>
      </c>
      <c r="C647" s="402">
        <v>107.0</v>
      </c>
      <c r="D647" s="136">
        <f t="shared" si="169"/>
        <v>0</v>
      </c>
      <c r="E647" s="408">
        <f t="shared" si="170"/>
        <v>1</v>
      </c>
      <c r="F647" s="409">
        <v>0.004907407407407407</v>
      </c>
      <c r="G647" s="240">
        <f t="shared" si="171"/>
        <v>5</v>
      </c>
      <c r="H647" s="240">
        <f t="shared" si="172"/>
        <v>3.97</v>
      </c>
    </row>
    <row r="648" hidden="1" outlineLevel="2"/>
    <row r="649" hidden="1" outlineLevel="2">
      <c r="A649" s="195" t="s">
        <v>239</v>
      </c>
    </row>
    <row r="650" hidden="1" outlineLevel="2">
      <c r="A650" s="260" t="s">
        <v>240</v>
      </c>
      <c r="B650" s="262" t="s">
        <v>241</v>
      </c>
      <c r="C650" s="264" t="s">
        <v>242</v>
      </c>
      <c r="D650" s="264" t="s">
        <v>243</v>
      </c>
      <c r="E650" s="265" t="s">
        <v>244</v>
      </c>
      <c r="F650" s="267" t="s">
        <v>247</v>
      </c>
      <c r="G650" s="268"/>
    </row>
    <row r="651" hidden="1" outlineLevel="2">
      <c r="A651" s="275" t="s">
        <v>25</v>
      </c>
      <c r="B651" s="276" t="str">
        <f t="shared" ref="B651:B658" si="173">(C651*0.3)+(D651*0.1)</f>
        <v>#REF!</v>
      </c>
      <c r="C651" s="272">
        <v>1.0</v>
      </c>
      <c r="D651" s="272" t="str">
        <f t="shared" ref="D651:D656" si="174">#REF!</f>
        <v>#REF!</v>
      </c>
      <c r="E651" s="277">
        <f t="shared" ref="E651:E658" si="175">(L628+G640+H640)/15*0.3</f>
        <v>0.28</v>
      </c>
      <c r="F651" s="274">
        <f t="shared" ref="F651:F658" si="176">(E651/30%)*10</f>
        <v>9.333333333</v>
      </c>
      <c r="G651" s="268"/>
      <c r="H651" s="268"/>
      <c r="I651" s="268"/>
      <c r="J651" s="268"/>
    </row>
    <row r="652" hidden="1" outlineLevel="2">
      <c r="A652" s="278" t="s">
        <v>4</v>
      </c>
      <c r="B652" s="279" t="str">
        <f t="shared" si="173"/>
        <v>#REF!</v>
      </c>
      <c r="C652" s="272">
        <v>1.0</v>
      </c>
      <c r="D652" s="272" t="str">
        <f t="shared" si="174"/>
        <v>#REF!</v>
      </c>
      <c r="E652" s="281">
        <f t="shared" si="175"/>
        <v>0.2746</v>
      </c>
      <c r="F652" s="274">
        <f t="shared" si="176"/>
        <v>9.153333333</v>
      </c>
      <c r="G652" s="268"/>
      <c r="H652" s="268"/>
      <c r="I652" s="268"/>
      <c r="J652" s="268"/>
    </row>
    <row r="653" hidden="1" outlineLevel="2">
      <c r="A653" s="275" t="s">
        <v>19</v>
      </c>
      <c r="B653" s="276" t="str">
        <f t="shared" si="173"/>
        <v>#REF!</v>
      </c>
      <c r="C653" s="272">
        <v>0.9</v>
      </c>
      <c r="D653" s="280" t="str">
        <f t="shared" si="174"/>
        <v>#REF!</v>
      </c>
      <c r="E653" s="277">
        <f t="shared" si="175"/>
        <v>0.2596</v>
      </c>
      <c r="F653" s="274">
        <f t="shared" si="176"/>
        <v>8.653333333</v>
      </c>
      <c r="G653" s="268"/>
      <c r="H653" s="268"/>
      <c r="I653" s="268"/>
      <c r="J653" s="268"/>
    </row>
    <row r="654" hidden="1" outlineLevel="2">
      <c r="A654" s="278" t="s">
        <v>30</v>
      </c>
      <c r="B654" s="279" t="str">
        <f t="shared" si="173"/>
        <v>#REF!</v>
      </c>
      <c r="C654" s="272">
        <v>1.0</v>
      </c>
      <c r="D654" s="280" t="str">
        <f t="shared" si="174"/>
        <v>#REF!</v>
      </c>
      <c r="E654" s="281">
        <f t="shared" si="175"/>
        <v>0.27</v>
      </c>
      <c r="F654" s="274">
        <f t="shared" si="176"/>
        <v>9</v>
      </c>
      <c r="G654" s="268"/>
      <c r="H654" s="268"/>
      <c r="I654" s="268"/>
      <c r="J654" s="268"/>
    </row>
    <row r="655" hidden="1" outlineLevel="2">
      <c r="A655" s="301" t="s">
        <v>31</v>
      </c>
      <c r="B655" s="276" t="str">
        <f t="shared" si="173"/>
        <v>#REF!</v>
      </c>
      <c r="C655" s="272">
        <v>0.7</v>
      </c>
      <c r="D655" s="280" t="str">
        <f t="shared" si="174"/>
        <v>#REF!</v>
      </c>
      <c r="E655" s="277">
        <f t="shared" si="175"/>
        <v>0.27</v>
      </c>
      <c r="F655" s="274">
        <f t="shared" si="176"/>
        <v>9</v>
      </c>
      <c r="G655" s="268"/>
      <c r="H655" s="268"/>
      <c r="I655" s="268"/>
      <c r="J655" s="268"/>
    </row>
    <row r="656" hidden="1" outlineLevel="2">
      <c r="A656" s="284" t="s">
        <v>129</v>
      </c>
      <c r="B656" s="279" t="str">
        <f t="shared" si="173"/>
        <v>#REF!</v>
      </c>
      <c r="C656" s="272">
        <v>1.0</v>
      </c>
      <c r="D656" s="280" t="str">
        <f t="shared" si="174"/>
        <v>#REF!</v>
      </c>
      <c r="E656" s="281">
        <f t="shared" si="175"/>
        <v>0.2742</v>
      </c>
      <c r="F656" s="274">
        <f t="shared" si="176"/>
        <v>9.14</v>
      </c>
      <c r="G656" s="268"/>
      <c r="H656" s="268"/>
      <c r="I656" s="268"/>
      <c r="J656" s="268"/>
    </row>
    <row r="657" hidden="1" outlineLevel="2">
      <c r="A657" s="283" t="s">
        <v>13</v>
      </c>
      <c r="B657" s="276">
        <f t="shared" si="173"/>
        <v>0.4</v>
      </c>
      <c r="C657" s="272">
        <v>1.0</v>
      </c>
      <c r="D657" s="280">
        <f>Lyra!D269</f>
        <v>1</v>
      </c>
      <c r="E657" s="277">
        <f t="shared" si="175"/>
        <v>0.2686</v>
      </c>
      <c r="F657" s="274">
        <f t="shared" si="176"/>
        <v>8.953333333</v>
      </c>
      <c r="G657" s="268"/>
      <c r="H657" s="268"/>
      <c r="I657" s="268"/>
      <c r="J657" s="268"/>
    </row>
    <row r="658" hidden="1" outlineLevel="2">
      <c r="A658" s="284" t="s">
        <v>428</v>
      </c>
      <c r="B658" s="279">
        <f t="shared" si="173"/>
        <v>0.4</v>
      </c>
      <c r="C658" s="272">
        <v>1.0</v>
      </c>
      <c r="D658" s="280">
        <f>Mikka!D214</f>
        <v>1</v>
      </c>
      <c r="E658" s="281">
        <f t="shared" si="175"/>
        <v>0.2594</v>
      </c>
      <c r="F658" s="274">
        <f t="shared" si="176"/>
        <v>8.646666667</v>
      </c>
      <c r="G658" s="268"/>
      <c r="H658" s="268"/>
      <c r="I658" s="268"/>
      <c r="J658" s="268"/>
    </row>
    <row r="659" hidden="1" outlineLevel="2">
      <c r="A659" s="286"/>
      <c r="B659" s="286"/>
      <c r="C659" s="287"/>
      <c r="D659" s="288"/>
      <c r="E659" s="289"/>
      <c r="F659" s="268"/>
      <c r="G659" s="268"/>
      <c r="H659" s="268"/>
      <c r="I659" s="268"/>
      <c r="J659" s="268"/>
    </row>
    <row r="660" hidden="1" outlineLevel="2">
      <c r="A660" s="195" t="s">
        <v>269</v>
      </c>
      <c r="B660" s="286"/>
      <c r="C660" s="287"/>
      <c r="D660" s="288"/>
      <c r="E660" s="289"/>
      <c r="F660" s="268"/>
      <c r="G660" s="268"/>
      <c r="H660" s="268"/>
      <c r="I660" s="268"/>
      <c r="J660" s="268"/>
    </row>
    <row r="661" hidden="1" outlineLevel="2">
      <c r="A661" s="290" t="s">
        <v>240</v>
      </c>
      <c r="B661" s="291" t="s">
        <v>270</v>
      </c>
      <c r="C661" s="198">
        <v>46146.0</v>
      </c>
      <c r="D661" s="198">
        <v>46147.0</v>
      </c>
      <c r="E661" s="198">
        <v>46148.0</v>
      </c>
      <c r="F661" s="198">
        <v>46149.0</v>
      </c>
      <c r="G661" s="198">
        <v>46150.0</v>
      </c>
      <c r="H661" s="198">
        <v>46151.0</v>
      </c>
      <c r="I661" s="198">
        <v>46152.0</v>
      </c>
      <c r="J661" s="268"/>
    </row>
    <row r="662" hidden="1" outlineLevel="2">
      <c r="A662" s="292"/>
      <c r="B662" s="292"/>
      <c r="C662" s="205" t="s">
        <v>192</v>
      </c>
      <c r="D662" s="205" t="s">
        <v>272</v>
      </c>
      <c r="E662" s="205" t="s">
        <v>273</v>
      </c>
      <c r="F662" s="205" t="s">
        <v>274</v>
      </c>
      <c r="G662" s="205" t="s">
        <v>275</v>
      </c>
      <c r="H662" s="205" t="s">
        <v>276</v>
      </c>
      <c r="I662" s="205" t="s">
        <v>277</v>
      </c>
    </row>
    <row r="663" hidden="1" outlineLevel="2">
      <c r="A663" s="275" t="s">
        <v>25</v>
      </c>
      <c r="B663" s="293">
        <f t="shared" ref="B663:B670" si="177">Sum(C663:I663)</f>
        <v>0</v>
      </c>
      <c r="C663" s="295"/>
      <c r="D663" s="294"/>
      <c r="E663" s="294"/>
      <c r="F663" s="294"/>
      <c r="G663" s="295"/>
      <c r="H663" s="295"/>
      <c r="I663" s="295"/>
    </row>
    <row r="664" hidden="1" outlineLevel="2">
      <c r="A664" s="278" t="s">
        <v>4</v>
      </c>
      <c r="B664" s="293">
        <f t="shared" si="177"/>
        <v>8</v>
      </c>
      <c r="C664" s="296"/>
      <c r="D664" s="296"/>
      <c r="E664" s="296"/>
      <c r="F664" s="296"/>
      <c r="G664" s="296"/>
      <c r="H664" s="297"/>
      <c r="I664" s="296">
        <v>8.0</v>
      </c>
    </row>
    <row r="665" hidden="1" outlineLevel="2">
      <c r="A665" s="275" t="s">
        <v>19</v>
      </c>
      <c r="B665" s="293">
        <f t="shared" si="177"/>
        <v>8</v>
      </c>
      <c r="C665" s="295"/>
      <c r="D665" s="294"/>
      <c r="E665" s="295"/>
      <c r="F665" s="295"/>
      <c r="G665" s="295"/>
      <c r="H665" s="295">
        <v>8.0</v>
      </c>
      <c r="I665" s="294"/>
    </row>
    <row r="666" hidden="1" outlineLevel="2">
      <c r="A666" s="278" t="s">
        <v>30</v>
      </c>
      <c r="B666" s="293">
        <f t="shared" si="177"/>
        <v>0</v>
      </c>
      <c r="C666" s="296"/>
      <c r="D666" s="296"/>
      <c r="E666" s="296"/>
      <c r="F666" s="296"/>
      <c r="G666" s="296"/>
      <c r="H666" s="296"/>
      <c r="I666" s="297"/>
    </row>
    <row r="667" hidden="1" outlineLevel="2">
      <c r="A667" s="301" t="s">
        <v>31</v>
      </c>
      <c r="B667" s="293">
        <f t="shared" si="177"/>
        <v>0</v>
      </c>
      <c r="C667" s="295"/>
      <c r="D667" s="295"/>
      <c r="E667" s="295"/>
      <c r="F667" s="295"/>
      <c r="G667" s="295"/>
      <c r="H667" s="295"/>
      <c r="I667" s="294"/>
    </row>
    <row r="668" ht="16.5" hidden="1" customHeight="1" outlineLevel="2">
      <c r="A668" s="284" t="s">
        <v>129</v>
      </c>
      <c r="B668" s="293">
        <f t="shared" si="177"/>
        <v>0</v>
      </c>
      <c r="C668" s="296"/>
      <c r="D668" s="296"/>
      <c r="E668" s="296"/>
      <c r="F668" s="296"/>
      <c r="G668" s="296"/>
      <c r="H668" s="296"/>
      <c r="I668" s="296"/>
    </row>
    <row r="669" hidden="1" outlineLevel="2">
      <c r="A669" s="283" t="s">
        <v>13</v>
      </c>
      <c r="B669" s="293">
        <f t="shared" si="177"/>
        <v>0</v>
      </c>
      <c r="C669" s="294"/>
      <c r="D669" s="294"/>
      <c r="E669" s="295"/>
      <c r="F669" s="295"/>
      <c r="G669" s="295"/>
      <c r="H669" s="295"/>
      <c r="I669" s="294"/>
    </row>
    <row r="670" hidden="1" outlineLevel="2">
      <c r="A670" s="284" t="s">
        <v>64</v>
      </c>
      <c r="B670" s="293">
        <f t="shared" si="177"/>
        <v>8</v>
      </c>
      <c r="C670" s="297"/>
      <c r="D670" s="297"/>
      <c r="E670" s="296"/>
      <c r="F670" s="297"/>
      <c r="G670" s="296"/>
      <c r="H670" s="296">
        <v>8.0</v>
      </c>
      <c r="I670" s="297"/>
    </row>
    <row r="671" hidden="1" outlineLevel="2">
      <c r="A671" s="286"/>
      <c r="B671" s="286"/>
      <c r="C671" s="286"/>
      <c r="D671" s="286"/>
      <c r="E671" s="286"/>
      <c r="F671" s="286"/>
      <c r="G671" s="286"/>
      <c r="H671" s="286"/>
      <c r="I671" s="286"/>
    </row>
    <row r="672" hidden="1" outlineLevel="1" collapsed="1">
      <c r="A672" s="192" t="s">
        <v>855</v>
      </c>
    </row>
    <row r="673" hidden="1" outlineLevel="2">
      <c r="A673" s="195" t="s">
        <v>186</v>
      </c>
    </row>
    <row r="674" hidden="1" outlineLevel="2">
      <c r="A674" s="196" t="s">
        <v>187</v>
      </c>
      <c r="B674" s="197" t="s">
        <v>77</v>
      </c>
      <c r="C674" s="197" t="s">
        <v>189</v>
      </c>
      <c r="D674" s="198">
        <v>46153.0</v>
      </c>
      <c r="E674" s="198">
        <v>46154.0</v>
      </c>
      <c r="F674" s="198">
        <v>46155.0</v>
      </c>
      <c r="G674" s="198">
        <v>46156.0</v>
      </c>
      <c r="H674" s="198">
        <v>46157.0</v>
      </c>
      <c r="I674" s="198">
        <v>46158.0</v>
      </c>
      <c r="J674" s="198">
        <v>46159.0</v>
      </c>
      <c r="K674" s="199" t="s">
        <v>190</v>
      </c>
      <c r="L674" s="201" t="s">
        <v>191</v>
      </c>
    </row>
    <row r="675" hidden="1" outlineLevel="2">
      <c r="A675" s="415"/>
      <c r="B675" s="325"/>
      <c r="C675" s="325"/>
      <c r="D675" s="205" t="s">
        <v>192</v>
      </c>
      <c r="E675" s="205" t="str">
        <f t="shared" ref="E675:J675" si="178">text(E674,"ddd")</f>
        <v>Tue</v>
      </c>
      <c r="F675" s="205" t="str">
        <f t="shared" si="178"/>
        <v>Wed</v>
      </c>
      <c r="G675" s="205" t="str">
        <f t="shared" si="178"/>
        <v>Thu</v>
      </c>
      <c r="H675" s="205" t="str">
        <f t="shared" si="178"/>
        <v>Fri</v>
      </c>
      <c r="I675" s="205" t="str">
        <f t="shared" si="178"/>
        <v>Sat</v>
      </c>
      <c r="J675" s="205" t="str">
        <f t="shared" si="178"/>
        <v>Sun</v>
      </c>
      <c r="K675" s="206"/>
      <c r="L675" s="203"/>
    </row>
    <row r="676" hidden="1" outlineLevel="2">
      <c r="A676" s="403" t="s">
        <v>194</v>
      </c>
      <c r="B676" s="404">
        <f>15+15+7+10+20</f>
        <v>67</v>
      </c>
      <c r="C676" s="404">
        <f t="shared" ref="C676:C683" si="179">SUM(D676:J676)</f>
        <v>71</v>
      </c>
      <c r="D676" s="405">
        <v>17.0</v>
      </c>
      <c r="E676" s="405">
        <v>17.0</v>
      </c>
      <c r="F676" s="405">
        <v>7.0</v>
      </c>
      <c r="G676" s="405">
        <v>9.0</v>
      </c>
      <c r="H676" s="405">
        <v>21.0</v>
      </c>
      <c r="I676" s="405" t="s">
        <v>92</v>
      </c>
      <c r="J676" s="211" t="s">
        <v>92</v>
      </c>
      <c r="K676" s="214">
        <f t="shared" ref="K676:K683" si="180">iferror(C676/B676,"-")</f>
        <v>1.059701493</v>
      </c>
      <c r="L676" s="219">
        <f t="shared" ref="L676:L683" si="181">(IF(K676="",(0),IF(K676&gt;=1,(5),IF(K676&gt;=0.9,(4),IF(K676&gt;=0.8,(3),IF(K676&gt;=0.69,(2),IF(K676&lt;=0.69,(1))))))))</f>
        <v>5</v>
      </c>
    </row>
    <row r="677" hidden="1" outlineLevel="2">
      <c r="A677" s="400" t="s">
        <v>118</v>
      </c>
      <c r="B677" s="401">
        <f>30+25+5</f>
        <v>60</v>
      </c>
      <c r="C677" s="401">
        <f t="shared" si="179"/>
        <v>60</v>
      </c>
      <c r="D677" s="417">
        <v>30.0</v>
      </c>
      <c r="E677" s="402">
        <v>26.0</v>
      </c>
      <c r="F677" s="402" t="s">
        <v>197</v>
      </c>
      <c r="G677" s="402" t="s">
        <v>197</v>
      </c>
      <c r="H677" s="402" t="s">
        <v>92</v>
      </c>
      <c r="I677" s="402" t="s">
        <v>92</v>
      </c>
      <c r="J677" s="211">
        <v>4.0</v>
      </c>
      <c r="K677" s="214">
        <f t="shared" si="180"/>
        <v>1</v>
      </c>
      <c r="L677" s="219">
        <f t="shared" si="181"/>
        <v>5</v>
      </c>
    </row>
    <row r="678" hidden="1" outlineLevel="2">
      <c r="A678" s="403" t="s">
        <v>19</v>
      </c>
      <c r="B678" s="404">
        <f>20+20+20+20+15</f>
        <v>95</v>
      </c>
      <c r="C678" s="404">
        <f t="shared" si="179"/>
        <v>93</v>
      </c>
      <c r="D678" s="405">
        <v>18.0</v>
      </c>
      <c r="E678" s="405">
        <v>21.0</v>
      </c>
      <c r="F678" s="405">
        <v>18.0</v>
      </c>
      <c r="G678" s="405">
        <v>21.0</v>
      </c>
      <c r="H678" s="405" t="s">
        <v>92</v>
      </c>
      <c r="I678" s="405" t="s">
        <v>92</v>
      </c>
      <c r="J678" s="211">
        <v>15.0</v>
      </c>
      <c r="K678" s="214">
        <f t="shared" si="180"/>
        <v>0.9789473684</v>
      </c>
      <c r="L678" s="219">
        <f t="shared" si="181"/>
        <v>4</v>
      </c>
    </row>
    <row r="679" hidden="1" outlineLevel="2">
      <c r="A679" s="400" t="s">
        <v>120</v>
      </c>
      <c r="B679" s="401">
        <f>20+15+20+15+15+5</f>
        <v>90</v>
      </c>
      <c r="C679" s="401">
        <f t="shared" si="179"/>
        <v>90</v>
      </c>
      <c r="D679" s="402">
        <v>20.0</v>
      </c>
      <c r="E679" s="402">
        <v>17.0</v>
      </c>
      <c r="F679" s="402">
        <v>18.0</v>
      </c>
      <c r="G679" s="402">
        <v>10.0</v>
      </c>
      <c r="H679" s="402" t="s">
        <v>92</v>
      </c>
      <c r="I679" s="402">
        <v>17.0</v>
      </c>
      <c r="J679" s="211">
        <v>8.0</v>
      </c>
      <c r="K679" s="214">
        <f t="shared" si="180"/>
        <v>1</v>
      </c>
      <c r="L679" s="219">
        <f t="shared" si="181"/>
        <v>5</v>
      </c>
    </row>
    <row r="680" hidden="1" outlineLevel="2">
      <c r="A680" s="282" t="s">
        <v>22</v>
      </c>
      <c r="B680" s="407">
        <f>15+10+15+15+10</f>
        <v>65</v>
      </c>
      <c r="C680" s="404">
        <f t="shared" si="179"/>
        <v>63</v>
      </c>
      <c r="D680" s="405" t="s">
        <v>92</v>
      </c>
      <c r="E680" s="405" t="s">
        <v>92</v>
      </c>
      <c r="F680" s="405">
        <v>13.0</v>
      </c>
      <c r="G680" s="405">
        <v>10.0</v>
      </c>
      <c r="H680" s="405">
        <v>13.0</v>
      </c>
      <c r="I680" s="405">
        <v>16.0</v>
      </c>
      <c r="J680" s="211">
        <v>11.0</v>
      </c>
      <c r="K680" s="214">
        <f t="shared" si="180"/>
        <v>0.9692307692</v>
      </c>
      <c r="L680" s="219">
        <f t="shared" si="181"/>
        <v>4</v>
      </c>
    </row>
    <row r="681" hidden="1" outlineLevel="2">
      <c r="A681" s="283" t="s">
        <v>129</v>
      </c>
      <c r="B681" s="401">
        <f>30+30+30+30+25</f>
        <v>145</v>
      </c>
      <c r="C681" s="401">
        <f t="shared" si="179"/>
        <v>138</v>
      </c>
      <c r="D681" s="402">
        <v>29.0</v>
      </c>
      <c r="E681" s="402">
        <v>27.0</v>
      </c>
      <c r="F681" s="402">
        <v>31.0</v>
      </c>
      <c r="G681" s="402">
        <v>29.0</v>
      </c>
      <c r="H681" s="402">
        <v>22.0</v>
      </c>
      <c r="I681" s="402" t="s">
        <v>92</v>
      </c>
      <c r="J681" s="211" t="s">
        <v>92</v>
      </c>
      <c r="K681" s="214">
        <f t="shared" si="180"/>
        <v>0.9517241379</v>
      </c>
      <c r="L681" s="219">
        <f t="shared" si="181"/>
        <v>4</v>
      </c>
    </row>
    <row r="682" hidden="1" outlineLevel="2">
      <c r="A682" s="284" t="s">
        <v>13</v>
      </c>
      <c r="B682" s="407">
        <f>20+15+15+5+15</f>
        <v>70</v>
      </c>
      <c r="C682" s="404">
        <f t="shared" si="179"/>
        <v>49</v>
      </c>
      <c r="D682" s="405">
        <v>18.0</v>
      </c>
      <c r="E682" s="405" t="s">
        <v>92</v>
      </c>
      <c r="F682" s="405" t="s">
        <v>92</v>
      </c>
      <c r="G682" s="405">
        <v>15.0</v>
      </c>
      <c r="H682" s="405">
        <v>12.0</v>
      </c>
      <c r="I682" s="405" t="s">
        <v>196</v>
      </c>
      <c r="J682" s="224">
        <v>4.0</v>
      </c>
      <c r="K682" s="214">
        <f t="shared" si="180"/>
        <v>0.7</v>
      </c>
      <c r="L682" s="219">
        <f t="shared" si="181"/>
        <v>2</v>
      </c>
    </row>
    <row r="683" hidden="1" outlineLevel="2">
      <c r="A683" s="283" t="s">
        <v>428</v>
      </c>
      <c r="B683" s="406">
        <f>20+20+20+15+15</f>
        <v>90</v>
      </c>
      <c r="C683" s="401">
        <f t="shared" si="179"/>
        <v>88</v>
      </c>
      <c r="D683" s="402">
        <v>15.0</v>
      </c>
      <c r="E683" s="402">
        <v>23.0</v>
      </c>
      <c r="F683" s="402">
        <v>21.0</v>
      </c>
      <c r="G683" s="402">
        <v>16.0</v>
      </c>
      <c r="H683" s="402">
        <v>13.0</v>
      </c>
      <c r="I683" s="402" t="s">
        <v>92</v>
      </c>
      <c r="J683" s="211" t="s">
        <v>92</v>
      </c>
      <c r="K683" s="214">
        <f t="shared" si="180"/>
        <v>0.9777777778</v>
      </c>
      <c r="L683" s="219">
        <f t="shared" si="181"/>
        <v>4</v>
      </c>
    </row>
    <row r="684" hidden="1" outlineLevel="2"/>
    <row r="685" hidden="1" outlineLevel="2">
      <c r="A685" s="195" t="s">
        <v>135</v>
      </c>
      <c r="I685" s="195"/>
    </row>
    <row r="686" hidden="1" outlineLevel="2">
      <c r="A686" s="196" t="s">
        <v>187</v>
      </c>
      <c r="B686" s="225" t="s">
        <v>218</v>
      </c>
      <c r="C686" s="225" t="s">
        <v>219</v>
      </c>
      <c r="D686" s="225" t="s">
        <v>139</v>
      </c>
      <c r="E686" s="225" t="s">
        <v>140</v>
      </c>
      <c r="F686" s="225" t="s">
        <v>141</v>
      </c>
      <c r="G686" s="226" t="s">
        <v>143</v>
      </c>
      <c r="H686" s="226" t="s">
        <v>221</v>
      </c>
    </row>
    <row r="687" hidden="1" outlineLevel="2">
      <c r="A687" s="415"/>
      <c r="B687" s="325"/>
      <c r="C687" s="325"/>
      <c r="D687" s="325"/>
      <c r="E687" s="325"/>
      <c r="F687" s="325"/>
      <c r="G687" s="325"/>
      <c r="H687" s="325"/>
    </row>
    <row r="688" hidden="1" outlineLevel="2">
      <c r="A688" s="403" t="s">
        <v>194</v>
      </c>
      <c r="B688" s="405">
        <v>74.0</v>
      </c>
      <c r="C688" s="405">
        <v>71.0</v>
      </c>
      <c r="D688" s="410">
        <f t="shared" ref="D688:D695" si="182">B688-C688</f>
        <v>3</v>
      </c>
      <c r="E688" s="411">
        <f t="shared" ref="E688:E695" si="183">IFERROR(C688/B688,"")</f>
        <v>0.9594594595</v>
      </c>
      <c r="F688" s="412">
        <v>0.002210648148148148</v>
      </c>
      <c r="G688" s="240">
        <f t="shared" ref="G688:G695" si="184">IFERROR((IF(E688="",(0),IF(E688&gt;=0.98,(5),IF(E688&gt;=0.95,(4.5),IF(E688&gt;=0.9,(4),IF(E688&gt;=0.8,(3),IF(E688&lt;=0.69,(1)))))))),"")</f>
        <v>4.5</v>
      </c>
      <c r="H688" s="240">
        <f>ROUND(
IF(F688="",
0,
MAX(1, 5 - MAX(0, (F688 - TIME(0,4,0)) / TIME(0,1,0) * 0.5))
),
2
)
</f>
        <v>5</v>
      </c>
    </row>
    <row r="689" hidden="1" outlineLevel="2">
      <c r="A689" s="400" t="s">
        <v>118</v>
      </c>
      <c r="B689" s="402">
        <v>61.0</v>
      </c>
      <c r="C689" s="402">
        <v>60.0</v>
      </c>
      <c r="D689" s="136">
        <f t="shared" si="182"/>
        <v>1</v>
      </c>
      <c r="E689" s="408">
        <f t="shared" si="183"/>
        <v>0.9836065574</v>
      </c>
      <c r="F689" s="409">
        <v>0.003715277777777778</v>
      </c>
      <c r="G689" s="240">
        <f t="shared" si="184"/>
        <v>5</v>
      </c>
      <c r="H689" s="240">
        <f>ROUND(
IF(F689="",
0,
MAX(1, 5 - MAX(0, (F689 - TIME(0,5,0)) / TIME(0,1,0) * 0.5))
),
2
)
</f>
        <v>4.83</v>
      </c>
    </row>
    <row r="690" hidden="1" outlineLevel="2">
      <c r="A690" s="403" t="s">
        <v>19</v>
      </c>
      <c r="B690" s="405">
        <v>94.0</v>
      </c>
      <c r="C690" s="405">
        <v>92.0</v>
      </c>
      <c r="D690" s="410">
        <f t="shared" si="182"/>
        <v>2</v>
      </c>
      <c r="E690" s="411">
        <f t="shared" si="183"/>
        <v>0.9787234043</v>
      </c>
      <c r="F690" s="412">
        <v>0.003912037037037037</v>
      </c>
      <c r="G690" s="240">
        <f t="shared" si="184"/>
        <v>4.5</v>
      </c>
      <c r="H690" s="240">
        <f>ROUND(
IF(F690="",
0,
MAX(1, 5 - MAX(0, (F690 - TIME(0,4,0)) / TIME(0,1,0) * 0.5))
),
2
)
</f>
        <v>4.18</v>
      </c>
    </row>
    <row r="691" hidden="1" outlineLevel="2">
      <c r="A691" s="400" t="s">
        <v>120</v>
      </c>
      <c r="B691" s="402">
        <v>94.0</v>
      </c>
      <c r="C691" s="402">
        <v>90.0</v>
      </c>
      <c r="D691" s="136">
        <f t="shared" si="182"/>
        <v>4</v>
      </c>
      <c r="E691" s="408">
        <f t="shared" si="183"/>
        <v>0.9574468085</v>
      </c>
      <c r="F691" s="409">
        <v>0.0032407407407407406</v>
      </c>
      <c r="G691" s="240">
        <f t="shared" si="184"/>
        <v>4.5</v>
      </c>
      <c r="H691" s="240">
        <f>ROUND(
IF(F691="",
0,
MAX(1, 5 - MAX(0, (F691 - TIME(0,5,0)) / TIME(0,1,0) * 0.5))
),
2
)
</f>
        <v>5</v>
      </c>
    </row>
    <row r="692" hidden="1" outlineLevel="2">
      <c r="A692" s="282" t="s">
        <v>22</v>
      </c>
      <c r="B692" s="405">
        <v>65.0</v>
      </c>
      <c r="C692" s="405">
        <v>63.0</v>
      </c>
      <c r="D692" s="410">
        <f t="shared" si="182"/>
        <v>2</v>
      </c>
      <c r="E692" s="411">
        <f t="shared" si="183"/>
        <v>0.9692307692</v>
      </c>
      <c r="F692" s="412">
        <v>0.003263888888888889</v>
      </c>
      <c r="G692" s="240">
        <f t="shared" si="184"/>
        <v>4.5</v>
      </c>
      <c r="H692" s="240">
        <f>ROUND(
IF(F692="",
0,
MAX(1, 5 - MAX(0, (F692 - TIME(0,4,0)) / TIME(0,1,0) * 0.5))
),
2
)
</f>
        <v>4.65</v>
      </c>
    </row>
    <row r="693" hidden="1" outlineLevel="2">
      <c r="A693" s="283" t="s">
        <v>129</v>
      </c>
      <c r="B693" s="402">
        <v>138.0</v>
      </c>
      <c r="C693" s="402">
        <v>138.0</v>
      </c>
      <c r="D693" s="136">
        <f t="shared" si="182"/>
        <v>0</v>
      </c>
      <c r="E693" s="408">
        <f t="shared" si="183"/>
        <v>1</v>
      </c>
      <c r="F693" s="409">
        <v>0.0046875</v>
      </c>
      <c r="G693" s="240">
        <f t="shared" si="184"/>
        <v>5</v>
      </c>
      <c r="H693" s="240">
        <f t="shared" ref="H693:H695" si="185">ROUND(
IF(F693="",
0,
MAX(1, 5 - MAX(0, (F693 - TIME(0,5,0)) / TIME(0,1,0) * 0.5))
),
2
)
</f>
        <v>4.13</v>
      </c>
    </row>
    <row r="694" hidden="1" outlineLevel="2">
      <c r="A694" s="284" t="s">
        <v>13</v>
      </c>
      <c r="B694" s="405">
        <v>50.0</v>
      </c>
      <c r="C694" s="405">
        <v>49.0</v>
      </c>
      <c r="D694" s="410">
        <f t="shared" si="182"/>
        <v>1</v>
      </c>
      <c r="E694" s="411">
        <f t="shared" si="183"/>
        <v>0.98</v>
      </c>
      <c r="F694" s="412">
        <v>0.005046296296296296</v>
      </c>
      <c r="G694" s="240">
        <f t="shared" si="184"/>
        <v>5</v>
      </c>
      <c r="H694" s="240">
        <f t="shared" si="185"/>
        <v>3.87</v>
      </c>
    </row>
    <row r="695" hidden="1" outlineLevel="2">
      <c r="A695" s="283" t="s">
        <v>428</v>
      </c>
      <c r="B695" s="402">
        <v>89.0</v>
      </c>
      <c r="C695" s="402">
        <v>88.0</v>
      </c>
      <c r="D695" s="136">
        <f t="shared" si="182"/>
        <v>1</v>
      </c>
      <c r="E695" s="408">
        <f t="shared" si="183"/>
        <v>0.9887640449</v>
      </c>
      <c r="F695" s="409">
        <v>0.004050925925925926</v>
      </c>
      <c r="G695" s="240">
        <f t="shared" si="184"/>
        <v>5</v>
      </c>
      <c r="H695" s="240">
        <f t="shared" si="185"/>
        <v>4.58</v>
      </c>
    </row>
    <row r="696" hidden="1" outlineLevel="2"/>
    <row r="697" hidden="1" outlineLevel="2">
      <c r="A697" s="195" t="s">
        <v>239</v>
      </c>
    </row>
    <row r="698" hidden="1" outlineLevel="2">
      <c r="A698" s="260" t="s">
        <v>240</v>
      </c>
      <c r="B698" s="262" t="s">
        <v>241</v>
      </c>
      <c r="C698" s="264" t="s">
        <v>242</v>
      </c>
      <c r="D698" s="264" t="s">
        <v>243</v>
      </c>
      <c r="E698" s="265" t="s">
        <v>244</v>
      </c>
      <c r="F698" s="267" t="s">
        <v>247</v>
      </c>
      <c r="G698" s="268"/>
    </row>
    <row r="699" hidden="1" outlineLevel="2">
      <c r="A699" s="275" t="s">
        <v>25</v>
      </c>
      <c r="B699" s="276" t="str">
        <f t="shared" ref="B699:B706" si="186">(C699*0.3)+(D699*0.1)</f>
        <v>#REF!</v>
      </c>
      <c r="C699" s="272">
        <v>1.0</v>
      </c>
      <c r="D699" s="272" t="str">
        <f t="shared" ref="D699:D704" si="187">#REF!</f>
        <v>#REF!</v>
      </c>
      <c r="E699" s="277">
        <f t="shared" ref="E699:E706" si="188">(L676+G688+H688)/15*0.3</f>
        <v>0.29</v>
      </c>
      <c r="F699" s="274">
        <f t="shared" ref="F699:F706" si="189">(E699/30%)*10</f>
        <v>9.666666667</v>
      </c>
      <c r="G699" s="268"/>
      <c r="H699" s="268"/>
      <c r="I699" s="268"/>
      <c r="J699" s="268"/>
    </row>
    <row r="700" hidden="1" outlineLevel="2">
      <c r="A700" s="278" t="s">
        <v>4</v>
      </c>
      <c r="B700" s="279" t="str">
        <f t="shared" si="186"/>
        <v>#REF!</v>
      </c>
      <c r="C700" s="272">
        <v>1.0</v>
      </c>
      <c r="D700" s="272" t="str">
        <f t="shared" si="187"/>
        <v>#REF!</v>
      </c>
      <c r="E700" s="281">
        <f t="shared" si="188"/>
        <v>0.2966</v>
      </c>
      <c r="F700" s="274">
        <f t="shared" si="189"/>
        <v>9.886666667</v>
      </c>
      <c r="G700" s="268"/>
      <c r="H700" s="268"/>
      <c r="I700" s="268"/>
      <c r="J700" s="268"/>
    </row>
    <row r="701" hidden="1" outlineLevel="2">
      <c r="A701" s="275" t="s">
        <v>19</v>
      </c>
      <c r="B701" s="276" t="str">
        <f t="shared" si="186"/>
        <v>#REF!</v>
      </c>
      <c r="C701" s="272">
        <v>0.8667</v>
      </c>
      <c r="D701" s="280" t="str">
        <f t="shared" si="187"/>
        <v>#REF!</v>
      </c>
      <c r="E701" s="277">
        <f t="shared" si="188"/>
        <v>0.2536</v>
      </c>
      <c r="F701" s="274">
        <f t="shared" si="189"/>
        <v>8.453333333</v>
      </c>
      <c r="G701" s="268"/>
      <c r="H701" s="268"/>
      <c r="I701" s="268"/>
      <c r="J701" s="268"/>
    </row>
    <row r="702" hidden="1" outlineLevel="2">
      <c r="A702" s="278" t="s">
        <v>30</v>
      </c>
      <c r="B702" s="279" t="str">
        <f t="shared" si="186"/>
        <v>#REF!</v>
      </c>
      <c r="C702" s="272">
        <v>1.0</v>
      </c>
      <c r="D702" s="280" t="str">
        <f t="shared" si="187"/>
        <v>#REF!</v>
      </c>
      <c r="E702" s="281">
        <f t="shared" si="188"/>
        <v>0.29</v>
      </c>
      <c r="F702" s="274">
        <f t="shared" si="189"/>
        <v>9.666666667</v>
      </c>
      <c r="G702" s="268"/>
      <c r="H702" s="268"/>
      <c r="I702" s="268"/>
      <c r="J702" s="268"/>
    </row>
    <row r="703" hidden="1" outlineLevel="2">
      <c r="A703" s="301" t="s">
        <v>31</v>
      </c>
      <c r="B703" s="276" t="str">
        <f t="shared" si="186"/>
        <v>#REF!</v>
      </c>
      <c r="C703" s="272">
        <v>0.0</v>
      </c>
      <c r="D703" s="280" t="str">
        <f t="shared" si="187"/>
        <v>#REF!</v>
      </c>
      <c r="E703" s="277">
        <f t="shared" si="188"/>
        <v>0.263</v>
      </c>
      <c r="F703" s="274">
        <f t="shared" si="189"/>
        <v>8.766666667</v>
      </c>
      <c r="G703" s="268"/>
      <c r="H703" s="268"/>
      <c r="I703" s="268"/>
      <c r="J703" s="268"/>
    </row>
    <row r="704" hidden="1" outlineLevel="2">
      <c r="A704" s="284" t="s">
        <v>129</v>
      </c>
      <c r="B704" s="279" t="str">
        <f t="shared" si="186"/>
        <v>#REF!</v>
      </c>
      <c r="C704" s="272">
        <v>1.0</v>
      </c>
      <c r="D704" s="280" t="str">
        <f t="shared" si="187"/>
        <v>#REF!</v>
      </c>
      <c r="E704" s="281">
        <f t="shared" si="188"/>
        <v>0.2626</v>
      </c>
      <c r="F704" s="274">
        <f t="shared" si="189"/>
        <v>8.753333333</v>
      </c>
      <c r="G704" s="268"/>
      <c r="H704" s="268"/>
      <c r="I704" s="268"/>
      <c r="J704" s="268"/>
    </row>
    <row r="705" hidden="1" outlineLevel="2">
      <c r="A705" s="283" t="s">
        <v>13</v>
      </c>
      <c r="B705" s="276">
        <f t="shared" si="186"/>
        <v>0.38</v>
      </c>
      <c r="C705" s="272">
        <v>1.0</v>
      </c>
      <c r="D705" s="280">
        <f>Lyra!D287</f>
        <v>0.8</v>
      </c>
      <c r="E705" s="277">
        <f t="shared" si="188"/>
        <v>0.2174</v>
      </c>
      <c r="F705" s="274">
        <f t="shared" si="189"/>
        <v>7.246666667</v>
      </c>
      <c r="G705" s="268"/>
      <c r="H705" s="268"/>
      <c r="I705" s="268"/>
      <c r="J705" s="268"/>
    </row>
    <row r="706" hidden="1" outlineLevel="2">
      <c r="A706" s="284" t="s">
        <v>428</v>
      </c>
      <c r="B706" s="279">
        <f t="shared" si="186"/>
        <v>0.36001</v>
      </c>
      <c r="C706" s="272">
        <v>0.8667</v>
      </c>
      <c r="D706" s="280">
        <f>Mikka!D232</f>
        <v>1</v>
      </c>
      <c r="E706" s="281">
        <f t="shared" si="188"/>
        <v>0.2716</v>
      </c>
      <c r="F706" s="274">
        <f t="shared" si="189"/>
        <v>9.053333333</v>
      </c>
      <c r="G706" s="268"/>
      <c r="H706" s="268"/>
      <c r="I706" s="268"/>
      <c r="J706" s="268"/>
    </row>
    <row r="707" hidden="1" outlineLevel="2">
      <c r="A707" s="286"/>
      <c r="B707" s="286"/>
      <c r="C707" s="287"/>
      <c r="D707" s="288"/>
      <c r="E707" s="289"/>
      <c r="F707" s="268"/>
      <c r="G707" s="268"/>
      <c r="H707" s="268"/>
      <c r="I707" s="268"/>
      <c r="J707" s="268"/>
    </row>
    <row r="708" hidden="1" outlineLevel="2">
      <c r="A708" s="195" t="s">
        <v>269</v>
      </c>
      <c r="B708" s="286"/>
      <c r="C708" s="287"/>
      <c r="D708" s="288"/>
      <c r="E708" s="289"/>
      <c r="F708" s="268"/>
      <c r="G708" s="268"/>
      <c r="H708" s="268"/>
      <c r="I708" s="268"/>
      <c r="J708" s="268"/>
    </row>
    <row r="709" hidden="1" outlineLevel="2">
      <c r="A709" s="290" t="s">
        <v>240</v>
      </c>
      <c r="B709" s="291" t="s">
        <v>270</v>
      </c>
      <c r="C709" s="198">
        <v>46153.0</v>
      </c>
      <c r="D709" s="198">
        <v>46154.0</v>
      </c>
      <c r="E709" s="198">
        <v>46155.0</v>
      </c>
      <c r="F709" s="198">
        <v>46156.0</v>
      </c>
      <c r="G709" s="198">
        <v>46157.0</v>
      </c>
      <c r="H709" s="198">
        <v>46158.0</v>
      </c>
      <c r="I709" s="198">
        <v>46159.0</v>
      </c>
      <c r="J709" s="268"/>
    </row>
    <row r="710" hidden="1" outlineLevel="2">
      <c r="A710" s="292"/>
      <c r="B710" s="292"/>
      <c r="C710" s="205" t="s">
        <v>192</v>
      </c>
      <c r="D710" s="205" t="s">
        <v>272</v>
      </c>
      <c r="E710" s="205" t="s">
        <v>273</v>
      </c>
      <c r="F710" s="205" t="s">
        <v>274</v>
      </c>
      <c r="G710" s="205" t="s">
        <v>275</v>
      </c>
      <c r="H710" s="205" t="s">
        <v>276</v>
      </c>
      <c r="I710" s="205" t="s">
        <v>277</v>
      </c>
    </row>
    <row r="711" hidden="1" outlineLevel="2">
      <c r="A711" s="275" t="s">
        <v>25</v>
      </c>
      <c r="B711" s="293">
        <f t="shared" ref="B711:B718" si="190">Sum(C711:I711)</f>
        <v>0</v>
      </c>
      <c r="C711" s="295"/>
      <c r="D711" s="294"/>
      <c r="E711" s="294"/>
      <c r="F711" s="294"/>
      <c r="G711" s="295"/>
      <c r="H711" s="295"/>
      <c r="I711" s="295"/>
    </row>
    <row r="712" hidden="1" outlineLevel="2">
      <c r="A712" s="278" t="s">
        <v>4</v>
      </c>
      <c r="B712" s="293">
        <f t="shared" si="190"/>
        <v>0</v>
      </c>
      <c r="C712" s="296"/>
      <c r="D712" s="296"/>
      <c r="E712" s="296"/>
      <c r="F712" s="296"/>
      <c r="G712" s="296"/>
      <c r="H712" s="297"/>
      <c r="I712" s="296"/>
    </row>
    <row r="713" hidden="1" outlineLevel="2">
      <c r="A713" s="275" t="s">
        <v>19</v>
      </c>
      <c r="B713" s="293">
        <f t="shared" si="190"/>
        <v>0</v>
      </c>
      <c r="C713" s="295"/>
      <c r="D713" s="294"/>
      <c r="E713" s="295"/>
      <c r="F713" s="295"/>
      <c r="G713" s="295"/>
      <c r="H713" s="295"/>
      <c r="I713" s="294"/>
    </row>
    <row r="714" hidden="1" outlineLevel="2">
      <c r="A714" s="278" t="s">
        <v>30</v>
      </c>
      <c r="B714" s="293">
        <f t="shared" si="190"/>
        <v>8</v>
      </c>
      <c r="C714" s="296"/>
      <c r="D714" s="296"/>
      <c r="E714" s="296"/>
      <c r="F714" s="296">
        <v>8.0</v>
      </c>
      <c r="G714" s="296"/>
      <c r="H714" s="296"/>
      <c r="I714" s="297"/>
    </row>
    <row r="715" hidden="1" outlineLevel="2">
      <c r="A715" s="301" t="s">
        <v>31</v>
      </c>
      <c r="B715" s="293">
        <f t="shared" si="190"/>
        <v>0</v>
      </c>
      <c r="C715" s="295"/>
      <c r="D715" s="295"/>
      <c r="E715" s="295"/>
      <c r="F715" s="295"/>
      <c r="G715" s="295"/>
      <c r="H715" s="295"/>
      <c r="I715" s="294"/>
    </row>
    <row r="716" ht="16.5" hidden="1" customHeight="1" outlineLevel="2">
      <c r="A716" s="284" t="s">
        <v>129</v>
      </c>
      <c r="B716" s="293">
        <f t="shared" si="190"/>
        <v>0</v>
      </c>
      <c r="C716" s="296"/>
      <c r="D716" s="296"/>
      <c r="E716" s="296"/>
      <c r="F716" s="296"/>
      <c r="G716" s="296"/>
      <c r="H716" s="296"/>
      <c r="I716" s="296"/>
    </row>
    <row r="717" hidden="1" outlineLevel="2">
      <c r="A717" s="283" t="s">
        <v>13</v>
      </c>
      <c r="B717" s="293">
        <f t="shared" si="190"/>
        <v>0</v>
      </c>
      <c r="C717" s="294"/>
      <c r="D717" s="294"/>
      <c r="E717" s="295"/>
      <c r="F717" s="295"/>
      <c r="G717" s="295"/>
      <c r="H717" s="295"/>
      <c r="I717" s="294"/>
    </row>
    <row r="718" hidden="1" outlineLevel="2">
      <c r="A718" s="284" t="s">
        <v>64</v>
      </c>
      <c r="B718" s="293">
        <f t="shared" si="190"/>
        <v>0</v>
      </c>
      <c r="C718" s="297"/>
      <c r="D718" s="297"/>
      <c r="E718" s="296"/>
      <c r="F718" s="297"/>
      <c r="G718" s="296"/>
      <c r="H718" s="296"/>
      <c r="I718" s="297"/>
    </row>
    <row r="719" hidden="1" outlineLevel="2">
      <c r="A719" s="286"/>
      <c r="B719" s="286"/>
      <c r="C719" s="286"/>
      <c r="D719" s="286"/>
      <c r="E719" s="286"/>
      <c r="F719" s="286"/>
      <c r="G719" s="286"/>
      <c r="H719" s="286"/>
      <c r="I719" s="286"/>
    </row>
    <row r="720" hidden="1" outlineLevel="1" collapsed="1">
      <c r="A720" s="192" t="s">
        <v>911</v>
      </c>
    </row>
    <row r="721" hidden="1" outlineLevel="2">
      <c r="A721" s="195" t="s">
        <v>186</v>
      </c>
    </row>
    <row r="722" hidden="1" outlineLevel="2">
      <c r="A722" s="196" t="s">
        <v>187</v>
      </c>
      <c r="B722" s="197" t="s">
        <v>77</v>
      </c>
      <c r="C722" s="197" t="s">
        <v>189</v>
      </c>
      <c r="D722" s="198">
        <v>46160.0</v>
      </c>
      <c r="E722" s="198">
        <v>46161.0</v>
      </c>
      <c r="F722" s="198">
        <v>46162.0</v>
      </c>
      <c r="G722" s="198">
        <v>46163.0</v>
      </c>
      <c r="H722" s="198">
        <v>46164.0</v>
      </c>
      <c r="I722" s="198">
        <v>46165.0</v>
      </c>
      <c r="J722" s="198">
        <v>46166.0</v>
      </c>
      <c r="K722" s="199" t="s">
        <v>190</v>
      </c>
      <c r="L722" s="201" t="s">
        <v>191</v>
      </c>
    </row>
    <row r="723" hidden="1" outlineLevel="2">
      <c r="A723" s="415"/>
      <c r="B723" s="325"/>
      <c r="C723" s="325"/>
      <c r="D723" s="205" t="s">
        <v>192</v>
      </c>
      <c r="E723" s="205" t="str">
        <f t="shared" ref="E723:J723" si="191">text(E722,"ddd")</f>
        <v>Tue</v>
      </c>
      <c r="F723" s="205" t="str">
        <f t="shared" si="191"/>
        <v>Wed</v>
      </c>
      <c r="G723" s="205" t="str">
        <f t="shared" si="191"/>
        <v>Thu</v>
      </c>
      <c r="H723" s="205" t="str">
        <f t="shared" si="191"/>
        <v>Fri</v>
      </c>
      <c r="I723" s="205" t="str">
        <f t="shared" si="191"/>
        <v>Sat</v>
      </c>
      <c r="J723" s="205" t="str">
        <f t="shared" si="191"/>
        <v>Sun</v>
      </c>
      <c r="K723" s="206"/>
      <c r="L723" s="203"/>
    </row>
    <row r="724" hidden="1" outlineLevel="2">
      <c r="A724" s="403" t="s">
        <v>194</v>
      </c>
      <c r="B724" s="404">
        <f>20+10+10+15</f>
        <v>55</v>
      </c>
      <c r="C724" s="404">
        <f t="shared" ref="C724:C731" si="192">SUM(D724:J724)</f>
        <v>61</v>
      </c>
      <c r="D724" s="405" t="s">
        <v>197</v>
      </c>
      <c r="E724" s="405">
        <v>23.0</v>
      </c>
      <c r="F724" s="405">
        <v>12.0</v>
      </c>
      <c r="G724" s="405">
        <v>9.0</v>
      </c>
      <c r="H724" s="405">
        <v>17.0</v>
      </c>
      <c r="I724" s="405" t="s">
        <v>92</v>
      </c>
      <c r="J724" s="211" t="s">
        <v>92</v>
      </c>
      <c r="K724" s="214">
        <f t="shared" ref="K724:K731" si="193">iferror(C724/B724,"-")</f>
        <v>1.109090909</v>
      </c>
      <c r="L724" s="219">
        <f t="shared" ref="L724:L731" si="194">(IF(K724="",(0),IF(K724&gt;=1,(5),IF(K724&gt;=0.9,(4),IF(K724&gt;=0.8,(3),IF(K724&gt;=0.69,(2),IF(K724&lt;=0.69,(1))))))))</f>
        <v>5</v>
      </c>
    </row>
    <row r="725" hidden="1" outlineLevel="2">
      <c r="A725" s="400" t="s">
        <v>118</v>
      </c>
      <c r="B725" s="401">
        <f>15+15+20+25+15</f>
        <v>90</v>
      </c>
      <c r="C725" s="401">
        <f t="shared" si="192"/>
        <v>92</v>
      </c>
      <c r="D725" s="417">
        <v>18.0</v>
      </c>
      <c r="E725" s="402">
        <v>13.0</v>
      </c>
      <c r="F725" s="402">
        <v>22.0</v>
      </c>
      <c r="G725" s="402">
        <v>23.0</v>
      </c>
      <c r="H725" s="402">
        <v>16.0</v>
      </c>
      <c r="I725" s="402" t="s">
        <v>92</v>
      </c>
      <c r="J725" s="211" t="s">
        <v>92</v>
      </c>
      <c r="K725" s="214">
        <f t="shared" si="193"/>
        <v>1.022222222</v>
      </c>
      <c r="L725" s="219">
        <f t="shared" si="194"/>
        <v>5</v>
      </c>
    </row>
    <row r="726" hidden="1" outlineLevel="2">
      <c r="A726" s="403" t="s">
        <v>19</v>
      </c>
      <c r="B726" s="404">
        <f>20+25+25+30+20</f>
        <v>120</v>
      </c>
      <c r="C726" s="404">
        <f t="shared" si="192"/>
        <v>122</v>
      </c>
      <c r="D726" s="405">
        <v>23.0</v>
      </c>
      <c r="E726" s="405">
        <v>25.0</v>
      </c>
      <c r="F726" s="405" t="s">
        <v>92</v>
      </c>
      <c r="G726" s="405">
        <v>26.0</v>
      </c>
      <c r="H726" s="405">
        <v>27.0</v>
      </c>
      <c r="I726" s="405">
        <v>21.0</v>
      </c>
      <c r="J726" s="211" t="s">
        <v>92</v>
      </c>
      <c r="K726" s="214">
        <f t="shared" si="193"/>
        <v>1.016666667</v>
      </c>
      <c r="L726" s="219">
        <f t="shared" si="194"/>
        <v>5</v>
      </c>
    </row>
    <row r="727" hidden="1" outlineLevel="2">
      <c r="A727" s="400" t="s">
        <v>120</v>
      </c>
      <c r="B727" s="401">
        <f>15+10+10+15+10</f>
        <v>60</v>
      </c>
      <c r="C727" s="401">
        <f t="shared" si="192"/>
        <v>62</v>
      </c>
      <c r="D727" s="402">
        <v>17.0</v>
      </c>
      <c r="E727" s="402">
        <v>9.0</v>
      </c>
      <c r="F727" s="402">
        <v>11.0</v>
      </c>
      <c r="G727" s="402">
        <v>15.0</v>
      </c>
      <c r="H727" s="402" t="s">
        <v>92</v>
      </c>
      <c r="I727" s="402" t="s">
        <v>92</v>
      </c>
      <c r="J727" s="211">
        <v>10.0</v>
      </c>
      <c r="K727" s="214">
        <f t="shared" si="193"/>
        <v>1.033333333</v>
      </c>
      <c r="L727" s="219">
        <f t="shared" si="194"/>
        <v>5</v>
      </c>
    </row>
    <row r="728" hidden="1" outlineLevel="2">
      <c r="A728" s="282" t="s">
        <v>22</v>
      </c>
      <c r="B728" s="407">
        <f>15+15+15+15+10</f>
        <v>70</v>
      </c>
      <c r="C728" s="404">
        <f t="shared" si="192"/>
        <v>70</v>
      </c>
      <c r="D728" s="405">
        <v>16.0</v>
      </c>
      <c r="E728" s="405" t="s">
        <v>92</v>
      </c>
      <c r="F728" s="405">
        <v>14.0</v>
      </c>
      <c r="G728" s="405">
        <v>17.0</v>
      </c>
      <c r="H728" s="405" t="s">
        <v>92</v>
      </c>
      <c r="I728" s="405">
        <v>15.0</v>
      </c>
      <c r="J728" s="211">
        <v>8.0</v>
      </c>
      <c r="K728" s="214">
        <f t="shared" si="193"/>
        <v>1</v>
      </c>
      <c r="L728" s="219">
        <f t="shared" si="194"/>
        <v>5</v>
      </c>
    </row>
    <row r="729" hidden="1" outlineLevel="2">
      <c r="A729" s="283" t="s">
        <v>129</v>
      </c>
      <c r="B729" s="401">
        <f>25+20+35+30+20</f>
        <v>130</v>
      </c>
      <c r="C729" s="401">
        <f t="shared" si="192"/>
        <v>138</v>
      </c>
      <c r="D729" s="402">
        <v>25.0</v>
      </c>
      <c r="E729" s="402">
        <v>22.0</v>
      </c>
      <c r="F729" s="402">
        <v>37.0</v>
      </c>
      <c r="G729" s="402">
        <v>33.0</v>
      </c>
      <c r="H729" s="402">
        <v>21.0</v>
      </c>
      <c r="I729" s="402" t="s">
        <v>92</v>
      </c>
      <c r="J729" s="211" t="s">
        <v>92</v>
      </c>
      <c r="K729" s="214">
        <f t="shared" si="193"/>
        <v>1.061538462</v>
      </c>
      <c r="L729" s="219">
        <f t="shared" si="194"/>
        <v>5</v>
      </c>
    </row>
    <row r="730" hidden="1" outlineLevel="2">
      <c r="A730" s="284" t="s">
        <v>13</v>
      </c>
      <c r="B730" s="407">
        <f>20+10+15+20+10</f>
        <v>75</v>
      </c>
      <c r="C730" s="404">
        <f t="shared" si="192"/>
        <v>64</v>
      </c>
      <c r="D730" s="405">
        <v>17.0</v>
      </c>
      <c r="E730" s="405">
        <v>5.0</v>
      </c>
      <c r="F730" s="405">
        <v>15.0</v>
      </c>
      <c r="G730" s="405" t="s">
        <v>92</v>
      </c>
      <c r="H730" s="405" t="s">
        <v>92</v>
      </c>
      <c r="I730" s="405">
        <v>20.0</v>
      </c>
      <c r="J730" s="224">
        <v>7.0</v>
      </c>
      <c r="K730" s="214">
        <f t="shared" si="193"/>
        <v>0.8533333333</v>
      </c>
      <c r="L730" s="219">
        <f t="shared" si="194"/>
        <v>3</v>
      </c>
    </row>
    <row r="731" hidden="1" outlineLevel="2">
      <c r="A731" s="283" t="s">
        <v>428</v>
      </c>
      <c r="B731" s="406">
        <f>15+10+15+15+20</f>
        <v>75</v>
      </c>
      <c r="C731" s="401">
        <f t="shared" si="192"/>
        <v>75</v>
      </c>
      <c r="D731" s="402">
        <v>16.0</v>
      </c>
      <c r="E731" s="402">
        <v>11.0</v>
      </c>
      <c r="F731" s="402" t="s">
        <v>92</v>
      </c>
      <c r="G731" s="402">
        <v>16.0</v>
      </c>
      <c r="H731" s="402">
        <v>14.0</v>
      </c>
      <c r="I731" s="402">
        <v>18.0</v>
      </c>
      <c r="J731" s="211" t="s">
        <v>92</v>
      </c>
      <c r="K731" s="214">
        <f t="shared" si="193"/>
        <v>1</v>
      </c>
      <c r="L731" s="219">
        <f t="shared" si="194"/>
        <v>5</v>
      </c>
    </row>
    <row r="732" hidden="1" outlineLevel="2"/>
    <row r="733" hidden="1" outlineLevel="2">
      <c r="A733" s="195" t="s">
        <v>135</v>
      </c>
      <c r="I733" s="195"/>
    </row>
    <row r="734" hidden="1" outlineLevel="2">
      <c r="A734" s="196" t="s">
        <v>187</v>
      </c>
      <c r="B734" s="225" t="s">
        <v>218</v>
      </c>
      <c r="C734" s="225" t="s">
        <v>219</v>
      </c>
      <c r="D734" s="225" t="s">
        <v>139</v>
      </c>
      <c r="E734" s="225" t="s">
        <v>140</v>
      </c>
      <c r="F734" s="225" t="s">
        <v>141</v>
      </c>
      <c r="G734" s="226" t="s">
        <v>143</v>
      </c>
      <c r="H734" s="226" t="s">
        <v>221</v>
      </c>
    </row>
    <row r="735" hidden="1" outlineLevel="2">
      <c r="A735" s="415"/>
      <c r="B735" s="325"/>
      <c r="C735" s="325"/>
      <c r="D735" s="325"/>
      <c r="E735" s="325"/>
      <c r="F735" s="325"/>
      <c r="G735" s="325"/>
      <c r="H735" s="325"/>
    </row>
    <row r="736" hidden="1" outlineLevel="2">
      <c r="A736" s="403" t="s">
        <v>194</v>
      </c>
      <c r="B736" s="405">
        <v>64.0</v>
      </c>
      <c r="C736" s="405">
        <v>61.0</v>
      </c>
      <c r="D736" s="410">
        <f>B736-C736</f>
        <v>3</v>
      </c>
      <c r="E736" s="411">
        <f t="shared" ref="E736:E743" si="195">IFERROR(C736/B736,"")</f>
        <v>0.953125</v>
      </c>
      <c r="F736" s="412">
        <v>0.0023032407407407407</v>
      </c>
      <c r="G736" s="240">
        <f t="shared" ref="G736:G743" si="196">IFERROR((IF(E736="",(0),IF(E736&gt;=0.98,(5),IF(E736&gt;=0.95,(4.5),IF(E736&gt;=0.9,(4),IF(E736&gt;=0.8,(3),IF(E736&lt;=0.69,(1)))))))),"")</f>
        <v>4.5</v>
      </c>
      <c r="H736" s="240">
        <f>ROUND(
IF(F736="",
0,
MAX(1, 5 - MAX(0, (F736 - TIME(0,4,0)) / TIME(0,1,0) * 0.5))
),
2
)
</f>
        <v>5</v>
      </c>
    </row>
    <row r="737" hidden="1" outlineLevel="2">
      <c r="A737" s="400" t="s">
        <v>118</v>
      </c>
      <c r="B737" s="402">
        <f>122-26</f>
        <v>96</v>
      </c>
      <c r="C737" s="402">
        <v>92.0</v>
      </c>
      <c r="D737" s="402">
        <v>4.0</v>
      </c>
      <c r="E737" s="408">
        <f t="shared" si="195"/>
        <v>0.9583333333</v>
      </c>
      <c r="F737" s="409">
        <v>0.0036342592592592594</v>
      </c>
      <c r="G737" s="240">
        <f t="shared" si="196"/>
        <v>4.5</v>
      </c>
      <c r="H737" s="240">
        <f>ROUND(
IF(F737="",
0,
MAX(1, 5 - MAX(0, (F737 - TIME(0,5,0)) / TIME(0,1,0) * 0.5))
),
2
)
</f>
        <v>4.88</v>
      </c>
      <c r="I737" s="421">
        <v>26.0</v>
      </c>
    </row>
    <row r="738" hidden="1" outlineLevel="2">
      <c r="A738" s="403" t="s">
        <v>19</v>
      </c>
      <c r="B738" s="405">
        <v>124.0</v>
      </c>
      <c r="C738" s="405">
        <v>122.0</v>
      </c>
      <c r="D738" s="410">
        <f>B738-C738</f>
        <v>2</v>
      </c>
      <c r="E738" s="411">
        <f t="shared" si="195"/>
        <v>0.9838709677</v>
      </c>
      <c r="F738" s="412">
        <v>0.003576388888888889</v>
      </c>
      <c r="G738" s="240">
        <f t="shared" si="196"/>
        <v>5</v>
      </c>
      <c r="H738" s="240">
        <f>ROUND(
IF(F738="",
0,
MAX(1, 5 - MAX(0, (F738 - TIME(0,4,0)) / TIME(0,1,0) * 0.5))
),
2
)
</f>
        <v>4.43</v>
      </c>
    </row>
    <row r="739" hidden="1" outlineLevel="2">
      <c r="A739" s="423" t="s">
        <v>120</v>
      </c>
      <c r="B739" s="402">
        <f>76-22</f>
        <v>54</v>
      </c>
      <c r="C739" s="402">
        <v>52.0</v>
      </c>
      <c r="D739" s="402">
        <v>2.0</v>
      </c>
      <c r="E739" s="408">
        <f t="shared" si="195"/>
        <v>0.962962963</v>
      </c>
      <c r="F739" s="409">
        <v>0.002916666666666667</v>
      </c>
      <c r="G739" s="240">
        <f t="shared" si="196"/>
        <v>4.5</v>
      </c>
      <c r="H739" s="240">
        <f>ROUND(
IF(F739="",
0,
MAX(1, 5 - MAX(0, (F739 - TIME(0,5,0)) / TIME(0,1,0) * 0.5))
),
2
)
</f>
        <v>5</v>
      </c>
      <c r="I739" s="421">
        <v>22.0</v>
      </c>
    </row>
    <row r="740" hidden="1" outlineLevel="2">
      <c r="A740" s="424" t="s">
        <v>22</v>
      </c>
      <c r="B740" s="405">
        <v>70.0</v>
      </c>
      <c r="C740" s="405">
        <v>67.0</v>
      </c>
      <c r="D740" s="410">
        <f>B740-C740</f>
        <v>3</v>
      </c>
      <c r="E740" s="411">
        <f t="shared" si="195"/>
        <v>0.9571428571</v>
      </c>
      <c r="F740" s="412">
        <v>0.0024074074074074076</v>
      </c>
      <c r="G740" s="240">
        <f t="shared" si="196"/>
        <v>4.5</v>
      </c>
      <c r="H740" s="240">
        <f>ROUND(
IF(F740="",
0,
MAX(1, 5 - MAX(0, (F740 - TIME(0,4,0)) / TIME(0,1,0) * 0.5))
),
2
)
</f>
        <v>5</v>
      </c>
    </row>
    <row r="741" hidden="1" outlineLevel="2">
      <c r="A741" s="283" t="s">
        <v>129</v>
      </c>
      <c r="B741" s="402">
        <f>157-19</f>
        <v>138</v>
      </c>
      <c r="C741" s="402">
        <v>138.0</v>
      </c>
      <c r="D741" s="402">
        <v>0.0</v>
      </c>
      <c r="E741" s="408">
        <f t="shared" si="195"/>
        <v>1</v>
      </c>
      <c r="F741" s="409">
        <v>0.004050925925925926</v>
      </c>
      <c r="G741" s="240">
        <f t="shared" si="196"/>
        <v>5</v>
      </c>
      <c r="H741" s="240">
        <f t="shared" ref="H741:H743" si="197">ROUND(
IF(F741="",
0,
MAX(1, 5 - MAX(0, (F741 - TIME(0,5,0)) / TIME(0,1,0) * 0.5))
),
2
)
</f>
        <v>4.58</v>
      </c>
      <c r="I741" s="421">
        <v>19.0</v>
      </c>
    </row>
    <row r="742" hidden="1" outlineLevel="2">
      <c r="A742" s="428" t="s">
        <v>13</v>
      </c>
      <c r="B742" s="405">
        <f>92-31</f>
        <v>61</v>
      </c>
      <c r="C742" s="405">
        <v>59.0</v>
      </c>
      <c r="D742" s="405">
        <v>2.0</v>
      </c>
      <c r="E742" s="411">
        <f t="shared" si="195"/>
        <v>0.9672131148</v>
      </c>
      <c r="F742" s="412">
        <v>0.004097222222222223</v>
      </c>
      <c r="G742" s="240">
        <f t="shared" si="196"/>
        <v>4.5</v>
      </c>
      <c r="H742" s="240">
        <f t="shared" si="197"/>
        <v>4.55</v>
      </c>
      <c r="I742" s="429">
        <v>31.0</v>
      </c>
    </row>
    <row r="743" hidden="1" outlineLevel="2">
      <c r="A743" s="283" t="s">
        <v>428</v>
      </c>
      <c r="B743" s="402">
        <f>106-30</f>
        <v>76</v>
      </c>
      <c r="C743" s="402">
        <v>75.0</v>
      </c>
      <c r="D743" s="402">
        <v>1.0</v>
      </c>
      <c r="E743" s="408">
        <f t="shared" si="195"/>
        <v>0.9868421053</v>
      </c>
      <c r="F743" s="409">
        <v>0.004421296296296296</v>
      </c>
      <c r="G743" s="240">
        <f t="shared" si="196"/>
        <v>5</v>
      </c>
      <c r="H743" s="240">
        <f t="shared" si="197"/>
        <v>4.32</v>
      </c>
      <c r="I743" s="421">
        <v>30.0</v>
      </c>
    </row>
    <row r="744" hidden="1" outlineLevel="2"/>
    <row r="745" hidden="1" outlineLevel="2">
      <c r="A745" s="195" t="s">
        <v>239</v>
      </c>
    </row>
    <row r="746" hidden="1" outlineLevel="2">
      <c r="A746" s="260" t="s">
        <v>240</v>
      </c>
      <c r="B746" s="262" t="s">
        <v>241</v>
      </c>
      <c r="C746" s="264" t="s">
        <v>242</v>
      </c>
      <c r="D746" s="264" t="s">
        <v>243</v>
      </c>
      <c r="E746" s="265" t="s">
        <v>244</v>
      </c>
      <c r="F746" s="267" t="s">
        <v>247</v>
      </c>
      <c r="G746" s="268"/>
    </row>
    <row r="747" hidden="1" outlineLevel="2">
      <c r="A747" s="275" t="s">
        <v>25</v>
      </c>
      <c r="B747" s="276" t="str">
        <f t="shared" ref="B747:B754" si="198">(C747*0.3)+(D747*0.1)</f>
        <v>#REF!</v>
      </c>
      <c r="C747" s="272">
        <v>1.0</v>
      </c>
      <c r="D747" s="272" t="str">
        <f t="shared" ref="D747:D752" si="199">#REF!</f>
        <v>#REF!</v>
      </c>
      <c r="E747" s="277">
        <f t="shared" ref="E747:E754" si="200">(L724+G736+H736)/15*0.3</f>
        <v>0.29</v>
      </c>
      <c r="F747" s="274">
        <f t="shared" ref="F747:F754" si="201">(E747/30%)*10</f>
        <v>9.666666667</v>
      </c>
      <c r="G747" s="268"/>
      <c r="H747" s="268"/>
      <c r="I747" s="268"/>
      <c r="J747" s="268"/>
    </row>
    <row r="748" hidden="1" outlineLevel="2">
      <c r="A748" s="278" t="s">
        <v>4</v>
      </c>
      <c r="B748" s="279" t="str">
        <f t="shared" si="198"/>
        <v>#REF!</v>
      </c>
      <c r="C748" s="272">
        <v>1.0</v>
      </c>
      <c r="D748" s="272" t="str">
        <f t="shared" si="199"/>
        <v>#REF!</v>
      </c>
      <c r="E748" s="281">
        <f t="shared" si="200"/>
        <v>0.2876</v>
      </c>
      <c r="F748" s="274">
        <f t="shared" si="201"/>
        <v>9.586666667</v>
      </c>
      <c r="G748" s="268"/>
      <c r="H748" s="268"/>
      <c r="I748" s="268"/>
      <c r="J748" s="268"/>
    </row>
    <row r="749" hidden="1" outlineLevel="2">
      <c r="A749" s="275" t="s">
        <v>19</v>
      </c>
      <c r="B749" s="276" t="str">
        <f t="shared" si="198"/>
        <v>#REF!</v>
      </c>
      <c r="C749" s="272">
        <v>1.0</v>
      </c>
      <c r="D749" s="280" t="str">
        <f t="shared" si="199"/>
        <v>#REF!</v>
      </c>
      <c r="E749" s="277">
        <f t="shared" si="200"/>
        <v>0.2886</v>
      </c>
      <c r="F749" s="274">
        <f t="shared" si="201"/>
        <v>9.62</v>
      </c>
      <c r="G749" s="268"/>
      <c r="H749" s="268"/>
      <c r="I749" s="268"/>
      <c r="J749" s="268"/>
    </row>
    <row r="750" hidden="1" outlineLevel="2">
      <c r="A750" s="278" t="s">
        <v>30</v>
      </c>
      <c r="B750" s="279" t="str">
        <f t="shared" si="198"/>
        <v>#REF!</v>
      </c>
      <c r="C750" s="272">
        <v>1.0</v>
      </c>
      <c r="D750" s="280" t="str">
        <f t="shared" si="199"/>
        <v>#REF!</v>
      </c>
      <c r="E750" s="281">
        <f t="shared" si="200"/>
        <v>0.29</v>
      </c>
      <c r="F750" s="274">
        <f t="shared" si="201"/>
        <v>9.666666667</v>
      </c>
      <c r="G750" s="268"/>
      <c r="H750" s="268"/>
      <c r="I750" s="268"/>
      <c r="J750" s="268"/>
    </row>
    <row r="751" hidden="1" outlineLevel="2">
      <c r="A751" s="301" t="s">
        <v>31</v>
      </c>
      <c r="B751" s="276" t="str">
        <f t="shared" si="198"/>
        <v>#REF!</v>
      </c>
      <c r="C751" s="272">
        <v>1.0</v>
      </c>
      <c r="D751" s="280" t="str">
        <f t="shared" si="199"/>
        <v>#REF!</v>
      </c>
      <c r="E751" s="277">
        <f t="shared" si="200"/>
        <v>0.29</v>
      </c>
      <c r="F751" s="274">
        <f t="shared" si="201"/>
        <v>9.666666667</v>
      </c>
      <c r="G751" s="268"/>
      <c r="H751" s="268"/>
      <c r="I751" s="268"/>
      <c r="J751" s="268"/>
    </row>
    <row r="752" hidden="1" outlineLevel="2">
      <c r="A752" s="284" t="s">
        <v>129</v>
      </c>
      <c r="B752" s="279" t="str">
        <f t="shared" si="198"/>
        <v>#REF!</v>
      </c>
      <c r="C752" s="272">
        <v>1.0</v>
      </c>
      <c r="D752" s="280" t="str">
        <f t="shared" si="199"/>
        <v>#REF!</v>
      </c>
      <c r="E752" s="281">
        <f t="shared" si="200"/>
        <v>0.2916</v>
      </c>
      <c r="F752" s="274">
        <f t="shared" si="201"/>
        <v>9.72</v>
      </c>
      <c r="G752" s="268"/>
      <c r="H752" s="268"/>
      <c r="I752" s="268"/>
      <c r="J752" s="268"/>
    </row>
    <row r="753" hidden="1" outlineLevel="2">
      <c r="A753" s="283" t="s">
        <v>13</v>
      </c>
      <c r="B753" s="276">
        <f t="shared" si="198"/>
        <v>0.4</v>
      </c>
      <c r="C753" s="272">
        <v>1.0</v>
      </c>
      <c r="D753" s="280">
        <f>Lyra!D305</f>
        <v>1</v>
      </c>
      <c r="E753" s="277">
        <f t="shared" si="200"/>
        <v>0.241</v>
      </c>
      <c r="F753" s="274">
        <f t="shared" si="201"/>
        <v>8.033333333</v>
      </c>
      <c r="G753" s="268"/>
      <c r="H753" s="268"/>
      <c r="I753" s="268"/>
      <c r="J753" s="268"/>
    </row>
    <row r="754" hidden="1" outlineLevel="2">
      <c r="A754" s="284" t="s">
        <v>428</v>
      </c>
      <c r="B754" s="279">
        <f t="shared" si="198"/>
        <v>0.4</v>
      </c>
      <c r="C754" s="272">
        <v>1.0</v>
      </c>
      <c r="D754" s="280">
        <f>Mikka!D250</f>
        <v>1</v>
      </c>
      <c r="E754" s="281">
        <f t="shared" si="200"/>
        <v>0.2864</v>
      </c>
      <c r="F754" s="274">
        <f t="shared" si="201"/>
        <v>9.546666667</v>
      </c>
      <c r="G754" s="268"/>
      <c r="H754" s="268"/>
      <c r="I754" s="268"/>
      <c r="J754" s="268"/>
    </row>
    <row r="755" hidden="1" outlineLevel="2">
      <c r="A755" s="286"/>
      <c r="B755" s="286"/>
      <c r="C755" s="287"/>
      <c r="D755" s="288"/>
      <c r="E755" s="289"/>
      <c r="F755" s="268"/>
      <c r="G755" s="268"/>
      <c r="H755" s="268"/>
      <c r="I755" s="268"/>
      <c r="J755" s="268"/>
    </row>
    <row r="756" hidden="1" outlineLevel="2">
      <c r="A756" s="195" t="s">
        <v>269</v>
      </c>
      <c r="B756" s="286"/>
      <c r="C756" s="287"/>
      <c r="D756" s="288"/>
      <c r="E756" s="289"/>
      <c r="F756" s="268"/>
      <c r="G756" s="268"/>
      <c r="H756" s="268"/>
      <c r="I756" s="268"/>
      <c r="J756" s="268"/>
    </row>
    <row r="757" hidden="1" outlineLevel="2">
      <c r="A757" s="290" t="s">
        <v>240</v>
      </c>
      <c r="B757" s="291" t="s">
        <v>270</v>
      </c>
      <c r="C757" s="198">
        <v>46153.0</v>
      </c>
      <c r="D757" s="198">
        <v>46154.0</v>
      </c>
      <c r="E757" s="198">
        <v>46155.0</v>
      </c>
      <c r="F757" s="198">
        <v>46156.0</v>
      </c>
      <c r="G757" s="198">
        <v>46157.0</v>
      </c>
      <c r="H757" s="198">
        <v>46158.0</v>
      </c>
      <c r="I757" s="198">
        <v>46159.0</v>
      </c>
      <c r="J757" s="268"/>
    </row>
    <row r="758" hidden="1" outlineLevel="2">
      <c r="A758" s="292"/>
      <c r="B758" s="292"/>
      <c r="C758" s="205" t="s">
        <v>192</v>
      </c>
      <c r="D758" s="205" t="s">
        <v>272</v>
      </c>
      <c r="E758" s="205" t="s">
        <v>273</v>
      </c>
      <c r="F758" s="205" t="s">
        <v>274</v>
      </c>
      <c r="G758" s="205" t="s">
        <v>275</v>
      </c>
      <c r="H758" s="205" t="s">
        <v>276</v>
      </c>
      <c r="I758" s="205" t="s">
        <v>277</v>
      </c>
    </row>
    <row r="759" hidden="1" outlineLevel="2">
      <c r="A759" s="275" t="s">
        <v>25</v>
      </c>
      <c r="B759" s="293">
        <f t="shared" ref="B759:B766" si="202">Sum(C759:I759)</f>
        <v>0</v>
      </c>
      <c r="C759" s="295"/>
      <c r="D759" s="294"/>
      <c r="E759" s="294"/>
      <c r="F759" s="294"/>
      <c r="G759" s="295"/>
      <c r="H759" s="295"/>
      <c r="I759" s="295"/>
    </row>
    <row r="760" hidden="1" outlineLevel="2">
      <c r="A760" s="278" t="s">
        <v>4</v>
      </c>
      <c r="B760" s="293">
        <f t="shared" si="202"/>
        <v>0</v>
      </c>
      <c r="C760" s="296"/>
      <c r="D760" s="296"/>
      <c r="E760" s="296"/>
      <c r="F760" s="296"/>
      <c r="G760" s="296"/>
      <c r="H760" s="297"/>
      <c r="I760" s="296"/>
    </row>
    <row r="761" hidden="1" outlineLevel="2">
      <c r="A761" s="275" t="s">
        <v>19</v>
      </c>
      <c r="B761" s="293">
        <f t="shared" si="202"/>
        <v>0</v>
      </c>
      <c r="C761" s="295"/>
      <c r="D761" s="294"/>
      <c r="E761" s="295"/>
      <c r="F761" s="295"/>
      <c r="G761" s="295"/>
      <c r="H761" s="295"/>
      <c r="I761" s="294"/>
    </row>
    <row r="762" hidden="1" outlineLevel="2">
      <c r="A762" s="278" t="s">
        <v>30</v>
      </c>
      <c r="B762" s="293">
        <f t="shared" si="202"/>
        <v>8</v>
      </c>
      <c r="C762" s="296"/>
      <c r="D762" s="296"/>
      <c r="E762" s="296"/>
      <c r="F762" s="296">
        <v>8.0</v>
      </c>
      <c r="G762" s="296"/>
      <c r="H762" s="296"/>
      <c r="I762" s="297"/>
    </row>
    <row r="763" hidden="1" outlineLevel="2">
      <c r="A763" s="301" t="s">
        <v>31</v>
      </c>
      <c r="B763" s="293">
        <f t="shared" si="202"/>
        <v>0</v>
      </c>
      <c r="C763" s="295"/>
      <c r="D763" s="295"/>
      <c r="E763" s="295"/>
      <c r="F763" s="295"/>
      <c r="G763" s="295"/>
      <c r="H763" s="295"/>
      <c r="I763" s="294"/>
    </row>
    <row r="764" ht="16.5" hidden="1" customHeight="1" outlineLevel="2">
      <c r="A764" s="284" t="s">
        <v>129</v>
      </c>
      <c r="B764" s="293">
        <f t="shared" si="202"/>
        <v>0</v>
      </c>
      <c r="C764" s="296"/>
      <c r="D764" s="296"/>
      <c r="E764" s="296"/>
      <c r="F764" s="296"/>
      <c r="G764" s="296"/>
      <c r="H764" s="296"/>
      <c r="I764" s="296"/>
    </row>
    <row r="765" hidden="1" outlineLevel="2">
      <c r="A765" s="283" t="s">
        <v>13</v>
      </c>
      <c r="B765" s="293">
        <f t="shared" si="202"/>
        <v>0</v>
      </c>
      <c r="C765" s="294"/>
      <c r="D765" s="294"/>
      <c r="E765" s="295"/>
      <c r="F765" s="295"/>
      <c r="G765" s="295"/>
      <c r="H765" s="295"/>
      <c r="I765" s="294"/>
    </row>
    <row r="766" hidden="1" outlineLevel="2">
      <c r="A766" s="284" t="s">
        <v>64</v>
      </c>
      <c r="B766" s="293">
        <f t="shared" si="202"/>
        <v>0</v>
      </c>
      <c r="C766" s="297"/>
      <c r="D766" s="297"/>
      <c r="E766" s="296"/>
      <c r="F766" s="297"/>
      <c r="G766" s="296"/>
      <c r="H766" s="296"/>
      <c r="I766" s="297"/>
    </row>
    <row r="767" hidden="1" outlineLevel="1">
      <c r="A767" s="192" t="s">
        <v>958</v>
      </c>
    </row>
    <row r="768" hidden="1" outlineLevel="2">
      <c r="A768" s="195" t="s">
        <v>186</v>
      </c>
    </row>
    <row r="769" hidden="1" outlineLevel="2">
      <c r="A769" s="196" t="s">
        <v>187</v>
      </c>
      <c r="B769" s="197" t="s">
        <v>77</v>
      </c>
      <c r="C769" s="197" t="s">
        <v>189</v>
      </c>
      <c r="D769" s="198">
        <v>46167.0</v>
      </c>
      <c r="E769" s="198">
        <v>46168.0</v>
      </c>
      <c r="F769" s="198">
        <v>46169.0</v>
      </c>
      <c r="G769" s="198">
        <v>46170.0</v>
      </c>
      <c r="H769" s="198">
        <v>46171.0</v>
      </c>
      <c r="I769" s="198">
        <v>46172.0</v>
      </c>
      <c r="J769" s="198">
        <v>46173.0</v>
      </c>
      <c r="K769" s="199" t="s">
        <v>190</v>
      </c>
      <c r="L769" s="201" t="s">
        <v>191</v>
      </c>
    </row>
    <row r="770" hidden="1" outlineLevel="2">
      <c r="A770" s="399"/>
      <c r="B770" s="292"/>
      <c r="C770" s="292"/>
      <c r="D770" s="205" t="s">
        <v>192</v>
      </c>
      <c r="E770" s="205" t="str">
        <f t="shared" ref="E770:J770" si="203">text(E769,"ddd")</f>
        <v>Tue</v>
      </c>
      <c r="F770" s="205" t="str">
        <f t="shared" si="203"/>
        <v>Wed</v>
      </c>
      <c r="G770" s="205" t="str">
        <f t="shared" si="203"/>
        <v>Thu</v>
      </c>
      <c r="H770" s="205" t="str">
        <f t="shared" si="203"/>
        <v>Fri</v>
      </c>
      <c r="I770" s="205" t="str">
        <f t="shared" si="203"/>
        <v>Sat</v>
      </c>
      <c r="J770" s="205" t="str">
        <f t="shared" si="203"/>
        <v>Sun</v>
      </c>
      <c r="K770" s="206"/>
      <c r="L770" s="203"/>
    </row>
    <row r="771" hidden="1" outlineLevel="2">
      <c r="A771" s="400" t="s">
        <v>194</v>
      </c>
      <c r="B771" s="401">
        <f>20+10+10+15</f>
        <v>55</v>
      </c>
      <c r="C771" s="401">
        <f t="shared" ref="C771:C778" si="204">SUM(D771:J771)</f>
        <v>53</v>
      </c>
      <c r="D771" s="402">
        <v>6.0</v>
      </c>
      <c r="E771" s="402">
        <v>13.0</v>
      </c>
      <c r="F771" s="402">
        <v>12.0</v>
      </c>
      <c r="G771" s="402">
        <v>11.0</v>
      </c>
      <c r="H771" s="402">
        <v>11.0</v>
      </c>
      <c r="I771" s="402" t="s">
        <v>92</v>
      </c>
      <c r="J771" s="211" t="s">
        <v>92</v>
      </c>
      <c r="K771" s="214">
        <f t="shared" ref="K771:K778" si="205">iferror(C771/B771,"-")</f>
        <v>0.9636363636</v>
      </c>
      <c r="L771" s="219">
        <f t="shared" ref="L771:L778" si="206">(IF(K771="",(0),IF(K771&gt;=1,(5),IF(K771&gt;=0.9,(4),IF(K771&gt;=0.8,(3),IF(K771&gt;=0.69,(2),IF(K771&lt;=0.69,(1))))))))</f>
        <v>4</v>
      </c>
    </row>
    <row r="772" hidden="1" outlineLevel="2">
      <c r="A772" s="403" t="s">
        <v>118</v>
      </c>
      <c r="B772" s="404">
        <f>15+25+20+10</f>
        <v>70</v>
      </c>
      <c r="C772" s="404">
        <f t="shared" si="204"/>
        <v>74</v>
      </c>
      <c r="D772" s="432">
        <v>13.0</v>
      </c>
      <c r="E772" s="405">
        <v>23.0</v>
      </c>
      <c r="F772" s="405">
        <v>20.0</v>
      </c>
      <c r="G772" s="405" t="s">
        <v>197</v>
      </c>
      <c r="H772" s="405" t="s">
        <v>92</v>
      </c>
      <c r="I772" s="405" t="s">
        <v>92</v>
      </c>
      <c r="J772" s="211">
        <v>18.0</v>
      </c>
      <c r="K772" s="214">
        <f t="shared" si="205"/>
        <v>1.057142857</v>
      </c>
      <c r="L772" s="219">
        <f t="shared" si="206"/>
        <v>5</v>
      </c>
    </row>
    <row r="773" hidden="1" outlineLevel="2">
      <c r="A773" s="400" t="s">
        <v>19</v>
      </c>
      <c r="B773" s="401">
        <f>10+15+20+20+20</f>
        <v>85</v>
      </c>
      <c r="C773" s="401">
        <f t="shared" si="204"/>
        <v>82</v>
      </c>
      <c r="D773" s="402">
        <v>10.0</v>
      </c>
      <c r="E773" s="402">
        <v>14.0</v>
      </c>
      <c r="F773" s="402" t="s">
        <v>92</v>
      </c>
      <c r="G773" s="402">
        <v>18.0</v>
      </c>
      <c r="H773" s="402">
        <v>21.0</v>
      </c>
      <c r="I773" s="402">
        <v>19.0</v>
      </c>
      <c r="J773" s="211" t="s">
        <v>92</v>
      </c>
      <c r="K773" s="214">
        <f t="shared" si="205"/>
        <v>0.9647058824</v>
      </c>
      <c r="L773" s="219">
        <f t="shared" si="206"/>
        <v>4</v>
      </c>
    </row>
    <row r="774" hidden="1" outlineLevel="2">
      <c r="A774" s="403" t="s">
        <v>120</v>
      </c>
      <c r="B774" s="404">
        <f>10+15+15+10</f>
        <v>50</v>
      </c>
      <c r="C774" s="404">
        <f t="shared" si="204"/>
        <v>55</v>
      </c>
      <c r="D774" s="405" t="s">
        <v>92</v>
      </c>
      <c r="E774" s="405" t="s">
        <v>197</v>
      </c>
      <c r="F774" s="405">
        <v>7.0</v>
      </c>
      <c r="G774" s="405">
        <v>17.0</v>
      </c>
      <c r="H774" s="405" t="s">
        <v>92</v>
      </c>
      <c r="I774" s="405">
        <v>14.0</v>
      </c>
      <c r="J774" s="211">
        <v>17.0</v>
      </c>
      <c r="K774" s="214">
        <f t="shared" si="205"/>
        <v>1.1</v>
      </c>
      <c r="L774" s="219">
        <f t="shared" si="206"/>
        <v>5</v>
      </c>
    </row>
    <row r="775" hidden="1" outlineLevel="2">
      <c r="A775" s="301" t="s">
        <v>22</v>
      </c>
      <c r="B775" s="406">
        <f>10+15+15+10+10</f>
        <v>60</v>
      </c>
      <c r="C775" s="401">
        <f t="shared" si="204"/>
        <v>60</v>
      </c>
      <c r="D775" s="402">
        <v>10.0</v>
      </c>
      <c r="E775" s="402">
        <v>14.0</v>
      </c>
      <c r="F775" s="402">
        <v>16.0</v>
      </c>
      <c r="G775" s="402" t="s">
        <v>92</v>
      </c>
      <c r="H775" s="402" t="s">
        <v>92</v>
      </c>
      <c r="I775" s="402">
        <v>12.0</v>
      </c>
      <c r="J775" s="211">
        <v>8.0</v>
      </c>
      <c r="K775" s="214">
        <f t="shared" si="205"/>
        <v>1</v>
      </c>
      <c r="L775" s="219">
        <f t="shared" si="206"/>
        <v>5</v>
      </c>
    </row>
    <row r="776" hidden="1" outlineLevel="2">
      <c r="A776" s="284" t="s">
        <v>129</v>
      </c>
      <c r="B776" s="404">
        <f>15+40+30+35+35</f>
        <v>155</v>
      </c>
      <c r="C776" s="404">
        <f t="shared" si="204"/>
        <v>160</v>
      </c>
      <c r="D776" s="405">
        <v>17.0</v>
      </c>
      <c r="E776" s="405">
        <v>39.0</v>
      </c>
      <c r="F776" s="405">
        <v>31.0</v>
      </c>
      <c r="G776" s="405">
        <v>36.0</v>
      </c>
      <c r="H776" s="405">
        <v>37.0</v>
      </c>
      <c r="I776" s="405" t="s">
        <v>92</v>
      </c>
      <c r="J776" s="211" t="s">
        <v>92</v>
      </c>
      <c r="K776" s="214">
        <f t="shared" si="205"/>
        <v>1.032258065</v>
      </c>
      <c r="L776" s="219">
        <f t="shared" si="206"/>
        <v>5</v>
      </c>
    </row>
    <row r="777" hidden="1" outlineLevel="2">
      <c r="A777" s="283" t="s">
        <v>13</v>
      </c>
      <c r="B777" s="406">
        <f>15+20+15+15+20</f>
        <v>85</v>
      </c>
      <c r="C777" s="401">
        <f t="shared" si="204"/>
        <v>88</v>
      </c>
      <c r="D777" s="402">
        <v>16.0</v>
      </c>
      <c r="E777" s="402">
        <v>20.0</v>
      </c>
      <c r="F777" s="402">
        <v>14.0</v>
      </c>
      <c r="G777" s="402">
        <v>16.0</v>
      </c>
      <c r="H777" s="402">
        <v>22.0</v>
      </c>
      <c r="I777" s="402" t="s">
        <v>92</v>
      </c>
      <c r="J777" s="211" t="s">
        <v>92</v>
      </c>
      <c r="K777" s="214">
        <f t="shared" si="205"/>
        <v>1.035294118</v>
      </c>
      <c r="L777" s="219">
        <f t="shared" si="206"/>
        <v>5</v>
      </c>
    </row>
    <row r="778" hidden="1" outlineLevel="2">
      <c r="A778" s="284" t="s">
        <v>428</v>
      </c>
      <c r="B778" s="407">
        <f>20+15+15+20+15</f>
        <v>85</v>
      </c>
      <c r="C778" s="404">
        <f t="shared" si="204"/>
        <v>89</v>
      </c>
      <c r="D778" s="405" t="s">
        <v>92</v>
      </c>
      <c r="E778" s="405">
        <v>20.0</v>
      </c>
      <c r="F778" s="405">
        <v>16.0</v>
      </c>
      <c r="G778" s="405">
        <v>17.0</v>
      </c>
      <c r="H778" s="405">
        <v>18.0</v>
      </c>
      <c r="I778" s="405">
        <v>18.0</v>
      </c>
      <c r="J778" s="211" t="s">
        <v>92</v>
      </c>
      <c r="K778" s="214">
        <f t="shared" si="205"/>
        <v>1.047058824</v>
      </c>
      <c r="L778" s="219">
        <f t="shared" si="206"/>
        <v>5</v>
      </c>
    </row>
    <row r="779" hidden="1" outlineLevel="2"/>
    <row r="780" hidden="1" outlineLevel="2">
      <c r="A780" s="195" t="s">
        <v>135</v>
      </c>
      <c r="I780" s="195"/>
    </row>
    <row r="781" hidden="1" outlineLevel="2">
      <c r="A781" s="196" t="s">
        <v>187</v>
      </c>
      <c r="B781" s="225" t="s">
        <v>218</v>
      </c>
      <c r="C781" s="225" t="s">
        <v>219</v>
      </c>
      <c r="D781" s="225" t="s">
        <v>139</v>
      </c>
      <c r="E781" s="225" t="s">
        <v>140</v>
      </c>
      <c r="F781" s="225" t="s">
        <v>141</v>
      </c>
      <c r="G781" s="226" t="s">
        <v>143</v>
      </c>
      <c r="H781" s="226" t="s">
        <v>221</v>
      </c>
    </row>
    <row r="782" hidden="1" outlineLevel="2">
      <c r="A782" s="399"/>
      <c r="B782" s="292"/>
      <c r="C782" s="292"/>
      <c r="D782" s="292"/>
      <c r="E782" s="292"/>
      <c r="F782" s="292"/>
      <c r="G782" s="292"/>
      <c r="H782" s="292"/>
    </row>
    <row r="783" hidden="1" outlineLevel="2">
      <c r="A783" s="400" t="s">
        <v>194</v>
      </c>
      <c r="B783" s="402">
        <v>54.0</v>
      </c>
      <c r="C783" s="402">
        <v>52.0</v>
      </c>
      <c r="D783" s="136">
        <f t="shared" ref="D783:D790" si="207">B783-C783</f>
        <v>2</v>
      </c>
      <c r="E783" s="408">
        <f t="shared" ref="E783:E790" si="208">IFERROR(C783/B783,"")</f>
        <v>0.962962963</v>
      </c>
      <c r="F783" s="409">
        <v>0.0017592592592592592</v>
      </c>
      <c r="G783" s="240">
        <f t="shared" ref="G783:G790" si="209">IFERROR((IF(E783="",(0),IF(E783&gt;=0.98,(5),IF(E783&gt;=0.95,(4.5),IF(E783&gt;=0.9,(4),IF(E783&gt;=0.8,(3),IF(E783&lt;=0.69,(1)))))))),"")</f>
        <v>4.5</v>
      </c>
      <c r="H783" s="240">
        <f>ROUND(
IF(F783="",
0,
MAX(1, 5 - MAX(0, (F783 - TIME(0,4,0)) / TIME(0,1,0) * 0.5))
),
2
)
</f>
        <v>5</v>
      </c>
    </row>
    <row r="784" hidden="1" outlineLevel="2">
      <c r="A784" s="403" t="s">
        <v>118</v>
      </c>
      <c r="B784" s="405">
        <v>74.0</v>
      </c>
      <c r="C784" s="405">
        <v>73.0</v>
      </c>
      <c r="D784" s="410">
        <f t="shared" si="207"/>
        <v>1</v>
      </c>
      <c r="E784" s="411">
        <f t="shared" si="208"/>
        <v>0.9864864865</v>
      </c>
      <c r="F784" s="412">
        <v>0.003449074074074074</v>
      </c>
      <c r="G784" s="240">
        <f t="shared" si="209"/>
        <v>5</v>
      </c>
      <c r="H784" s="240">
        <f>ROUND(
IF(F784="",
0,
MAX(1, 5 - MAX(0, (F784 - TIME(0,5,0)) / TIME(0,1,0) * 0.5))
),
2
)
</f>
        <v>5</v>
      </c>
    </row>
    <row r="785" hidden="1" outlineLevel="2">
      <c r="A785" s="400" t="s">
        <v>19</v>
      </c>
      <c r="B785" s="402">
        <v>82.0</v>
      </c>
      <c r="C785" s="402">
        <v>82.0</v>
      </c>
      <c r="D785" s="136">
        <f t="shared" si="207"/>
        <v>0</v>
      </c>
      <c r="E785" s="408">
        <f t="shared" si="208"/>
        <v>1</v>
      </c>
      <c r="F785" s="409">
        <v>0.0029861111111111113</v>
      </c>
      <c r="G785" s="240">
        <f t="shared" si="209"/>
        <v>5</v>
      </c>
      <c r="H785" s="240">
        <f>ROUND(
IF(F785="",
0,
MAX(1, 5 - MAX(0, (F785 - TIME(0,4,0)) / TIME(0,1,0) * 0.5))
),
2
)
</f>
        <v>4.85</v>
      </c>
    </row>
    <row r="786" hidden="1" outlineLevel="2">
      <c r="A786" s="433" t="s">
        <v>120</v>
      </c>
      <c r="B786" s="405">
        <v>57.0</v>
      </c>
      <c r="C786" s="405">
        <v>55.0</v>
      </c>
      <c r="D786" s="410">
        <f t="shared" si="207"/>
        <v>2</v>
      </c>
      <c r="E786" s="411">
        <f t="shared" si="208"/>
        <v>0.9649122807</v>
      </c>
      <c r="F786" s="412">
        <v>0.0033912037037037036</v>
      </c>
      <c r="G786" s="240">
        <f t="shared" si="209"/>
        <v>4.5</v>
      </c>
      <c r="H786" s="240">
        <f>ROUND(
IF(F786="",
0,
MAX(1, 5 - MAX(0, (F786 - TIME(0,5,0)) / TIME(0,1,0) * 0.5))
),
2
)
</f>
        <v>5</v>
      </c>
    </row>
    <row r="787" hidden="1" outlineLevel="2">
      <c r="A787" s="434" t="s">
        <v>22</v>
      </c>
      <c r="B787" s="402">
        <v>64.0</v>
      </c>
      <c r="C787" s="402">
        <v>59.0</v>
      </c>
      <c r="D787" s="136">
        <f t="shared" si="207"/>
        <v>5</v>
      </c>
      <c r="E787" s="408">
        <f t="shared" si="208"/>
        <v>0.921875</v>
      </c>
      <c r="F787" s="409">
        <v>0.002939814814814815</v>
      </c>
      <c r="G787" s="240">
        <f t="shared" si="209"/>
        <v>4</v>
      </c>
      <c r="H787" s="240">
        <f>ROUND(
IF(F787="",
0,
MAX(1, 5 - MAX(0, (F787 - TIME(0,4,0)) / TIME(0,1,0) * 0.5))
),
2
)
</f>
        <v>4.88</v>
      </c>
    </row>
    <row r="788" hidden="1" outlineLevel="2">
      <c r="A788" s="284" t="s">
        <v>129</v>
      </c>
      <c r="B788" s="405">
        <v>160.0</v>
      </c>
      <c r="C788" s="405">
        <v>157.0</v>
      </c>
      <c r="D788" s="410">
        <f t="shared" si="207"/>
        <v>3</v>
      </c>
      <c r="E788" s="411">
        <f t="shared" si="208"/>
        <v>0.98125</v>
      </c>
      <c r="F788" s="412">
        <v>0.0042824074074074075</v>
      </c>
      <c r="G788" s="240">
        <f t="shared" si="209"/>
        <v>5</v>
      </c>
      <c r="H788" s="240">
        <f t="shared" ref="H788:H790" si="210">ROUND(
IF(F788="",
0,
MAX(1, 5 - MAX(0, (F788 - TIME(0,5,0)) / TIME(0,1,0) * 0.5))
),
2
)
</f>
        <v>4.42</v>
      </c>
    </row>
    <row r="789" hidden="1" outlineLevel="2">
      <c r="A789" s="435" t="s">
        <v>13</v>
      </c>
      <c r="B789" s="402">
        <v>90.0</v>
      </c>
      <c r="C789" s="402">
        <v>88.0</v>
      </c>
      <c r="D789" s="136">
        <f t="shared" si="207"/>
        <v>2</v>
      </c>
      <c r="E789" s="408">
        <f t="shared" si="208"/>
        <v>0.9777777778</v>
      </c>
      <c r="F789" s="409">
        <v>0.004143518518518519</v>
      </c>
      <c r="G789" s="240">
        <f t="shared" si="209"/>
        <v>4.5</v>
      </c>
      <c r="H789" s="240">
        <f t="shared" si="210"/>
        <v>4.52</v>
      </c>
    </row>
    <row r="790" hidden="1" outlineLevel="2">
      <c r="A790" s="284" t="s">
        <v>428</v>
      </c>
      <c r="B790" s="405">
        <v>90.0</v>
      </c>
      <c r="C790" s="405">
        <v>88.0</v>
      </c>
      <c r="D790" s="410">
        <f t="shared" si="207"/>
        <v>2</v>
      </c>
      <c r="E790" s="411">
        <f t="shared" si="208"/>
        <v>0.9777777778</v>
      </c>
      <c r="F790" s="412">
        <v>0.004375</v>
      </c>
      <c r="G790" s="240">
        <f t="shared" si="209"/>
        <v>4.5</v>
      </c>
      <c r="H790" s="240">
        <f t="shared" si="210"/>
        <v>4.35</v>
      </c>
    </row>
    <row r="791" hidden="1" outlineLevel="2"/>
    <row r="792" hidden="1" outlineLevel="2">
      <c r="A792" s="195" t="s">
        <v>239</v>
      </c>
    </row>
    <row r="793" hidden="1" outlineLevel="2">
      <c r="A793" s="260" t="s">
        <v>240</v>
      </c>
      <c r="B793" s="262" t="s">
        <v>241</v>
      </c>
      <c r="C793" s="264" t="s">
        <v>242</v>
      </c>
      <c r="D793" s="264" t="s">
        <v>243</v>
      </c>
      <c r="E793" s="265" t="s">
        <v>244</v>
      </c>
      <c r="F793" s="267" t="s">
        <v>247</v>
      </c>
      <c r="G793" s="268"/>
    </row>
    <row r="794" hidden="1" outlineLevel="2">
      <c r="A794" s="278" t="s">
        <v>25</v>
      </c>
      <c r="B794" s="279" t="str">
        <f t="shared" ref="B794:B801" si="211">(C794*0.3)+(D794*0.1)</f>
        <v>#REF!</v>
      </c>
      <c r="C794" s="436">
        <v>1.0</v>
      </c>
      <c r="D794" s="272" t="str">
        <f t="shared" ref="D794:D799" si="212">#REF!</f>
        <v>#REF!</v>
      </c>
      <c r="E794" s="281">
        <f t="shared" ref="E794:E801" si="213">(L771+G783+H783)/15*0.3</f>
        <v>0.27</v>
      </c>
      <c r="F794" s="274">
        <f t="shared" ref="F794:F801" si="214">(E794/30%)*10</f>
        <v>9</v>
      </c>
      <c r="G794" s="268"/>
      <c r="H794" s="268"/>
      <c r="I794" s="268"/>
      <c r="J794" s="268"/>
    </row>
    <row r="795" hidden="1" outlineLevel="2">
      <c r="A795" s="275" t="s">
        <v>4</v>
      </c>
      <c r="B795" s="276" t="str">
        <f t="shared" si="211"/>
        <v>#REF!</v>
      </c>
      <c r="C795" s="436">
        <v>1.0</v>
      </c>
      <c r="D795" s="272" t="str">
        <f t="shared" si="212"/>
        <v>#REF!</v>
      </c>
      <c r="E795" s="277">
        <f t="shared" si="213"/>
        <v>0.3</v>
      </c>
      <c r="F795" s="274">
        <f t="shared" si="214"/>
        <v>10</v>
      </c>
      <c r="G795" s="268"/>
      <c r="H795" s="268"/>
      <c r="I795" s="268"/>
      <c r="J795" s="268"/>
    </row>
    <row r="796" hidden="1" outlineLevel="2">
      <c r="A796" s="278" t="s">
        <v>19</v>
      </c>
      <c r="B796" s="279" t="str">
        <f t="shared" si="211"/>
        <v>#REF!</v>
      </c>
      <c r="C796" s="436">
        <v>1.0</v>
      </c>
      <c r="D796" s="280" t="str">
        <f t="shared" si="212"/>
        <v>#REF!</v>
      </c>
      <c r="E796" s="281">
        <f t="shared" si="213"/>
        <v>0.277</v>
      </c>
      <c r="F796" s="274">
        <f t="shared" si="214"/>
        <v>9.233333333</v>
      </c>
      <c r="G796" s="268"/>
      <c r="H796" s="268"/>
      <c r="I796" s="268"/>
      <c r="J796" s="268"/>
    </row>
    <row r="797" hidden="1" outlineLevel="2">
      <c r="A797" s="275" t="s">
        <v>30</v>
      </c>
      <c r="B797" s="276" t="str">
        <f t="shared" si="211"/>
        <v>#REF!</v>
      </c>
      <c r="C797" s="436">
        <v>1.0</v>
      </c>
      <c r="D797" s="280" t="str">
        <f t="shared" si="212"/>
        <v>#REF!</v>
      </c>
      <c r="E797" s="277">
        <f t="shared" si="213"/>
        <v>0.29</v>
      </c>
      <c r="F797" s="274">
        <f t="shared" si="214"/>
        <v>9.666666667</v>
      </c>
      <c r="G797" s="268"/>
      <c r="H797" s="268"/>
      <c r="I797" s="268"/>
      <c r="J797" s="268"/>
    </row>
    <row r="798" hidden="1" outlineLevel="2">
      <c r="A798" s="282" t="s">
        <v>31</v>
      </c>
      <c r="B798" s="279" t="str">
        <f t="shared" si="211"/>
        <v>#REF!</v>
      </c>
      <c r="C798" s="436">
        <v>0.3</v>
      </c>
      <c r="D798" s="280" t="str">
        <f t="shared" si="212"/>
        <v>#REF!</v>
      </c>
      <c r="E798" s="281">
        <f t="shared" si="213"/>
        <v>0.2776</v>
      </c>
      <c r="F798" s="274">
        <f t="shared" si="214"/>
        <v>9.253333333</v>
      </c>
      <c r="G798" s="268"/>
      <c r="H798" s="268"/>
      <c r="I798" s="268"/>
      <c r="J798" s="268"/>
    </row>
    <row r="799" hidden="1" outlineLevel="2">
      <c r="A799" s="283" t="s">
        <v>129</v>
      </c>
      <c r="B799" s="276" t="str">
        <f t="shared" si="211"/>
        <v>#REF!</v>
      </c>
      <c r="C799" s="436">
        <v>1.0</v>
      </c>
      <c r="D799" s="280" t="str">
        <f t="shared" si="212"/>
        <v>#REF!</v>
      </c>
      <c r="E799" s="277">
        <f t="shared" si="213"/>
        <v>0.2884</v>
      </c>
      <c r="F799" s="274">
        <f t="shared" si="214"/>
        <v>9.613333333</v>
      </c>
      <c r="G799" s="268"/>
      <c r="H799" s="268"/>
      <c r="I799" s="268"/>
      <c r="J799" s="268"/>
    </row>
    <row r="800" hidden="1" outlineLevel="2">
      <c r="A800" s="284" t="s">
        <v>13</v>
      </c>
      <c r="B800" s="279">
        <f t="shared" si="211"/>
        <v>0.4</v>
      </c>
      <c r="C800" s="436">
        <v>1.0</v>
      </c>
      <c r="D800" s="280">
        <f>Lyra!D322</f>
        <v>1</v>
      </c>
      <c r="E800" s="281">
        <f t="shared" si="213"/>
        <v>0.2804</v>
      </c>
      <c r="F800" s="274">
        <f t="shared" si="214"/>
        <v>9.346666667</v>
      </c>
      <c r="G800" s="268"/>
      <c r="H800" s="268"/>
      <c r="I800" s="268"/>
      <c r="J800" s="268"/>
    </row>
    <row r="801" hidden="1" outlineLevel="2">
      <c r="A801" s="283" t="s">
        <v>428</v>
      </c>
      <c r="B801" s="276">
        <f t="shared" si="211"/>
        <v>0.4</v>
      </c>
      <c r="C801" s="436">
        <v>1.0</v>
      </c>
      <c r="D801" s="280">
        <f>Mikka!D267</f>
        <v>1</v>
      </c>
      <c r="E801" s="277">
        <f t="shared" si="213"/>
        <v>0.277</v>
      </c>
      <c r="F801" s="274">
        <f t="shared" si="214"/>
        <v>9.233333333</v>
      </c>
      <c r="G801" s="268"/>
      <c r="H801" s="268"/>
      <c r="I801" s="268"/>
      <c r="J801" s="268"/>
    </row>
    <row r="802" hidden="1" outlineLevel="2">
      <c r="A802" s="286"/>
      <c r="B802" s="286"/>
      <c r="C802" s="287"/>
      <c r="D802" s="288"/>
      <c r="E802" s="289"/>
      <c r="F802" s="268"/>
      <c r="G802" s="268"/>
      <c r="H802" s="268"/>
      <c r="I802" s="268"/>
      <c r="J802" s="268"/>
    </row>
    <row r="803" hidden="1" outlineLevel="2">
      <c r="A803" s="195" t="s">
        <v>269</v>
      </c>
      <c r="B803" s="286"/>
      <c r="C803" s="287"/>
      <c r="D803" s="288"/>
      <c r="E803" s="289"/>
      <c r="F803" s="268"/>
      <c r="G803" s="268"/>
      <c r="H803" s="268"/>
      <c r="I803" s="268"/>
      <c r="J803" s="268"/>
    </row>
    <row r="804" hidden="1" outlineLevel="2">
      <c r="A804" s="290" t="s">
        <v>240</v>
      </c>
      <c r="B804" s="291" t="s">
        <v>270</v>
      </c>
      <c r="C804" s="198">
        <v>46153.0</v>
      </c>
      <c r="D804" s="198">
        <v>46154.0</v>
      </c>
      <c r="E804" s="198">
        <v>46155.0</v>
      </c>
      <c r="F804" s="198">
        <v>46156.0</v>
      </c>
      <c r="G804" s="198">
        <v>46157.0</v>
      </c>
      <c r="H804" s="198">
        <v>46158.0</v>
      </c>
      <c r="I804" s="198">
        <v>46159.0</v>
      </c>
      <c r="J804" s="268"/>
    </row>
    <row r="805" hidden="1" outlineLevel="2">
      <c r="A805" s="325"/>
      <c r="B805" s="325"/>
      <c r="C805" s="205" t="s">
        <v>192</v>
      </c>
      <c r="D805" s="205" t="s">
        <v>272</v>
      </c>
      <c r="E805" s="205" t="s">
        <v>273</v>
      </c>
      <c r="F805" s="205" t="s">
        <v>274</v>
      </c>
      <c r="G805" s="205" t="s">
        <v>275</v>
      </c>
      <c r="H805" s="205" t="s">
        <v>276</v>
      </c>
      <c r="I805" s="205" t="s">
        <v>277</v>
      </c>
    </row>
    <row r="806" hidden="1" outlineLevel="2">
      <c r="A806" s="278" t="s">
        <v>25</v>
      </c>
      <c r="B806" s="293">
        <f t="shared" ref="B806:B813" si="215">Sum(C806:I806)</f>
        <v>0</v>
      </c>
      <c r="C806" s="296"/>
      <c r="D806" s="297"/>
      <c r="E806" s="297"/>
      <c r="F806" s="297"/>
      <c r="G806" s="296"/>
      <c r="H806" s="296"/>
      <c r="I806" s="296"/>
    </row>
    <row r="807" hidden="1" outlineLevel="2">
      <c r="A807" s="275" t="s">
        <v>4</v>
      </c>
      <c r="B807" s="293">
        <f t="shared" si="215"/>
        <v>0</v>
      </c>
      <c r="C807" s="295"/>
      <c r="D807" s="295"/>
      <c r="E807" s="295"/>
      <c r="F807" s="295"/>
      <c r="G807" s="295"/>
      <c r="H807" s="294"/>
      <c r="I807" s="295"/>
    </row>
    <row r="808" hidden="1" outlineLevel="2">
      <c r="A808" s="278" t="s">
        <v>19</v>
      </c>
      <c r="B808" s="293">
        <f t="shared" si="215"/>
        <v>0</v>
      </c>
      <c r="C808" s="296"/>
      <c r="D808" s="297"/>
      <c r="E808" s="296"/>
      <c r="F808" s="296"/>
      <c r="G808" s="296"/>
      <c r="H808" s="296"/>
      <c r="I808" s="297"/>
    </row>
    <row r="809" hidden="1" outlineLevel="2">
      <c r="A809" s="275" t="s">
        <v>30</v>
      </c>
      <c r="B809" s="293">
        <f t="shared" si="215"/>
        <v>0</v>
      </c>
      <c r="C809" s="295"/>
      <c r="D809" s="295"/>
      <c r="E809" s="295"/>
      <c r="F809" s="295"/>
      <c r="G809" s="295"/>
      <c r="H809" s="295"/>
      <c r="I809" s="294"/>
    </row>
    <row r="810" hidden="1" outlineLevel="2">
      <c r="A810" s="282" t="s">
        <v>31</v>
      </c>
      <c r="B810" s="293">
        <f t="shared" si="215"/>
        <v>0</v>
      </c>
      <c r="C810" s="296"/>
      <c r="D810" s="296"/>
      <c r="E810" s="296"/>
      <c r="F810" s="296"/>
      <c r="G810" s="296"/>
      <c r="H810" s="296"/>
      <c r="I810" s="297"/>
    </row>
    <row r="811" ht="16.5" hidden="1" customHeight="1" outlineLevel="2">
      <c r="A811" s="283" t="s">
        <v>129</v>
      </c>
      <c r="B811" s="293">
        <f t="shared" si="215"/>
        <v>0</v>
      </c>
      <c r="C811" s="295"/>
      <c r="D811" s="295"/>
      <c r="E811" s="295"/>
      <c r="F811" s="295"/>
      <c r="G811" s="295"/>
      <c r="H811" s="295"/>
      <c r="I811" s="295"/>
    </row>
    <row r="812" hidden="1" outlineLevel="2">
      <c r="A812" s="284" t="s">
        <v>13</v>
      </c>
      <c r="B812" s="293">
        <f t="shared" si="215"/>
        <v>0</v>
      </c>
      <c r="C812" s="297"/>
      <c r="D812" s="297"/>
      <c r="E812" s="296"/>
      <c r="F812" s="296"/>
      <c r="G812" s="296"/>
      <c r="H812" s="296"/>
      <c r="I812" s="297"/>
    </row>
    <row r="813" hidden="1" outlineLevel="2">
      <c r="A813" s="283" t="s">
        <v>64</v>
      </c>
      <c r="B813" s="293">
        <f t="shared" si="215"/>
        <v>0</v>
      </c>
      <c r="C813" s="294"/>
      <c r="D813" s="294"/>
      <c r="E813" s="295"/>
      <c r="F813" s="294"/>
      <c r="G813" s="295"/>
      <c r="H813" s="295"/>
      <c r="I813" s="294"/>
    </row>
    <row r="814" collapsed="1">
      <c r="A814" s="437">
        <v>46174.0</v>
      </c>
    </row>
    <row r="815" hidden="1" outlineLevel="1" collapsed="1">
      <c r="A815" s="192" t="s">
        <v>990</v>
      </c>
    </row>
    <row r="816" hidden="1" outlineLevel="2">
      <c r="A816" s="195" t="s">
        <v>186</v>
      </c>
    </row>
    <row r="817" hidden="1" outlineLevel="2">
      <c r="A817" s="196" t="s">
        <v>187</v>
      </c>
      <c r="B817" s="197" t="s">
        <v>77</v>
      </c>
      <c r="C817" s="197" t="s">
        <v>189</v>
      </c>
      <c r="D817" s="198">
        <v>46174.0</v>
      </c>
      <c r="E817" s="198">
        <v>46175.0</v>
      </c>
      <c r="F817" s="198">
        <v>46176.0</v>
      </c>
      <c r="G817" s="198">
        <v>46177.0</v>
      </c>
      <c r="H817" s="198">
        <v>46178.0</v>
      </c>
      <c r="I817" s="198">
        <v>46179.0</v>
      </c>
      <c r="J817" s="198">
        <v>46180.0</v>
      </c>
      <c r="K817" s="199" t="s">
        <v>190</v>
      </c>
      <c r="L817" s="201" t="s">
        <v>191</v>
      </c>
    </row>
    <row r="818" hidden="1" outlineLevel="2">
      <c r="A818" s="399"/>
      <c r="B818" s="292"/>
      <c r="C818" s="292"/>
      <c r="D818" s="205" t="s">
        <v>192</v>
      </c>
      <c r="E818" s="205" t="str">
        <f t="shared" ref="E818:J818" si="216">text(E817,"ddd")</f>
        <v>Tue</v>
      </c>
      <c r="F818" s="205" t="str">
        <f t="shared" si="216"/>
        <v>Wed</v>
      </c>
      <c r="G818" s="205" t="str">
        <f t="shared" si="216"/>
        <v>Thu</v>
      </c>
      <c r="H818" s="205" t="str">
        <f t="shared" si="216"/>
        <v>Fri</v>
      </c>
      <c r="I818" s="205" t="str">
        <f t="shared" si="216"/>
        <v>Sat</v>
      </c>
      <c r="J818" s="205" t="str">
        <f t="shared" si="216"/>
        <v>Sun</v>
      </c>
      <c r="K818" s="206"/>
      <c r="L818" s="203"/>
    </row>
    <row r="819" hidden="1" outlineLevel="2">
      <c r="A819" s="400" t="s">
        <v>194</v>
      </c>
      <c r="B819" s="401">
        <f>15+15+15+7+10</f>
        <v>62</v>
      </c>
      <c r="C819" s="401">
        <f t="shared" ref="C819:C826" si="217">SUM(D819:J819)</f>
        <v>64</v>
      </c>
      <c r="D819" s="402">
        <v>16.0</v>
      </c>
      <c r="E819" s="402">
        <v>12.0</v>
      </c>
      <c r="F819" s="402">
        <v>19.0</v>
      </c>
      <c r="G819" s="402">
        <v>7.0</v>
      </c>
      <c r="H819" s="402">
        <v>10.0</v>
      </c>
      <c r="I819" s="402" t="s">
        <v>92</v>
      </c>
      <c r="J819" s="211" t="s">
        <v>92</v>
      </c>
      <c r="K819" s="214">
        <f t="shared" ref="K819:K826" si="218">iferror(C819/B819,"-")</f>
        <v>1.032258065</v>
      </c>
      <c r="L819" s="219">
        <f t="shared" ref="L819:L826" si="219">(IF(K819="",(0),IF(K819&gt;=1,(5),IF(K819&gt;=0.9,(4),IF(K819&gt;=0.8,(3),IF(K819&gt;=0.69,(2),IF(K819&lt;=0.69,(1))))))))</f>
        <v>5</v>
      </c>
    </row>
    <row r="820" hidden="1" outlineLevel="2">
      <c r="A820" s="403" t="s">
        <v>118</v>
      </c>
      <c r="B820" s="404">
        <f>30+25+20+20+25</f>
        <v>120</v>
      </c>
      <c r="C820" s="404">
        <f t="shared" si="217"/>
        <v>106</v>
      </c>
      <c r="D820" s="432">
        <v>26.0</v>
      </c>
      <c r="E820" s="405">
        <v>19.0</v>
      </c>
      <c r="F820" s="405">
        <v>16.0</v>
      </c>
      <c r="G820" s="405">
        <v>21.0</v>
      </c>
      <c r="H820" s="405">
        <v>24.0</v>
      </c>
      <c r="I820" s="405" t="s">
        <v>92</v>
      </c>
      <c r="J820" s="211" t="s">
        <v>92</v>
      </c>
      <c r="K820" s="214">
        <f t="shared" si="218"/>
        <v>0.8833333333</v>
      </c>
      <c r="L820" s="219">
        <f t="shared" si="219"/>
        <v>3</v>
      </c>
    </row>
    <row r="821" hidden="1" outlineLevel="2">
      <c r="A821" s="400" t="s">
        <v>19</v>
      </c>
      <c r="B821" s="401">
        <f>20*5</f>
        <v>100</v>
      </c>
      <c r="C821" s="401">
        <f t="shared" si="217"/>
        <v>91</v>
      </c>
      <c r="D821" s="402">
        <v>15.0</v>
      </c>
      <c r="E821" s="402">
        <v>19.0</v>
      </c>
      <c r="F821" s="402" t="s">
        <v>92</v>
      </c>
      <c r="G821" s="402">
        <v>22.0</v>
      </c>
      <c r="H821" s="402">
        <v>21.0</v>
      </c>
      <c r="I821" s="402">
        <v>14.0</v>
      </c>
      <c r="J821" s="211" t="s">
        <v>92</v>
      </c>
      <c r="K821" s="214">
        <f t="shared" si="218"/>
        <v>0.91</v>
      </c>
      <c r="L821" s="219">
        <f t="shared" si="219"/>
        <v>4</v>
      </c>
    </row>
    <row r="822" hidden="1" outlineLevel="2">
      <c r="A822" s="403" t="s">
        <v>120</v>
      </c>
      <c r="B822" s="404">
        <f>15+10+3+15+15</f>
        <v>58</v>
      </c>
      <c r="C822" s="404">
        <f t="shared" si="217"/>
        <v>60</v>
      </c>
      <c r="D822" s="405">
        <v>16.0</v>
      </c>
      <c r="E822" s="405">
        <v>9.0</v>
      </c>
      <c r="F822" s="405">
        <v>3.0</v>
      </c>
      <c r="G822" s="405" t="s">
        <v>92</v>
      </c>
      <c r="H822" s="405" t="s">
        <v>92</v>
      </c>
      <c r="I822" s="405">
        <v>17.0</v>
      </c>
      <c r="J822" s="211">
        <v>15.0</v>
      </c>
      <c r="K822" s="214">
        <f t="shared" si="218"/>
        <v>1.034482759</v>
      </c>
      <c r="L822" s="219">
        <f t="shared" si="219"/>
        <v>5</v>
      </c>
    </row>
    <row r="823" hidden="1" outlineLevel="2">
      <c r="A823" s="301" t="s">
        <v>22</v>
      </c>
      <c r="B823" s="406">
        <f>15+10+20+10+10</f>
        <v>65</v>
      </c>
      <c r="C823" s="401">
        <f t="shared" si="217"/>
        <v>68</v>
      </c>
      <c r="D823" s="402">
        <v>14.0</v>
      </c>
      <c r="E823" s="402">
        <v>12.0</v>
      </c>
      <c r="F823" s="402">
        <v>22.0</v>
      </c>
      <c r="G823" s="402" t="s">
        <v>92</v>
      </c>
      <c r="H823" s="402" t="s">
        <v>92</v>
      </c>
      <c r="I823" s="402">
        <v>11.0</v>
      </c>
      <c r="J823" s="211">
        <v>9.0</v>
      </c>
      <c r="K823" s="214">
        <f t="shared" si="218"/>
        <v>1.046153846</v>
      </c>
      <c r="L823" s="219">
        <f t="shared" si="219"/>
        <v>5</v>
      </c>
    </row>
    <row r="824" hidden="1" outlineLevel="2">
      <c r="A824" s="284" t="s">
        <v>129</v>
      </c>
      <c r="B824" s="404">
        <f>35+30+30+30+30</f>
        <v>155</v>
      </c>
      <c r="C824" s="404">
        <f t="shared" si="217"/>
        <v>170</v>
      </c>
      <c r="D824" s="405">
        <v>41.0</v>
      </c>
      <c r="E824" s="405">
        <v>34.0</v>
      </c>
      <c r="F824" s="405">
        <v>34.0</v>
      </c>
      <c r="G824" s="405">
        <v>28.0</v>
      </c>
      <c r="H824" s="405">
        <v>33.0</v>
      </c>
      <c r="I824" s="405" t="s">
        <v>92</v>
      </c>
      <c r="J824" s="211" t="s">
        <v>92</v>
      </c>
      <c r="K824" s="214">
        <f t="shared" si="218"/>
        <v>1.096774194</v>
      </c>
      <c r="L824" s="219">
        <f t="shared" si="219"/>
        <v>5</v>
      </c>
    </row>
    <row r="825" hidden="1" outlineLevel="2">
      <c r="A825" s="283" t="s">
        <v>13</v>
      </c>
      <c r="B825" s="406">
        <f>20+15+15+15</f>
        <v>65</v>
      </c>
      <c r="C825" s="401">
        <f t="shared" si="217"/>
        <v>86</v>
      </c>
      <c r="D825" s="402">
        <v>22.0</v>
      </c>
      <c r="E825" s="402">
        <v>17.0</v>
      </c>
      <c r="F825" s="402">
        <v>8.0</v>
      </c>
      <c r="G825" s="402">
        <v>15.0</v>
      </c>
      <c r="H825" s="402">
        <v>24.0</v>
      </c>
      <c r="I825" s="402" t="s">
        <v>92</v>
      </c>
      <c r="J825" s="211" t="s">
        <v>92</v>
      </c>
      <c r="K825" s="214">
        <f t="shared" si="218"/>
        <v>1.323076923</v>
      </c>
      <c r="L825" s="219">
        <f t="shared" si="219"/>
        <v>5</v>
      </c>
    </row>
    <row r="826" hidden="1" outlineLevel="2">
      <c r="A826" s="284" t="s">
        <v>428</v>
      </c>
      <c r="B826" s="407">
        <f>15+15+15</f>
        <v>45</v>
      </c>
      <c r="C826" s="404">
        <f t="shared" si="217"/>
        <v>84</v>
      </c>
      <c r="D826" s="405" t="s">
        <v>92</v>
      </c>
      <c r="E826" s="405">
        <v>17.0</v>
      </c>
      <c r="F826" s="405">
        <v>12.0</v>
      </c>
      <c r="G826" s="405">
        <v>14.0</v>
      </c>
      <c r="H826" s="405">
        <v>23.0</v>
      </c>
      <c r="I826" s="405">
        <v>18.0</v>
      </c>
      <c r="J826" s="211" t="s">
        <v>92</v>
      </c>
      <c r="K826" s="214">
        <f t="shared" si="218"/>
        <v>1.866666667</v>
      </c>
      <c r="L826" s="219">
        <f t="shared" si="219"/>
        <v>5</v>
      </c>
    </row>
    <row r="827" hidden="1" outlineLevel="2"/>
    <row r="828" hidden="1" outlineLevel="2">
      <c r="A828" s="195" t="s">
        <v>135</v>
      </c>
      <c r="I828" s="195"/>
    </row>
    <row r="829" hidden="1" outlineLevel="2">
      <c r="A829" s="196" t="s">
        <v>187</v>
      </c>
      <c r="B829" s="225" t="s">
        <v>218</v>
      </c>
      <c r="C829" s="225" t="s">
        <v>219</v>
      </c>
      <c r="D829" s="225" t="s">
        <v>139</v>
      </c>
      <c r="E829" s="225" t="s">
        <v>140</v>
      </c>
      <c r="F829" s="225" t="s">
        <v>141</v>
      </c>
      <c r="G829" s="226" t="s">
        <v>143</v>
      </c>
      <c r="H829" s="226" t="s">
        <v>221</v>
      </c>
    </row>
    <row r="830" hidden="1" outlineLevel="2">
      <c r="A830" s="399"/>
      <c r="B830" s="292"/>
      <c r="C830" s="292"/>
      <c r="D830" s="292"/>
      <c r="E830" s="292"/>
      <c r="F830" s="292"/>
      <c r="G830" s="292"/>
      <c r="H830" s="292"/>
    </row>
    <row r="831" hidden="1" outlineLevel="2">
      <c r="A831" s="400" t="s">
        <v>194</v>
      </c>
      <c r="B831" s="402">
        <v>68.0</v>
      </c>
      <c r="C831" s="402">
        <v>64.0</v>
      </c>
      <c r="D831" s="136">
        <f t="shared" ref="D831:D838" si="220">B831-C831</f>
        <v>4</v>
      </c>
      <c r="E831" s="408">
        <f t="shared" ref="E831:E838" si="221">IFERROR(C831/B831,"")</f>
        <v>0.9411764706</v>
      </c>
      <c r="F831" s="409">
        <v>0.0023032407407407407</v>
      </c>
      <c r="G831" s="240">
        <f t="shared" ref="G831:G838" si="222">IFERROR((IF(E831="",(0),IF(E831&gt;=0.98,(5),IF(E831&gt;=0.95,(4.5),IF(E831&gt;=0.9,(4),IF(E831&gt;=0.8,(3),IF(E831&lt;=0.69,(1)))))))),"")</f>
        <v>4</v>
      </c>
      <c r="H831" s="240">
        <f>ROUND(
IF(F831="",
0,
MAX(1, 5 - MAX(0, (F831 - TIME(0,4,0)) / TIME(0,1,0) * 0.5))
),
2
)
</f>
        <v>5</v>
      </c>
    </row>
    <row r="832" hidden="1" outlineLevel="2">
      <c r="A832" s="403" t="s">
        <v>118</v>
      </c>
      <c r="B832" s="405">
        <v>109.0</v>
      </c>
      <c r="C832" s="405">
        <v>106.0</v>
      </c>
      <c r="D832" s="410">
        <f t="shared" si="220"/>
        <v>3</v>
      </c>
      <c r="E832" s="411">
        <f t="shared" si="221"/>
        <v>0.9724770642</v>
      </c>
      <c r="F832" s="412">
        <v>0.004039351851851852</v>
      </c>
      <c r="G832" s="240">
        <f t="shared" si="222"/>
        <v>4.5</v>
      </c>
      <c r="H832" s="240">
        <f>ROUND(
IF(F832="",
0,
MAX(1, 5 - MAX(0, (F832 - TIME(0,5,0)) / TIME(0,1,0) * 0.5))
),
2
)
</f>
        <v>4.59</v>
      </c>
    </row>
    <row r="833" hidden="1" outlineLevel="2">
      <c r="A833" s="400" t="s">
        <v>19</v>
      </c>
      <c r="B833" s="402">
        <v>91.0</v>
      </c>
      <c r="C833" s="402">
        <v>91.0</v>
      </c>
      <c r="D833" s="136">
        <f t="shared" si="220"/>
        <v>0</v>
      </c>
      <c r="E833" s="408">
        <f t="shared" si="221"/>
        <v>1</v>
      </c>
      <c r="F833" s="409">
        <v>0.0032060185185185186</v>
      </c>
      <c r="G833" s="240">
        <f t="shared" si="222"/>
        <v>5</v>
      </c>
      <c r="H833" s="240">
        <f>ROUND(
IF(F833="",
0,
MAX(1, 5 - MAX(0, (F833 - TIME(0,4,0)) / TIME(0,1,0) * 0.5))
),
2
)
</f>
        <v>4.69</v>
      </c>
    </row>
    <row r="834" hidden="1" outlineLevel="2">
      <c r="A834" s="433" t="s">
        <v>120</v>
      </c>
      <c r="B834" s="405">
        <v>64.0</v>
      </c>
      <c r="C834" s="405">
        <v>60.0</v>
      </c>
      <c r="D834" s="410">
        <f t="shared" si="220"/>
        <v>4</v>
      </c>
      <c r="E834" s="411">
        <f t="shared" si="221"/>
        <v>0.9375</v>
      </c>
      <c r="F834" s="412">
        <v>0.0026041666666666665</v>
      </c>
      <c r="G834" s="240">
        <f t="shared" si="222"/>
        <v>4</v>
      </c>
      <c r="H834" s="240">
        <f>ROUND(
IF(F834="",
0,
MAX(1, 5 - MAX(0, (F834 - TIME(0,5,0)) / TIME(0,1,0) * 0.5))
),
2
)
</f>
        <v>5</v>
      </c>
    </row>
    <row r="835" hidden="1" outlineLevel="2">
      <c r="A835" s="434" t="s">
        <v>22</v>
      </c>
      <c r="B835" s="402">
        <v>71.0</v>
      </c>
      <c r="C835" s="402">
        <v>68.0</v>
      </c>
      <c r="D835" s="136">
        <f t="shared" si="220"/>
        <v>3</v>
      </c>
      <c r="E835" s="408">
        <f t="shared" si="221"/>
        <v>0.9577464789</v>
      </c>
      <c r="F835" s="409">
        <v>0.0028587962962962963</v>
      </c>
      <c r="G835" s="240">
        <f t="shared" si="222"/>
        <v>4.5</v>
      </c>
      <c r="H835" s="240">
        <f>ROUND(
IF(F835="",
0,
MAX(1, 5 - MAX(0, (F835 - TIME(0,4,0)) / TIME(0,1,0) * 0.5))
),
2
)
</f>
        <v>4.94</v>
      </c>
    </row>
    <row r="836" hidden="1" outlineLevel="2">
      <c r="A836" s="284" t="s">
        <v>129</v>
      </c>
      <c r="B836" s="405">
        <v>171.0</v>
      </c>
      <c r="C836" s="405">
        <v>170.0</v>
      </c>
      <c r="D836" s="410">
        <f t="shared" si="220"/>
        <v>1</v>
      </c>
      <c r="E836" s="411">
        <f t="shared" si="221"/>
        <v>0.9941520468</v>
      </c>
      <c r="F836" s="412">
        <v>0.0046875</v>
      </c>
      <c r="G836" s="240">
        <f t="shared" si="222"/>
        <v>5</v>
      </c>
      <c r="H836" s="240">
        <f t="shared" ref="H836:H838" si="223">ROUND(
IF(F836="",
0,
MAX(1, 5 - MAX(0, (F836 - TIME(0,5,0)) / TIME(0,1,0) * 0.5))
),
2
)
</f>
        <v>4.13</v>
      </c>
    </row>
    <row r="837" hidden="1" outlineLevel="2">
      <c r="A837" s="435" t="s">
        <v>13</v>
      </c>
      <c r="B837" s="402">
        <v>88.0</v>
      </c>
      <c r="C837" s="402">
        <v>86.0</v>
      </c>
      <c r="D837" s="136">
        <f t="shared" si="220"/>
        <v>2</v>
      </c>
      <c r="E837" s="408">
        <f t="shared" si="221"/>
        <v>0.9772727273</v>
      </c>
      <c r="F837" s="409">
        <v>0.003287037037037037</v>
      </c>
      <c r="G837" s="240">
        <f t="shared" si="222"/>
        <v>4.5</v>
      </c>
      <c r="H837" s="240">
        <f t="shared" si="223"/>
        <v>5</v>
      </c>
    </row>
    <row r="838" hidden="1" outlineLevel="2">
      <c r="A838" s="284" t="s">
        <v>428</v>
      </c>
      <c r="B838" s="405">
        <v>84.0</v>
      </c>
      <c r="C838" s="405">
        <v>84.0</v>
      </c>
      <c r="D838" s="410">
        <f t="shared" si="220"/>
        <v>0</v>
      </c>
      <c r="E838" s="411">
        <f t="shared" si="221"/>
        <v>1</v>
      </c>
      <c r="F838" s="412">
        <v>0.004050925925925926</v>
      </c>
      <c r="G838" s="240">
        <f t="shared" si="222"/>
        <v>5</v>
      </c>
      <c r="H838" s="240">
        <f t="shared" si="223"/>
        <v>4.58</v>
      </c>
    </row>
    <row r="839" hidden="1" outlineLevel="2"/>
    <row r="840" hidden="1" outlineLevel="2">
      <c r="A840" s="195" t="s">
        <v>239</v>
      </c>
    </row>
    <row r="841" hidden="1" outlineLevel="2">
      <c r="A841" s="260" t="s">
        <v>240</v>
      </c>
      <c r="B841" s="262" t="s">
        <v>241</v>
      </c>
      <c r="C841" s="264" t="s">
        <v>242</v>
      </c>
      <c r="D841" s="264" t="s">
        <v>243</v>
      </c>
      <c r="E841" s="265" t="s">
        <v>244</v>
      </c>
      <c r="F841" s="267" t="s">
        <v>247</v>
      </c>
      <c r="G841" s="268"/>
    </row>
    <row r="842" hidden="1" outlineLevel="2">
      <c r="A842" s="278" t="s">
        <v>25</v>
      </c>
      <c r="B842" s="279" t="str">
        <f t="shared" ref="B842:B849" si="224">(C842*0.3)+(D842*0.1)</f>
        <v>#REF!</v>
      </c>
      <c r="C842" s="436">
        <v>1.0</v>
      </c>
      <c r="D842" s="272" t="str">
        <f t="shared" ref="D842:D847" si="225">#REF!</f>
        <v>#REF!</v>
      </c>
      <c r="E842" s="281">
        <f t="shared" ref="E842:E849" si="226">(L819+G831+H831)/15*0.3</f>
        <v>0.28</v>
      </c>
      <c r="F842" s="274">
        <f t="shared" ref="F842:F849" si="227">(E842/30%)*10</f>
        <v>9.333333333</v>
      </c>
      <c r="G842" s="268"/>
      <c r="H842" s="268"/>
      <c r="I842" s="268"/>
      <c r="J842" s="268"/>
    </row>
    <row r="843" hidden="1" outlineLevel="2">
      <c r="A843" s="275" t="s">
        <v>4</v>
      </c>
      <c r="B843" s="276" t="str">
        <f t="shared" si="224"/>
        <v>#REF!</v>
      </c>
      <c r="C843" s="436">
        <v>0.6</v>
      </c>
      <c r="D843" s="272" t="str">
        <f t="shared" si="225"/>
        <v>#REF!</v>
      </c>
      <c r="E843" s="277">
        <f t="shared" si="226"/>
        <v>0.2418</v>
      </c>
      <c r="F843" s="274">
        <f t="shared" si="227"/>
        <v>8.06</v>
      </c>
      <c r="G843" s="268"/>
      <c r="H843" s="268"/>
      <c r="I843" s="268"/>
      <c r="J843" s="268"/>
    </row>
    <row r="844" hidden="1" outlineLevel="2">
      <c r="A844" s="278" t="s">
        <v>19</v>
      </c>
      <c r="B844" s="279" t="str">
        <f t="shared" si="224"/>
        <v>#REF!</v>
      </c>
      <c r="C844" s="436">
        <v>1.0</v>
      </c>
      <c r="D844" s="280" t="str">
        <f t="shared" si="225"/>
        <v>#REF!</v>
      </c>
      <c r="E844" s="281">
        <f t="shared" si="226"/>
        <v>0.2738</v>
      </c>
      <c r="F844" s="274">
        <f t="shared" si="227"/>
        <v>9.126666667</v>
      </c>
      <c r="G844" s="268"/>
      <c r="H844" s="268"/>
      <c r="I844" s="268"/>
      <c r="J844" s="268"/>
    </row>
    <row r="845" hidden="1" outlineLevel="2">
      <c r="A845" s="275" t="s">
        <v>30</v>
      </c>
      <c r="B845" s="276" t="str">
        <f t="shared" si="224"/>
        <v>#REF!</v>
      </c>
      <c r="C845" s="436">
        <v>1.0</v>
      </c>
      <c r="D845" s="280" t="str">
        <f t="shared" si="225"/>
        <v>#REF!</v>
      </c>
      <c r="E845" s="277">
        <f t="shared" si="226"/>
        <v>0.28</v>
      </c>
      <c r="F845" s="274">
        <f t="shared" si="227"/>
        <v>9.333333333</v>
      </c>
      <c r="G845" s="268"/>
      <c r="H845" s="268"/>
      <c r="I845" s="268"/>
      <c r="J845" s="268"/>
    </row>
    <row r="846" hidden="1" outlineLevel="2">
      <c r="A846" s="282" t="s">
        <v>31</v>
      </c>
      <c r="B846" s="279" t="str">
        <f t="shared" si="224"/>
        <v>#REF!</v>
      </c>
      <c r="C846" s="436">
        <v>1.0</v>
      </c>
      <c r="D846" s="280" t="str">
        <f t="shared" si="225"/>
        <v>#REF!</v>
      </c>
      <c r="E846" s="281">
        <f t="shared" si="226"/>
        <v>0.2888</v>
      </c>
      <c r="F846" s="274">
        <f t="shared" si="227"/>
        <v>9.626666667</v>
      </c>
      <c r="G846" s="268"/>
      <c r="H846" s="268"/>
      <c r="I846" s="268"/>
      <c r="J846" s="268"/>
    </row>
    <row r="847" hidden="1" outlineLevel="2">
      <c r="A847" s="283" t="s">
        <v>129</v>
      </c>
      <c r="B847" s="276" t="str">
        <f t="shared" si="224"/>
        <v>#REF!</v>
      </c>
      <c r="C847" s="436">
        <v>0.0</v>
      </c>
      <c r="D847" s="280" t="str">
        <f t="shared" si="225"/>
        <v>#REF!</v>
      </c>
      <c r="E847" s="277">
        <f t="shared" si="226"/>
        <v>0.2826</v>
      </c>
      <c r="F847" s="274">
        <f t="shared" si="227"/>
        <v>9.42</v>
      </c>
      <c r="G847" s="268"/>
      <c r="H847" s="268"/>
      <c r="I847" s="268"/>
      <c r="J847" s="268"/>
    </row>
    <row r="848" hidden="1" outlineLevel="2">
      <c r="A848" s="284" t="s">
        <v>13</v>
      </c>
      <c r="B848" s="279">
        <f t="shared" si="224"/>
        <v>0.4</v>
      </c>
      <c r="C848" s="436">
        <v>1.0</v>
      </c>
      <c r="D848" s="280">
        <f>Lyra!D339</f>
        <v>1</v>
      </c>
      <c r="E848" s="281">
        <f t="shared" si="226"/>
        <v>0.29</v>
      </c>
      <c r="F848" s="274">
        <f t="shared" si="227"/>
        <v>9.666666667</v>
      </c>
      <c r="G848" s="268"/>
      <c r="H848" s="268"/>
      <c r="I848" s="268"/>
      <c r="J848" s="268"/>
    </row>
    <row r="849" hidden="1" outlineLevel="2">
      <c r="A849" s="283" t="s">
        <v>428</v>
      </c>
      <c r="B849" s="276">
        <f t="shared" si="224"/>
        <v>0.4</v>
      </c>
      <c r="C849" s="436">
        <v>1.0</v>
      </c>
      <c r="D849" s="280">
        <f>Mikka!D286</f>
        <v>1</v>
      </c>
      <c r="E849" s="277">
        <f t="shared" si="226"/>
        <v>0.2916</v>
      </c>
      <c r="F849" s="274">
        <f t="shared" si="227"/>
        <v>9.72</v>
      </c>
      <c r="G849" s="268"/>
      <c r="H849" s="268"/>
      <c r="I849" s="268"/>
      <c r="J849" s="268"/>
    </row>
    <row r="850" hidden="1" outlineLevel="2">
      <c r="A850" s="286"/>
      <c r="B850" s="286"/>
      <c r="C850" s="287"/>
      <c r="D850" s="288"/>
      <c r="E850" s="289"/>
      <c r="F850" s="268"/>
      <c r="G850" s="268"/>
      <c r="H850" s="268"/>
      <c r="I850" s="268"/>
      <c r="J850" s="268"/>
    </row>
    <row r="851" hidden="1" outlineLevel="2">
      <c r="A851" s="195" t="s">
        <v>269</v>
      </c>
      <c r="B851" s="286"/>
      <c r="C851" s="287"/>
      <c r="D851" s="288"/>
      <c r="E851" s="289"/>
      <c r="F851" s="268"/>
      <c r="G851" s="268"/>
      <c r="H851" s="268"/>
      <c r="I851" s="268"/>
      <c r="J851" s="268"/>
    </row>
    <row r="852" hidden="1" outlineLevel="2">
      <c r="A852" s="290" t="s">
        <v>240</v>
      </c>
      <c r="B852" s="291" t="s">
        <v>270</v>
      </c>
      <c r="C852" s="198">
        <v>46153.0</v>
      </c>
      <c r="D852" s="198">
        <v>46154.0</v>
      </c>
      <c r="E852" s="198">
        <v>46155.0</v>
      </c>
      <c r="F852" s="198">
        <v>46156.0</v>
      </c>
      <c r="G852" s="198">
        <v>46157.0</v>
      </c>
      <c r="H852" s="198">
        <v>46158.0</v>
      </c>
      <c r="I852" s="198">
        <v>46159.0</v>
      </c>
      <c r="J852" s="268"/>
    </row>
    <row r="853" hidden="1" outlineLevel="2">
      <c r="A853" s="325"/>
      <c r="B853" s="325"/>
      <c r="C853" s="205" t="s">
        <v>192</v>
      </c>
      <c r="D853" s="205" t="s">
        <v>272</v>
      </c>
      <c r="E853" s="205" t="s">
        <v>273</v>
      </c>
      <c r="F853" s="205" t="s">
        <v>274</v>
      </c>
      <c r="G853" s="205" t="s">
        <v>275</v>
      </c>
      <c r="H853" s="205" t="s">
        <v>276</v>
      </c>
      <c r="I853" s="205" t="s">
        <v>277</v>
      </c>
    </row>
    <row r="854" hidden="1" outlineLevel="2">
      <c r="A854" s="278" t="s">
        <v>25</v>
      </c>
      <c r="B854" s="293">
        <f t="shared" ref="B854:B861" si="228">Sum(C854:I854)</f>
        <v>0</v>
      </c>
      <c r="C854" s="296"/>
      <c r="D854" s="297"/>
      <c r="E854" s="297"/>
      <c r="F854" s="297"/>
      <c r="G854" s="296"/>
      <c r="H854" s="296"/>
      <c r="I854" s="296"/>
    </row>
    <row r="855" hidden="1" outlineLevel="2">
      <c r="A855" s="275" t="s">
        <v>4</v>
      </c>
      <c r="B855" s="293">
        <f t="shared" si="228"/>
        <v>0</v>
      </c>
      <c r="C855" s="295"/>
      <c r="D855" s="295"/>
      <c r="E855" s="295"/>
      <c r="F855" s="295"/>
      <c r="G855" s="295"/>
      <c r="H855" s="294"/>
      <c r="I855" s="295"/>
    </row>
    <row r="856" hidden="1" outlineLevel="2">
      <c r="A856" s="278" t="s">
        <v>19</v>
      </c>
      <c r="B856" s="293">
        <f t="shared" si="228"/>
        <v>0</v>
      </c>
      <c r="C856" s="296"/>
      <c r="D856" s="297"/>
      <c r="E856" s="296"/>
      <c r="F856" s="296"/>
      <c r="G856" s="296"/>
      <c r="H856" s="296"/>
      <c r="I856" s="297"/>
    </row>
    <row r="857" hidden="1" outlineLevel="2">
      <c r="A857" s="275" t="s">
        <v>30</v>
      </c>
      <c r="B857" s="293">
        <f t="shared" si="228"/>
        <v>0</v>
      </c>
      <c r="C857" s="295"/>
      <c r="D857" s="295"/>
      <c r="E857" s="295"/>
      <c r="F857" s="295"/>
      <c r="G857" s="295"/>
      <c r="H857" s="295"/>
      <c r="I857" s="294"/>
    </row>
    <row r="858" hidden="1" outlineLevel="2">
      <c r="A858" s="282" t="s">
        <v>31</v>
      </c>
      <c r="B858" s="293">
        <f t="shared" si="228"/>
        <v>0</v>
      </c>
      <c r="C858" s="296"/>
      <c r="D858" s="296"/>
      <c r="E858" s="296"/>
      <c r="F858" s="296"/>
      <c r="G858" s="296"/>
      <c r="H858" s="296"/>
      <c r="I858" s="297"/>
    </row>
    <row r="859" ht="16.5" hidden="1" customHeight="1" outlineLevel="2">
      <c r="A859" s="283" t="s">
        <v>129</v>
      </c>
      <c r="B859" s="293">
        <f t="shared" si="228"/>
        <v>0</v>
      </c>
      <c r="C859" s="295"/>
      <c r="D859" s="295"/>
      <c r="E859" s="295"/>
      <c r="F859" s="295"/>
      <c r="G859" s="295"/>
      <c r="H859" s="295"/>
      <c r="I859" s="295"/>
    </row>
    <row r="860" hidden="1" outlineLevel="2">
      <c r="A860" s="284" t="s">
        <v>13</v>
      </c>
      <c r="B860" s="293">
        <f t="shared" si="228"/>
        <v>0</v>
      </c>
      <c r="C860" s="297"/>
      <c r="D860" s="297"/>
      <c r="E860" s="296"/>
      <c r="F860" s="296"/>
      <c r="G860" s="296"/>
      <c r="H860" s="296"/>
      <c r="I860" s="297"/>
    </row>
    <row r="861" hidden="1" outlineLevel="2">
      <c r="A861" s="283" t="s">
        <v>64</v>
      </c>
      <c r="B861" s="293">
        <f t="shared" si="228"/>
        <v>0</v>
      </c>
      <c r="C861" s="294"/>
      <c r="D861" s="294"/>
      <c r="E861" s="295"/>
      <c r="F861" s="294"/>
      <c r="G861" s="295"/>
      <c r="H861" s="295"/>
      <c r="I861" s="294"/>
    </row>
    <row r="862" hidden="1" outlineLevel="1" collapsed="1">
      <c r="A862" s="192" t="s">
        <v>1042</v>
      </c>
    </row>
    <row r="863" hidden="1" outlineLevel="2">
      <c r="A863" s="195" t="s">
        <v>186</v>
      </c>
    </row>
    <row r="864" hidden="1" outlineLevel="2">
      <c r="A864" s="196" t="s">
        <v>187</v>
      </c>
      <c r="B864" s="197" t="s">
        <v>77</v>
      </c>
      <c r="C864" s="197" t="s">
        <v>189</v>
      </c>
      <c r="D864" s="198">
        <v>46181.0</v>
      </c>
      <c r="E864" s="198">
        <v>46182.0</v>
      </c>
      <c r="F864" s="198">
        <v>46183.0</v>
      </c>
      <c r="G864" s="198">
        <v>46184.0</v>
      </c>
      <c r="H864" s="198">
        <v>46185.0</v>
      </c>
      <c r="I864" s="198">
        <v>46186.0</v>
      </c>
      <c r="J864" s="198">
        <v>46187.0</v>
      </c>
      <c r="K864" s="199" t="s">
        <v>190</v>
      </c>
      <c r="L864" s="201" t="s">
        <v>191</v>
      </c>
    </row>
    <row r="865" hidden="1" outlineLevel="2">
      <c r="A865" s="415"/>
      <c r="B865" s="325"/>
      <c r="C865" s="325"/>
      <c r="D865" s="205" t="s">
        <v>192</v>
      </c>
      <c r="E865" s="205" t="str">
        <f t="shared" ref="E865:J865" si="229">text(E864,"ddd")</f>
        <v>Tue</v>
      </c>
      <c r="F865" s="205" t="str">
        <f t="shared" si="229"/>
        <v>Wed</v>
      </c>
      <c r="G865" s="205" t="str">
        <f t="shared" si="229"/>
        <v>Thu</v>
      </c>
      <c r="H865" s="205" t="str">
        <f t="shared" si="229"/>
        <v>Fri</v>
      </c>
      <c r="I865" s="205" t="str">
        <f t="shared" si="229"/>
        <v>Sat</v>
      </c>
      <c r="J865" s="205" t="str">
        <f t="shared" si="229"/>
        <v>Sun</v>
      </c>
      <c r="K865" s="206"/>
      <c r="L865" s="203"/>
    </row>
    <row r="866" hidden="1" outlineLevel="2">
      <c r="A866" s="403" t="s">
        <v>194</v>
      </c>
      <c r="B866" s="404">
        <f>15+15+15+7+10</f>
        <v>62</v>
      </c>
      <c r="C866" s="404">
        <f t="shared" ref="C866:C873" si="230">SUM(D866:J866)</f>
        <v>69</v>
      </c>
      <c r="D866" s="405" t="s">
        <v>92</v>
      </c>
      <c r="E866" s="405" t="s">
        <v>92</v>
      </c>
      <c r="F866" s="405">
        <v>13.0</v>
      </c>
      <c r="G866" s="405">
        <v>8.0</v>
      </c>
      <c r="H866" s="405">
        <v>16.0</v>
      </c>
      <c r="I866" s="405">
        <v>20.0</v>
      </c>
      <c r="J866" s="211">
        <v>12.0</v>
      </c>
      <c r="K866" s="214">
        <f t="shared" ref="K866:K873" si="231">iferror(C866/B866,"-")</f>
        <v>1.112903226</v>
      </c>
      <c r="L866" s="219">
        <f t="shared" ref="L866:L873" si="232">(IF(K866="",(0),IF(K866&gt;=1,(5),IF(K866&gt;=0.9,(4),IF(K866&gt;=0.8,(3),IF(K866&gt;=0.69,(2),IF(K866&lt;=0.69,(1))))))))</f>
        <v>5</v>
      </c>
    </row>
    <row r="867" hidden="1" outlineLevel="2">
      <c r="A867" s="400" t="s">
        <v>118</v>
      </c>
      <c r="B867" s="401">
        <f>30+25+20+20+25</f>
        <v>120</v>
      </c>
      <c r="C867" s="401">
        <f t="shared" si="230"/>
        <v>110</v>
      </c>
      <c r="D867" s="417">
        <v>28.0</v>
      </c>
      <c r="E867" s="402">
        <v>16.0</v>
      </c>
      <c r="F867" s="402">
        <v>21.0</v>
      </c>
      <c r="G867" s="402">
        <v>22.0</v>
      </c>
      <c r="H867" s="402">
        <v>23.0</v>
      </c>
      <c r="I867" s="402" t="s">
        <v>92</v>
      </c>
      <c r="J867" s="211" t="s">
        <v>92</v>
      </c>
      <c r="K867" s="214">
        <f t="shared" si="231"/>
        <v>0.9166666667</v>
      </c>
      <c r="L867" s="219">
        <f t="shared" si="232"/>
        <v>4</v>
      </c>
    </row>
    <row r="868" hidden="1" outlineLevel="2">
      <c r="A868" s="403" t="s">
        <v>19</v>
      </c>
      <c r="B868" s="404">
        <f>20*5</f>
        <v>100</v>
      </c>
      <c r="C868" s="404">
        <f t="shared" si="230"/>
        <v>98</v>
      </c>
      <c r="D868" s="405">
        <v>17.0</v>
      </c>
      <c r="E868" s="405">
        <v>24.0</v>
      </c>
      <c r="F868" s="405" t="s">
        <v>92</v>
      </c>
      <c r="G868" s="405">
        <v>17.0</v>
      </c>
      <c r="H868" s="405">
        <v>21.0</v>
      </c>
      <c r="I868" s="405">
        <v>19.0</v>
      </c>
      <c r="J868" s="211" t="s">
        <v>92</v>
      </c>
      <c r="K868" s="214">
        <f t="shared" si="231"/>
        <v>0.98</v>
      </c>
      <c r="L868" s="219">
        <f t="shared" si="232"/>
        <v>4</v>
      </c>
    </row>
    <row r="869" hidden="1" outlineLevel="2">
      <c r="A869" s="400" t="s">
        <v>120</v>
      </c>
      <c r="B869" s="401">
        <f>20+15+15+7+13</f>
        <v>70</v>
      </c>
      <c r="C869" s="401">
        <f t="shared" si="230"/>
        <v>67</v>
      </c>
      <c r="D869" s="402">
        <v>19.0</v>
      </c>
      <c r="E869" s="402">
        <v>14.0</v>
      </c>
      <c r="F869" s="402" t="s">
        <v>92</v>
      </c>
      <c r="G869" s="402" t="s">
        <v>92</v>
      </c>
      <c r="H869" s="402">
        <v>14.0</v>
      </c>
      <c r="I869" s="402">
        <v>7.0</v>
      </c>
      <c r="J869" s="211">
        <v>13.0</v>
      </c>
      <c r="K869" s="214">
        <f t="shared" si="231"/>
        <v>0.9571428571</v>
      </c>
      <c r="L869" s="219">
        <f t="shared" si="232"/>
        <v>4</v>
      </c>
    </row>
    <row r="870" hidden="1" outlineLevel="2">
      <c r="A870" s="282" t="s">
        <v>22</v>
      </c>
      <c r="B870" s="407">
        <f>15+10+20+10+10</f>
        <v>65</v>
      </c>
      <c r="C870" s="404">
        <f t="shared" si="230"/>
        <v>65</v>
      </c>
      <c r="D870" s="405">
        <v>10.0</v>
      </c>
      <c r="E870" s="405">
        <v>11.0</v>
      </c>
      <c r="F870" s="405">
        <v>15.0</v>
      </c>
      <c r="G870" s="405">
        <v>15.0</v>
      </c>
      <c r="H870" s="405">
        <v>14.0</v>
      </c>
      <c r="I870" s="405" t="s">
        <v>92</v>
      </c>
      <c r="J870" s="211" t="s">
        <v>92</v>
      </c>
      <c r="K870" s="214">
        <f t="shared" si="231"/>
        <v>1</v>
      </c>
      <c r="L870" s="219">
        <f t="shared" si="232"/>
        <v>5</v>
      </c>
    </row>
    <row r="871" hidden="1" outlineLevel="2">
      <c r="A871" s="283" t="s">
        <v>129</v>
      </c>
      <c r="B871" s="401">
        <f>35+30+30+30+20</f>
        <v>145</v>
      </c>
      <c r="C871" s="401">
        <f t="shared" si="230"/>
        <v>147</v>
      </c>
      <c r="D871" s="402">
        <v>33.0</v>
      </c>
      <c r="E871" s="402">
        <v>30.0</v>
      </c>
      <c r="F871" s="402">
        <v>31.0</v>
      </c>
      <c r="G871" s="402">
        <v>34.0</v>
      </c>
      <c r="H871" s="402" t="s">
        <v>92</v>
      </c>
      <c r="I871" s="402" t="s">
        <v>92</v>
      </c>
      <c r="J871" s="211">
        <v>19.0</v>
      </c>
      <c r="K871" s="214">
        <f t="shared" si="231"/>
        <v>1.013793103</v>
      </c>
      <c r="L871" s="219">
        <f t="shared" si="232"/>
        <v>5</v>
      </c>
    </row>
    <row r="872" hidden="1" outlineLevel="2">
      <c r="A872" s="284" t="s">
        <v>13</v>
      </c>
      <c r="B872" s="407">
        <f>20+15+15+30</f>
        <v>80</v>
      </c>
      <c r="C872" s="404">
        <f t="shared" si="230"/>
        <v>84</v>
      </c>
      <c r="D872" s="405">
        <v>21.0</v>
      </c>
      <c r="E872" s="405">
        <v>12.0</v>
      </c>
      <c r="F872" s="405">
        <v>14.0</v>
      </c>
      <c r="G872" s="405">
        <v>13.0</v>
      </c>
      <c r="H872" s="405">
        <v>24.0</v>
      </c>
      <c r="I872" s="405" t="s">
        <v>92</v>
      </c>
      <c r="J872" s="211" t="s">
        <v>92</v>
      </c>
      <c r="K872" s="214">
        <f t="shared" si="231"/>
        <v>1.05</v>
      </c>
      <c r="L872" s="219">
        <f t="shared" si="232"/>
        <v>5</v>
      </c>
    </row>
    <row r="873" hidden="1" outlineLevel="2">
      <c r="A873" s="283" t="s">
        <v>428</v>
      </c>
      <c r="B873" s="406">
        <f>20+15+20+20+15</f>
        <v>90</v>
      </c>
      <c r="C873" s="401">
        <f t="shared" si="230"/>
        <v>84</v>
      </c>
      <c r="D873" s="402" t="s">
        <v>92</v>
      </c>
      <c r="E873" s="402">
        <v>19.0</v>
      </c>
      <c r="F873" s="402">
        <v>16.0</v>
      </c>
      <c r="G873" s="402">
        <v>20.0</v>
      </c>
      <c r="H873" s="402" t="s">
        <v>92</v>
      </c>
      <c r="I873" s="402">
        <v>17.0</v>
      </c>
      <c r="J873" s="211">
        <v>12.0</v>
      </c>
      <c r="K873" s="214">
        <f t="shared" si="231"/>
        <v>0.9333333333</v>
      </c>
      <c r="L873" s="219">
        <f t="shared" si="232"/>
        <v>4</v>
      </c>
    </row>
    <row r="874" hidden="1" outlineLevel="2"/>
    <row r="875" hidden="1" outlineLevel="2">
      <c r="A875" s="195" t="s">
        <v>135</v>
      </c>
      <c r="I875" s="195"/>
    </row>
    <row r="876" hidden="1" outlineLevel="2">
      <c r="A876" s="196" t="s">
        <v>187</v>
      </c>
      <c r="B876" s="225" t="s">
        <v>218</v>
      </c>
      <c r="C876" s="225" t="s">
        <v>219</v>
      </c>
      <c r="D876" s="225" t="s">
        <v>139</v>
      </c>
      <c r="E876" s="225" t="s">
        <v>140</v>
      </c>
      <c r="F876" s="225" t="s">
        <v>141</v>
      </c>
      <c r="G876" s="226" t="s">
        <v>143</v>
      </c>
      <c r="H876" s="226" t="s">
        <v>221</v>
      </c>
    </row>
    <row r="877" hidden="1" outlineLevel="2">
      <c r="A877" s="415"/>
      <c r="B877" s="325"/>
      <c r="C877" s="325"/>
      <c r="D877" s="325"/>
      <c r="E877" s="325"/>
      <c r="F877" s="325"/>
      <c r="G877" s="325"/>
      <c r="H877" s="325"/>
    </row>
    <row r="878" hidden="1" outlineLevel="2">
      <c r="A878" s="403" t="s">
        <v>194</v>
      </c>
      <c r="B878" s="405">
        <v>69.0</v>
      </c>
      <c r="C878" s="405">
        <v>68.0</v>
      </c>
      <c r="D878" s="410">
        <f t="shared" ref="D878:D885" si="233">B878-C878</f>
        <v>1</v>
      </c>
      <c r="E878" s="411">
        <f t="shared" ref="E878:E885" si="234">IFERROR(C878/B878,"")</f>
        <v>0.9855072464</v>
      </c>
      <c r="F878" s="412">
        <v>0.0024537037037037036</v>
      </c>
      <c r="G878" s="240">
        <f t="shared" ref="G878:G885" si="235">IFERROR((IF(E878="",(0),IF(E878&gt;=0.98,(5),IF(E878&gt;=0.95,(4.5),IF(E878&gt;=0.9,(4),IF(E878&gt;=0.8,(3),IF(E878&lt;=0.69,(1)))))))),"")</f>
        <v>5</v>
      </c>
      <c r="H878" s="240">
        <f>ROUND(
IF(F878="",
0,
MAX(1, 5 - MAX(0, (F878 - TIME(0,4,0)) / TIME(0,1,0) * 0.5))
),
2
)
</f>
        <v>5</v>
      </c>
    </row>
    <row r="879" hidden="1" outlineLevel="2">
      <c r="A879" s="400" t="s">
        <v>118</v>
      </c>
      <c r="B879" s="402">
        <v>110.0</v>
      </c>
      <c r="C879" s="402">
        <v>105.0</v>
      </c>
      <c r="D879" s="136">
        <f t="shared" si="233"/>
        <v>5</v>
      </c>
      <c r="E879" s="408">
        <f t="shared" si="234"/>
        <v>0.9545454545</v>
      </c>
      <c r="F879" s="409">
        <v>0.004224537037037037</v>
      </c>
      <c r="G879" s="240">
        <f t="shared" si="235"/>
        <v>4.5</v>
      </c>
      <c r="H879" s="240">
        <f>ROUND(
IF(F879="",
0,
MAX(1, 5 - MAX(0, (F879 - TIME(0,5,0)) / TIME(0,1,0) * 0.5))
),
2
)
</f>
        <v>4.46</v>
      </c>
    </row>
    <row r="880" hidden="1" outlineLevel="2">
      <c r="A880" s="403" t="s">
        <v>19</v>
      </c>
      <c r="B880" s="405">
        <v>99.0</v>
      </c>
      <c r="C880" s="405">
        <v>95.0</v>
      </c>
      <c r="D880" s="410">
        <f t="shared" si="233"/>
        <v>4</v>
      </c>
      <c r="E880" s="411">
        <f t="shared" si="234"/>
        <v>0.9595959596</v>
      </c>
      <c r="F880" s="412">
        <v>0.0042824074074074075</v>
      </c>
      <c r="G880" s="240">
        <f t="shared" si="235"/>
        <v>4.5</v>
      </c>
      <c r="H880" s="240">
        <f>ROUND(
IF(F880="",
0,
MAX(1, 5 - MAX(0, (F880 - TIME(0,4,0)) / TIME(0,1,0) * 0.5))
),
2
)
</f>
        <v>3.92</v>
      </c>
    </row>
    <row r="881" hidden="1" outlineLevel="2">
      <c r="A881" s="423" t="s">
        <v>120</v>
      </c>
      <c r="B881" s="402">
        <v>67.0</v>
      </c>
      <c r="C881" s="402">
        <v>65.0</v>
      </c>
      <c r="D881" s="136">
        <f t="shared" si="233"/>
        <v>2</v>
      </c>
      <c r="E881" s="408">
        <f t="shared" si="234"/>
        <v>0.9701492537</v>
      </c>
      <c r="F881" s="409">
        <v>0.0031018518518518517</v>
      </c>
      <c r="G881" s="240">
        <f t="shared" si="235"/>
        <v>4.5</v>
      </c>
      <c r="H881" s="240">
        <f>ROUND(
IF(F881="",
0,
MAX(1, 5 - MAX(0, (F881 - TIME(0,5,0)) / TIME(0,1,0) * 0.5))
),
2
)
</f>
        <v>5</v>
      </c>
    </row>
    <row r="882" hidden="1" outlineLevel="2">
      <c r="A882" s="424" t="s">
        <v>22</v>
      </c>
      <c r="B882" s="405">
        <v>65.0</v>
      </c>
      <c r="C882" s="405">
        <v>65.0</v>
      </c>
      <c r="D882" s="410">
        <f t="shared" si="233"/>
        <v>0</v>
      </c>
      <c r="E882" s="411">
        <f t="shared" si="234"/>
        <v>1</v>
      </c>
      <c r="F882" s="412">
        <v>0.0020486111111111113</v>
      </c>
      <c r="G882" s="240">
        <f t="shared" si="235"/>
        <v>5</v>
      </c>
      <c r="H882" s="240">
        <f>ROUND(
IF(F882="",
0,
MAX(1, 5 - MAX(0, (F882 - TIME(0,4,0)) / TIME(0,1,0) * 0.5))
),
2
)
</f>
        <v>5</v>
      </c>
    </row>
    <row r="883" hidden="1" outlineLevel="2">
      <c r="A883" s="283" t="s">
        <v>129</v>
      </c>
      <c r="B883" s="402">
        <v>147.0</v>
      </c>
      <c r="C883" s="402">
        <v>144.0</v>
      </c>
      <c r="D883" s="136">
        <f t="shared" si="233"/>
        <v>3</v>
      </c>
      <c r="E883" s="408">
        <f t="shared" si="234"/>
        <v>0.9795918367</v>
      </c>
      <c r="F883" s="409">
        <v>0.004629629629629629</v>
      </c>
      <c r="G883" s="240">
        <f t="shared" si="235"/>
        <v>4.5</v>
      </c>
      <c r="H883" s="240">
        <f t="shared" ref="H883:H885" si="236">ROUND(
IF(F883="",
0,
MAX(1, 5 - MAX(0, (F883 - TIME(0,5,0)) / TIME(0,1,0) * 0.5))
),
2
)
</f>
        <v>4.17</v>
      </c>
    </row>
    <row r="884" hidden="1" outlineLevel="2">
      <c r="A884" s="428" t="s">
        <v>13</v>
      </c>
      <c r="B884" s="405">
        <v>89.0</v>
      </c>
      <c r="C884" s="405">
        <v>89.0</v>
      </c>
      <c r="D884" s="410">
        <f t="shared" si="233"/>
        <v>0</v>
      </c>
      <c r="E884" s="411">
        <f t="shared" si="234"/>
        <v>1</v>
      </c>
      <c r="F884" s="412">
        <v>0.004641203703703704</v>
      </c>
      <c r="G884" s="240">
        <f t="shared" si="235"/>
        <v>5</v>
      </c>
      <c r="H884" s="240">
        <f t="shared" si="236"/>
        <v>4.16</v>
      </c>
    </row>
    <row r="885" hidden="1" outlineLevel="2">
      <c r="A885" s="283" t="s">
        <v>428</v>
      </c>
      <c r="B885" s="402">
        <v>86.0</v>
      </c>
      <c r="C885" s="402">
        <v>83.0</v>
      </c>
      <c r="D885" s="136">
        <f t="shared" si="233"/>
        <v>3</v>
      </c>
      <c r="E885" s="408">
        <f t="shared" si="234"/>
        <v>0.9651162791</v>
      </c>
      <c r="F885" s="409">
        <v>0.004247685185185185</v>
      </c>
      <c r="G885" s="240">
        <f t="shared" si="235"/>
        <v>4.5</v>
      </c>
      <c r="H885" s="240">
        <f t="shared" si="236"/>
        <v>4.44</v>
      </c>
    </row>
    <row r="886" hidden="1" outlineLevel="2"/>
    <row r="887" hidden="1" outlineLevel="2">
      <c r="A887" s="195" t="s">
        <v>239</v>
      </c>
    </row>
    <row r="888" hidden="1" outlineLevel="2">
      <c r="A888" s="260" t="s">
        <v>240</v>
      </c>
      <c r="B888" s="262" t="s">
        <v>241</v>
      </c>
      <c r="C888" s="264" t="s">
        <v>242</v>
      </c>
      <c r="D888" s="264" t="s">
        <v>243</v>
      </c>
      <c r="E888" s="265" t="s">
        <v>244</v>
      </c>
      <c r="F888" s="267" t="s">
        <v>247</v>
      </c>
      <c r="G888" s="268"/>
    </row>
    <row r="889" hidden="1" outlineLevel="2">
      <c r="A889" s="275" t="s">
        <v>25</v>
      </c>
      <c r="B889" s="276" t="str">
        <f t="shared" ref="B889:B896" si="237">(C889*0.3)+(D889*0.1)</f>
        <v>#REF!</v>
      </c>
      <c r="C889" s="436">
        <v>1.0</v>
      </c>
      <c r="D889" s="272" t="str">
        <f t="shared" ref="D889:D894" si="238">#REF!</f>
        <v>#REF!</v>
      </c>
      <c r="E889" s="277">
        <f t="shared" ref="E889:E896" si="239">(L866+G878+H878)/15*0.3</f>
        <v>0.3</v>
      </c>
      <c r="F889" s="274">
        <f t="shared" ref="F889:F896" si="240">(E889/30%)*10</f>
        <v>10</v>
      </c>
      <c r="G889" s="268"/>
      <c r="H889" s="268"/>
      <c r="I889" s="268"/>
      <c r="J889" s="268"/>
    </row>
    <row r="890" hidden="1" outlineLevel="2">
      <c r="A890" s="278" t="s">
        <v>4</v>
      </c>
      <c r="B890" s="279" t="str">
        <f t="shared" si="237"/>
        <v>#REF!</v>
      </c>
      <c r="C890" s="436">
        <v>0.6</v>
      </c>
      <c r="D890" s="272" t="str">
        <f t="shared" si="238"/>
        <v>#REF!</v>
      </c>
      <c r="E890" s="281">
        <f t="shared" si="239"/>
        <v>0.2592</v>
      </c>
      <c r="F890" s="274">
        <f t="shared" si="240"/>
        <v>8.64</v>
      </c>
      <c r="G890" s="268"/>
      <c r="H890" s="268"/>
      <c r="I890" s="268"/>
      <c r="J890" s="268"/>
    </row>
    <row r="891" hidden="1" outlineLevel="2">
      <c r="A891" s="275" t="s">
        <v>19</v>
      </c>
      <c r="B891" s="276" t="str">
        <f t="shared" si="237"/>
        <v>#REF!</v>
      </c>
      <c r="C891" s="436">
        <v>0.9</v>
      </c>
      <c r="D891" s="280" t="str">
        <f t="shared" si="238"/>
        <v>#REF!</v>
      </c>
      <c r="E891" s="277">
        <f t="shared" si="239"/>
        <v>0.2484</v>
      </c>
      <c r="F891" s="274">
        <f t="shared" si="240"/>
        <v>8.28</v>
      </c>
      <c r="G891" s="268"/>
      <c r="H891" s="268"/>
      <c r="I891" s="268"/>
      <c r="J891" s="268"/>
    </row>
    <row r="892" hidden="1" outlineLevel="2">
      <c r="A892" s="278" t="s">
        <v>30</v>
      </c>
      <c r="B892" s="279" t="str">
        <f t="shared" si="237"/>
        <v>#REF!</v>
      </c>
      <c r="C892" s="436">
        <v>1.0</v>
      </c>
      <c r="D892" s="280" t="str">
        <f t="shared" si="238"/>
        <v>#REF!</v>
      </c>
      <c r="E892" s="281">
        <f t="shared" si="239"/>
        <v>0.27</v>
      </c>
      <c r="F892" s="274">
        <f t="shared" si="240"/>
        <v>9</v>
      </c>
      <c r="G892" s="268"/>
      <c r="H892" s="268"/>
      <c r="I892" s="268"/>
      <c r="J892" s="268"/>
    </row>
    <row r="893" hidden="1" outlineLevel="2">
      <c r="A893" s="301" t="s">
        <v>31</v>
      </c>
      <c r="B893" s="276" t="str">
        <f t="shared" si="237"/>
        <v>#REF!</v>
      </c>
      <c r="C893" s="436">
        <v>1.0</v>
      </c>
      <c r="D893" s="280" t="str">
        <f t="shared" si="238"/>
        <v>#REF!</v>
      </c>
      <c r="E893" s="277">
        <f t="shared" si="239"/>
        <v>0.3</v>
      </c>
      <c r="F893" s="274">
        <f t="shared" si="240"/>
        <v>10</v>
      </c>
      <c r="G893" s="268"/>
      <c r="H893" s="268"/>
      <c r="I893" s="268"/>
      <c r="J893" s="268"/>
    </row>
    <row r="894" hidden="1" outlineLevel="2">
      <c r="A894" s="284" t="s">
        <v>129</v>
      </c>
      <c r="B894" s="279" t="str">
        <f t="shared" si="237"/>
        <v>#REF!</v>
      </c>
      <c r="C894" s="436">
        <v>1.0</v>
      </c>
      <c r="D894" s="280" t="str">
        <f t="shared" si="238"/>
        <v>#REF!</v>
      </c>
      <c r="E894" s="281">
        <f t="shared" si="239"/>
        <v>0.2734</v>
      </c>
      <c r="F894" s="274">
        <f t="shared" si="240"/>
        <v>9.113333333</v>
      </c>
      <c r="G894" s="268"/>
      <c r="H894" s="268"/>
      <c r="I894" s="268"/>
      <c r="J894" s="268"/>
    </row>
    <row r="895" hidden="1" outlineLevel="2">
      <c r="A895" s="283" t="s">
        <v>13</v>
      </c>
      <c r="B895" s="276">
        <f t="shared" si="237"/>
        <v>0.4</v>
      </c>
      <c r="C895" s="436">
        <v>1.0</v>
      </c>
      <c r="D895" s="280">
        <f>Lyra!D356</f>
        <v>1</v>
      </c>
      <c r="E895" s="277">
        <f t="shared" si="239"/>
        <v>0.2832</v>
      </c>
      <c r="F895" s="274">
        <f t="shared" si="240"/>
        <v>9.44</v>
      </c>
      <c r="G895" s="268"/>
      <c r="H895" s="268"/>
      <c r="I895" s="268"/>
      <c r="J895" s="268"/>
    </row>
    <row r="896" hidden="1" outlineLevel="2">
      <c r="A896" s="284" t="s">
        <v>428</v>
      </c>
      <c r="B896" s="279">
        <f t="shared" si="237"/>
        <v>0.4</v>
      </c>
      <c r="C896" s="436">
        <v>1.0</v>
      </c>
      <c r="D896" s="280">
        <f>Mikka!D304</f>
        <v>1</v>
      </c>
      <c r="E896" s="281">
        <f t="shared" si="239"/>
        <v>0.2588</v>
      </c>
      <c r="F896" s="274">
        <f t="shared" si="240"/>
        <v>8.626666667</v>
      </c>
      <c r="G896" s="268"/>
      <c r="H896" s="268"/>
      <c r="I896" s="268"/>
      <c r="J896" s="268"/>
    </row>
    <row r="897" hidden="1" outlineLevel="2">
      <c r="A897" s="286"/>
      <c r="B897" s="286"/>
      <c r="C897" s="287"/>
      <c r="D897" s="288"/>
      <c r="E897" s="289"/>
      <c r="F897" s="268"/>
      <c r="G897" s="268"/>
      <c r="H897" s="268"/>
      <c r="I897" s="268"/>
      <c r="J897" s="268"/>
    </row>
    <row r="898" hidden="1" outlineLevel="2">
      <c r="A898" s="195" t="s">
        <v>269</v>
      </c>
      <c r="B898" s="286"/>
      <c r="C898" s="287"/>
      <c r="D898" s="288"/>
      <c r="E898" s="289"/>
      <c r="F898" s="268"/>
      <c r="G898" s="268"/>
      <c r="H898" s="268"/>
      <c r="I898" s="268"/>
      <c r="J898" s="268"/>
    </row>
    <row r="899" hidden="1" outlineLevel="2">
      <c r="A899" s="290" t="s">
        <v>240</v>
      </c>
      <c r="B899" s="291" t="s">
        <v>270</v>
      </c>
      <c r="C899" s="198">
        <v>46153.0</v>
      </c>
      <c r="D899" s="198">
        <v>46154.0</v>
      </c>
      <c r="E899" s="198">
        <v>46155.0</v>
      </c>
      <c r="F899" s="198">
        <v>46156.0</v>
      </c>
      <c r="G899" s="198">
        <v>46157.0</v>
      </c>
      <c r="H899" s="198">
        <v>46158.0</v>
      </c>
      <c r="I899" s="198">
        <v>46159.0</v>
      </c>
      <c r="J899" s="268"/>
    </row>
    <row r="900" hidden="1" outlineLevel="2">
      <c r="A900" s="292"/>
      <c r="B900" s="292"/>
      <c r="C900" s="205" t="s">
        <v>192</v>
      </c>
      <c r="D900" s="205" t="s">
        <v>272</v>
      </c>
      <c r="E900" s="205" t="s">
        <v>273</v>
      </c>
      <c r="F900" s="205" t="s">
        <v>274</v>
      </c>
      <c r="G900" s="205" t="s">
        <v>275</v>
      </c>
      <c r="H900" s="205" t="s">
        <v>276</v>
      </c>
      <c r="I900" s="205" t="s">
        <v>277</v>
      </c>
    </row>
    <row r="901" hidden="1" outlineLevel="2">
      <c r="A901" s="275" t="s">
        <v>25</v>
      </c>
      <c r="B901" s="293">
        <f t="shared" ref="B901:B908" si="241">Sum(C901:I901)</f>
        <v>0</v>
      </c>
      <c r="C901" s="295"/>
      <c r="D901" s="294"/>
      <c r="E901" s="294"/>
      <c r="F901" s="294"/>
      <c r="G901" s="295"/>
      <c r="H901" s="295"/>
      <c r="I901" s="295"/>
    </row>
    <row r="902" hidden="1" outlineLevel="2">
      <c r="A902" s="278" t="s">
        <v>4</v>
      </c>
      <c r="B902" s="293">
        <f t="shared" si="241"/>
        <v>0</v>
      </c>
      <c r="C902" s="296"/>
      <c r="D902" s="296"/>
      <c r="E902" s="296"/>
      <c r="F902" s="296"/>
      <c r="G902" s="296"/>
      <c r="H902" s="297"/>
      <c r="I902" s="296"/>
    </row>
    <row r="903" hidden="1" outlineLevel="2">
      <c r="A903" s="275" t="s">
        <v>19</v>
      </c>
      <c r="B903" s="293">
        <f t="shared" si="241"/>
        <v>0</v>
      </c>
      <c r="C903" s="295"/>
      <c r="D903" s="294"/>
      <c r="E903" s="295"/>
      <c r="F903" s="295"/>
      <c r="G903" s="295"/>
      <c r="H903" s="295"/>
      <c r="I903" s="294"/>
    </row>
    <row r="904" hidden="1" outlineLevel="2">
      <c r="A904" s="278" t="s">
        <v>30</v>
      </c>
      <c r="B904" s="293">
        <f t="shared" si="241"/>
        <v>0</v>
      </c>
      <c r="C904" s="296"/>
      <c r="D904" s="296"/>
      <c r="E904" s="296"/>
      <c r="F904" s="296"/>
      <c r="G904" s="296"/>
      <c r="H904" s="296"/>
      <c r="I904" s="297"/>
    </row>
    <row r="905" hidden="1" outlineLevel="2">
      <c r="A905" s="301" t="s">
        <v>31</v>
      </c>
      <c r="B905" s="293">
        <f t="shared" si="241"/>
        <v>0</v>
      </c>
      <c r="C905" s="295"/>
      <c r="D905" s="295"/>
      <c r="E905" s="295"/>
      <c r="F905" s="295"/>
      <c r="G905" s="295"/>
      <c r="H905" s="295"/>
      <c r="I905" s="294"/>
    </row>
    <row r="906" ht="16.5" hidden="1" customHeight="1" outlineLevel="2">
      <c r="A906" s="284" t="s">
        <v>129</v>
      </c>
      <c r="B906" s="293">
        <f t="shared" si="241"/>
        <v>0</v>
      </c>
      <c r="C906" s="296"/>
      <c r="D906" s="296"/>
      <c r="E906" s="296"/>
      <c r="F906" s="296"/>
      <c r="G906" s="296"/>
      <c r="H906" s="296"/>
      <c r="I906" s="296"/>
    </row>
    <row r="907" hidden="1" outlineLevel="2">
      <c r="A907" s="283" t="s">
        <v>13</v>
      </c>
      <c r="B907" s="293">
        <f t="shared" si="241"/>
        <v>0</v>
      </c>
      <c r="C907" s="294"/>
      <c r="D907" s="294"/>
      <c r="E907" s="295"/>
      <c r="F907" s="295"/>
      <c r="G907" s="295"/>
      <c r="H907" s="295"/>
      <c r="I907" s="294"/>
    </row>
    <row r="908" hidden="1" outlineLevel="2">
      <c r="A908" s="284" t="s">
        <v>64</v>
      </c>
      <c r="B908" s="293">
        <f t="shared" si="241"/>
        <v>0</v>
      </c>
      <c r="C908" s="297"/>
      <c r="D908" s="297"/>
      <c r="E908" s="296"/>
      <c r="F908" s="297"/>
      <c r="G908" s="296"/>
      <c r="H908" s="296"/>
      <c r="I908" s="297"/>
    </row>
    <row r="909" hidden="1" outlineLevel="1" collapsed="1">
      <c r="A909" s="192" t="s">
        <v>1093</v>
      </c>
    </row>
    <row r="910" hidden="1" outlineLevel="2">
      <c r="A910" s="195" t="s">
        <v>186</v>
      </c>
    </row>
    <row r="911" hidden="1" outlineLevel="2">
      <c r="A911" s="196" t="s">
        <v>187</v>
      </c>
      <c r="B911" s="197" t="s">
        <v>77</v>
      </c>
      <c r="C911" s="197" t="s">
        <v>189</v>
      </c>
      <c r="D911" s="198">
        <v>46188.0</v>
      </c>
      <c r="E911" s="198">
        <v>46189.0</v>
      </c>
      <c r="F911" s="198">
        <v>46190.0</v>
      </c>
      <c r="G911" s="198">
        <v>46191.0</v>
      </c>
      <c r="H911" s="198">
        <v>46192.0</v>
      </c>
      <c r="I911" s="198">
        <v>46193.0</v>
      </c>
      <c r="J911" s="198">
        <v>46194.0</v>
      </c>
      <c r="K911" s="199" t="s">
        <v>190</v>
      </c>
      <c r="L911" s="201" t="s">
        <v>191</v>
      </c>
    </row>
    <row r="912" hidden="1" outlineLevel="2">
      <c r="A912" s="399"/>
      <c r="B912" s="292"/>
      <c r="C912" s="292"/>
      <c r="D912" s="205" t="s">
        <v>192</v>
      </c>
      <c r="E912" s="205" t="str">
        <f t="shared" ref="E912:J912" si="242">text(E911,"ddd")</f>
        <v>Tue</v>
      </c>
      <c r="F912" s="205" t="str">
        <f t="shared" si="242"/>
        <v>Wed</v>
      </c>
      <c r="G912" s="205" t="str">
        <f t="shared" si="242"/>
        <v>Thu</v>
      </c>
      <c r="H912" s="205" t="str">
        <f t="shared" si="242"/>
        <v>Fri</v>
      </c>
      <c r="I912" s="205" t="str">
        <f t="shared" si="242"/>
        <v>Sat</v>
      </c>
      <c r="J912" s="205" t="str">
        <f t="shared" si="242"/>
        <v>Sun</v>
      </c>
      <c r="K912" s="206"/>
      <c r="L912" s="203"/>
    </row>
    <row r="913" hidden="1" outlineLevel="2">
      <c r="A913" s="400" t="s">
        <v>194</v>
      </c>
      <c r="B913" s="401">
        <f>15+15+10+15+10</f>
        <v>65</v>
      </c>
      <c r="C913" s="401">
        <f t="shared" ref="C913:C920" si="243">SUM(D913:J913)</f>
        <v>69</v>
      </c>
      <c r="D913" s="402">
        <v>15.0</v>
      </c>
      <c r="E913" s="402" t="s">
        <v>92</v>
      </c>
      <c r="F913" s="402">
        <v>15.0</v>
      </c>
      <c r="G913" s="402" t="s">
        <v>92</v>
      </c>
      <c r="H913" s="402">
        <v>12.0</v>
      </c>
      <c r="I913" s="402">
        <v>15.0</v>
      </c>
      <c r="J913" s="211">
        <v>12.0</v>
      </c>
      <c r="K913" s="214">
        <f t="shared" ref="K913:K920" si="244">iferror(C913/B913,"-")</f>
        <v>1.061538462</v>
      </c>
      <c r="L913" s="219">
        <f t="shared" ref="L913:L920" si="245">(IF(K913="",(0),IF(K913&gt;=1,(5),IF(K913&gt;=0.9,(4),IF(K913&gt;=0.8,(3),IF(K913&gt;=0.69,(2),IF(K913&lt;=0.69,(1))))))))</f>
        <v>5</v>
      </c>
    </row>
    <row r="914" hidden="1" outlineLevel="2">
      <c r="A914" s="403" t="s">
        <v>118</v>
      </c>
      <c r="B914" s="404">
        <f>30+25+20+20+15</f>
        <v>110</v>
      </c>
      <c r="C914" s="404">
        <f t="shared" si="243"/>
        <v>101</v>
      </c>
      <c r="D914" s="432">
        <v>23.0</v>
      </c>
      <c r="E914" s="405">
        <v>23.0</v>
      </c>
      <c r="F914" s="405">
        <v>23.0</v>
      </c>
      <c r="G914" s="405">
        <v>16.0</v>
      </c>
      <c r="H914" s="405">
        <v>16.0</v>
      </c>
      <c r="I914" s="405" t="s">
        <v>92</v>
      </c>
      <c r="J914" s="211" t="s">
        <v>92</v>
      </c>
      <c r="K914" s="214">
        <f t="shared" si="244"/>
        <v>0.9181818182</v>
      </c>
      <c r="L914" s="219">
        <f t="shared" si="245"/>
        <v>4</v>
      </c>
    </row>
    <row r="915" hidden="1" outlineLevel="2">
      <c r="A915" s="400" t="s">
        <v>19</v>
      </c>
      <c r="B915" s="401">
        <f>25+25+25+25+25</f>
        <v>125</v>
      </c>
      <c r="C915" s="401">
        <f t="shared" si="243"/>
        <v>133</v>
      </c>
      <c r="D915" s="402">
        <v>27.0</v>
      </c>
      <c r="E915" s="402">
        <v>27.0</v>
      </c>
      <c r="F915" s="402" t="s">
        <v>92</v>
      </c>
      <c r="G915" s="402">
        <v>24.0</v>
      </c>
      <c r="H915" s="402">
        <v>26.0</v>
      </c>
      <c r="I915" s="402">
        <v>29.0</v>
      </c>
      <c r="J915" s="211" t="s">
        <v>92</v>
      </c>
      <c r="K915" s="214">
        <f t="shared" si="244"/>
        <v>1.064</v>
      </c>
      <c r="L915" s="219">
        <f t="shared" si="245"/>
        <v>5</v>
      </c>
    </row>
    <row r="916" hidden="1" outlineLevel="2">
      <c r="A916" s="403" t="s">
        <v>120</v>
      </c>
      <c r="B916" s="404">
        <f>15+10+10+10+10</f>
        <v>55</v>
      </c>
      <c r="C916" s="404">
        <f t="shared" si="243"/>
        <v>58</v>
      </c>
      <c r="D916" s="405">
        <v>16.0</v>
      </c>
      <c r="E916" s="405">
        <v>11.0</v>
      </c>
      <c r="F916" s="405">
        <v>11.0</v>
      </c>
      <c r="G916" s="405" t="s">
        <v>92</v>
      </c>
      <c r="H916" s="405" t="s">
        <v>92</v>
      </c>
      <c r="I916" s="405">
        <v>11.0</v>
      </c>
      <c r="J916" s="211">
        <v>9.0</v>
      </c>
      <c r="K916" s="214">
        <f t="shared" si="244"/>
        <v>1.054545455</v>
      </c>
      <c r="L916" s="219">
        <f t="shared" si="245"/>
        <v>5</v>
      </c>
    </row>
    <row r="917" hidden="1" outlineLevel="2">
      <c r="A917" s="301" t="s">
        <v>22</v>
      </c>
      <c r="B917" s="406">
        <f>20+15+20+15+10</f>
        <v>80</v>
      </c>
      <c r="C917" s="401">
        <f t="shared" si="243"/>
        <v>77</v>
      </c>
      <c r="D917" s="402">
        <v>19.0</v>
      </c>
      <c r="E917" s="402">
        <v>16.0</v>
      </c>
      <c r="F917" s="402">
        <v>21.0</v>
      </c>
      <c r="G917" s="402">
        <v>14.0</v>
      </c>
      <c r="H917" s="402">
        <v>7.0</v>
      </c>
      <c r="I917" s="402" t="s">
        <v>92</v>
      </c>
      <c r="J917" s="211" t="s">
        <v>92</v>
      </c>
      <c r="K917" s="214">
        <f t="shared" si="244"/>
        <v>0.9625</v>
      </c>
      <c r="L917" s="219">
        <f t="shared" si="245"/>
        <v>4</v>
      </c>
    </row>
    <row r="918" hidden="1" outlineLevel="2">
      <c r="A918" s="284" t="s">
        <v>129</v>
      </c>
      <c r="B918" s="404">
        <f>35+30+30+30+20</f>
        <v>145</v>
      </c>
      <c r="C918" s="404">
        <f t="shared" si="243"/>
        <v>145</v>
      </c>
      <c r="D918" s="405">
        <v>36.0</v>
      </c>
      <c r="E918" s="405">
        <v>32.0</v>
      </c>
      <c r="F918" s="405">
        <v>29.0</v>
      </c>
      <c r="G918" s="405">
        <v>27.0</v>
      </c>
      <c r="H918" s="405">
        <v>21.0</v>
      </c>
      <c r="I918" s="405" t="s">
        <v>92</v>
      </c>
      <c r="J918" s="211" t="s">
        <v>92</v>
      </c>
      <c r="K918" s="214">
        <f t="shared" si="244"/>
        <v>1</v>
      </c>
      <c r="L918" s="219">
        <f t="shared" si="245"/>
        <v>5</v>
      </c>
    </row>
    <row r="919" hidden="1" outlineLevel="2">
      <c r="A919" s="283" t="s">
        <v>13</v>
      </c>
      <c r="B919" s="406">
        <f>15+15+15+20+20</f>
        <v>85</v>
      </c>
      <c r="C919" s="401">
        <f t="shared" si="243"/>
        <v>36</v>
      </c>
      <c r="D919" s="402">
        <v>13.0</v>
      </c>
      <c r="E919" s="402" t="s">
        <v>92</v>
      </c>
      <c r="F919" s="402" t="s">
        <v>196</v>
      </c>
      <c r="G919" s="402" t="s">
        <v>196</v>
      </c>
      <c r="H919" s="402">
        <v>12.0</v>
      </c>
      <c r="I919" s="402">
        <v>11.0</v>
      </c>
      <c r="J919" s="211" t="s">
        <v>92</v>
      </c>
      <c r="K919" s="214">
        <f t="shared" si="244"/>
        <v>0.4235294118</v>
      </c>
      <c r="L919" s="219">
        <f t="shared" si="245"/>
        <v>1</v>
      </c>
    </row>
    <row r="920" hidden="1" outlineLevel="2">
      <c r="A920" s="284" t="s">
        <v>428</v>
      </c>
      <c r="B920" s="407">
        <f>20+20+15+10+20</f>
        <v>85</v>
      </c>
      <c r="C920" s="404">
        <f t="shared" si="243"/>
        <v>88</v>
      </c>
      <c r="D920" s="405">
        <v>22.0</v>
      </c>
      <c r="E920" s="405" t="s">
        <v>92</v>
      </c>
      <c r="F920" s="405" t="s">
        <v>92</v>
      </c>
      <c r="G920" s="405">
        <v>20.0</v>
      </c>
      <c r="H920" s="405">
        <v>14.0</v>
      </c>
      <c r="I920" s="405">
        <v>13.0</v>
      </c>
      <c r="J920" s="211">
        <v>19.0</v>
      </c>
      <c r="K920" s="214">
        <f t="shared" si="244"/>
        <v>1.035294118</v>
      </c>
      <c r="L920" s="219">
        <f t="shared" si="245"/>
        <v>5</v>
      </c>
    </row>
    <row r="921" hidden="1" outlineLevel="2"/>
    <row r="922" hidden="1" outlineLevel="2">
      <c r="A922" s="195" t="s">
        <v>135</v>
      </c>
      <c r="I922" s="195"/>
    </row>
    <row r="923" hidden="1" outlineLevel="2">
      <c r="A923" s="196" t="s">
        <v>187</v>
      </c>
      <c r="B923" s="225" t="s">
        <v>218</v>
      </c>
      <c r="C923" s="225" t="s">
        <v>219</v>
      </c>
      <c r="D923" s="225" t="s">
        <v>139</v>
      </c>
      <c r="E923" s="225" t="s">
        <v>140</v>
      </c>
      <c r="F923" s="225" t="s">
        <v>141</v>
      </c>
      <c r="G923" s="226" t="s">
        <v>143</v>
      </c>
      <c r="H923" s="226" t="s">
        <v>221</v>
      </c>
    </row>
    <row r="924" hidden="1" outlineLevel="2">
      <c r="A924" s="399"/>
      <c r="B924" s="292"/>
      <c r="C924" s="292"/>
      <c r="D924" s="292"/>
      <c r="E924" s="292"/>
      <c r="F924" s="292"/>
      <c r="G924" s="292"/>
      <c r="H924" s="292"/>
    </row>
    <row r="925" hidden="1" outlineLevel="2">
      <c r="A925" s="400" t="s">
        <v>194</v>
      </c>
      <c r="B925" s="402">
        <v>72.0</v>
      </c>
      <c r="C925" s="402">
        <v>68.0</v>
      </c>
      <c r="D925" s="136">
        <f t="shared" ref="D925:D932" si="246">B925-C925</f>
        <v>4</v>
      </c>
      <c r="E925" s="408">
        <f t="shared" ref="E925:E932" si="247">IFERROR(C925/B925,"")</f>
        <v>0.9444444444</v>
      </c>
      <c r="F925" s="409">
        <v>0.0020717592592592593</v>
      </c>
      <c r="G925" s="240">
        <f t="shared" ref="G925:G932" si="248">IFERROR((IF(E925="",(0),IF(E925&gt;=0.98,(5),IF(E925&gt;=0.95,(4.5),IF(E925&gt;=0.9,(4),IF(E925&gt;=0.8,(3),IF(E925&lt;=0.69,(1)))))))),"")</f>
        <v>4</v>
      </c>
      <c r="H925" s="240">
        <f>ROUND(
IF(F925="",
0,
MAX(1, 5 - MAX(0, (F925 - TIME(0,4,0)) / TIME(0,1,0) * 0.5))
),
2
)
</f>
        <v>5</v>
      </c>
    </row>
    <row r="926" hidden="1" outlineLevel="2">
      <c r="A926" s="403" t="s">
        <v>118</v>
      </c>
      <c r="B926" s="405">
        <v>107.0</v>
      </c>
      <c r="C926" s="405">
        <v>101.0</v>
      </c>
      <c r="D926" s="410">
        <f t="shared" si="246"/>
        <v>6</v>
      </c>
      <c r="E926" s="411">
        <f t="shared" si="247"/>
        <v>0.9439252336</v>
      </c>
      <c r="F926" s="412">
        <v>0.004224537037037037</v>
      </c>
      <c r="G926" s="240">
        <f t="shared" si="248"/>
        <v>4</v>
      </c>
      <c r="H926" s="240">
        <f>ROUND(
IF(F926="",
0,
MAX(1, 5 - MAX(0, (F926 - TIME(0,5,0)) / TIME(0,1,0) * 0.5))
),
2
)
</f>
        <v>4.46</v>
      </c>
    </row>
    <row r="927" hidden="1" outlineLevel="2">
      <c r="A927" s="400" t="s">
        <v>19</v>
      </c>
      <c r="B927" s="402">
        <v>135.0</v>
      </c>
      <c r="C927" s="402">
        <v>133.0</v>
      </c>
      <c r="D927" s="136">
        <f t="shared" si="246"/>
        <v>2</v>
      </c>
      <c r="E927" s="408">
        <f t="shared" si="247"/>
        <v>0.9851851852</v>
      </c>
      <c r="F927" s="409">
        <v>0.0028587962962962963</v>
      </c>
      <c r="G927" s="240">
        <f t="shared" si="248"/>
        <v>5</v>
      </c>
      <c r="H927" s="240">
        <f>ROUND(
IF(F927="",
0,
MAX(1, 5 - MAX(0, (F927 - TIME(0,4,0)) / TIME(0,1,0) * 0.5))
),
2
)
</f>
        <v>4.94</v>
      </c>
    </row>
    <row r="928" hidden="1" outlineLevel="2">
      <c r="A928" s="433" t="s">
        <v>120</v>
      </c>
      <c r="B928" s="405">
        <v>59.0</v>
      </c>
      <c r="C928" s="405">
        <v>58.0</v>
      </c>
      <c r="D928" s="410">
        <f t="shared" si="246"/>
        <v>1</v>
      </c>
      <c r="E928" s="411">
        <f t="shared" si="247"/>
        <v>0.9830508475</v>
      </c>
      <c r="F928" s="412">
        <v>0.003472222222222222</v>
      </c>
      <c r="G928" s="240">
        <f t="shared" si="248"/>
        <v>5</v>
      </c>
      <c r="H928" s="240">
        <f>ROUND(
IF(F928="",
0,
MAX(1, 5 - MAX(0, (F928 - TIME(0,5,0)) / TIME(0,1,0) * 0.5))
),
2
)
</f>
        <v>5</v>
      </c>
    </row>
    <row r="929" hidden="1" outlineLevel="2">
      <c r="A929" s="434" t="s">
        <v>22</v>
      </c>
      <c r="B929" s="402">
        <v>81.0</v>
      </c>
      <c r="C929" s="402">
        <v>77.0</v>
      </c>
      <c r="D929" s="136">
        <f t="shared" si="246"/>
        <v>4</v>
      </c>
      <c r="E929" s="408">
        <f t="shared" si="247"/>
        <v>0.950617284</v>
      </c>
      <c r="F929" s="409">
        <v>0.0024652777777777776</v>
      </c>
      <c r="G929" s="240">
        <f t="shared" si="248"/>
        <v>4.5</v>
      </c>
      <c r="H929" s="240">
        <f>ROUND(
IF(F929="",
0,
MAX(1, 5 - MAX(0, (F929 - TIME(0,4,0)) / TIME(0,1,0) * 0.5))
),
2
)
</f>
        <v>5</v>
      </c>
    </row>
    <row r="930" hidden="1" outlineLevel="2">
      <c r="A930" s="284" t="s">
        <v>129</v>
      </c>
      <c r="B930" s="405">
        <v>147.0</v>
      </c>
      <c r="C930" s="405">
        <v>145.0</v>
      </c>
      <c r="D930" s="410">
        <f t="shared" si="246"/>
        <v>2</v>
      </c>
      <c r="E930" s="411">
        <f t="shared" si="247"/>
        <v>0.9863945578</v>
      </c>
      <c r="F930" s="412">
        <v>0.004641203703703704</v>
      </c>
      <c r="G930" s="240">
        <f t="shared" si="248"/>
        <v>5</v>
      </c>
      <c r="H930" s="240">
        <f t="shared" ref="H930:H932" si="249">ROUND(
IF(F930="",
0,
MAX(1, 5 - MAX(0, (F930 - TIME(0,5,0)) / TIME(0,1,0) * 0.5))
),
2
)
</f>
        <v>4.16</v>
      </c>
    </row>
    <row r="931" hidden="1" outlineLevel="2">
      <c r="A931" s="435" t="s">
        <v>13</v>
      </c>
      <c r="B931" s="402">
        <v>37.0</v>
      </c>
      <c r="C931" s="402">
        <v>36.0</v>
      </c>
      <c r="D931" s="136">
        <f t="shared" si="246"/>
        <v>1</v>
      </c>
      <c r="E931" s="408">
        <f t="shared" si="247"/>
        <v>0.972972973</v>
      </c>
      <c r="F931" s="409">
        <v>0.003321759259259259</v>
      </c>
      <c r="G931" s="240">
        <f t="shared" si="248"/>
        <v>4.5</v>
      </c>
      <c r="H931" s="240">
        <f t="shared" si="249"/>
        <v>5</v>
      </c>
    </row>
    <row r="932" hidden="1" outlineLevel="2">
      <c r="A932" s="284" t="s">
        <v>428</v>
      </c>
      <c r="B932" s="405">
        <v>88.0</v>
      </c>
      <c r="C932" s="405">
        <v>85.0</v>
      </c>
      <c r="D932" s="410">
        <f t="shared" si="246"/>
        <v>3</v>
      </c>
      <c r="E932" s="411">
        <f t="shared" si="247"/>
        <v>0.9659090909</v>
      </c>
      <c r="F932" s="412">
        <v>0.003564814814814815</v>
      </c>
      <c r="G932" s="240">
        <f t="shared" si="248"/>
        <v>4.5</v>
      </c>
      <c r="H932" s="240">
        <f t="shared" si="249"/>
        <v>4.93</v>
      </c>
    </row>
    <row r="933" hidden="1" outlineLevel="2"/>
    <row r="934" hidden="1" outlineLevel="2">
      <c r="A934" s="195" t="s">
        <v>239</v>
      </c>
    </row>
    <row r="935" hidden="1" outlineLevel="2">
      <c r="A935" s="260" t="s">
        <v>240</v>
      </c>
      <c r="B935" s="262" t="s">
        <v>241</v>
      </c>
      <c r="C935" s="264" t="s">
        <v>242</v>
      </c>
      <c r="D935" s="264" t="s">
        <v>243</v>
      </c>
      <c r="E935" s="265" t="s">
        <v>244</v>
      </c>
      <c r="F935" s="267" t="s">
        <v>247</v>
      </c>
      <c r="G935" s="268"/>
    </row>
    <row r="936" hidden="1" outlineLevel="2">
      <c r="A936" s="278" t="s">
        <v>25</v>
      </c>
      <c r="B936" s="279">
        <f t="shared" ref="B936:B943" si="250">(C936*0.3)+(D936*0.1)</f>
        <v>0.4</v>
      </c>
      <c r="C936" s="436">
        <v>1.0</v>
      </c>
      <c r="D936" s="272">
        <v>1.0</v>
      </c>
      <c r="E936" s="281">
        <f t="shared" ref="E936:E943" si="251">(L913+G925+H925)/15*0.3</f>
        <v>0.28</v>
      </c>
      <c r="F936" s="274">
        <f t="shared" ref="F936:F943" si="252">(E936/30%)*10</f>
        <v>9.333333333</v>
      </c>
      <c r="G936" s="268"/>
      <c r="H936" s="268"/>
      <c r="I936" s="268"/>
      <c r="J936" s="268"/>
    </row>
    <row r="937" hidden="1" outlineLevel="2">
      <c r="A937" s="275" t="s">
        <v>4</v>
      </c>
      <c r="B937" s="276">
        <f t="shared" si="250"/>
        <v>0.4</v>
      </c>
      <c r="C937" s="436">
        <v>1.0</v>
      </c>
      <c r="D937" s="272">
        <v>1.0</v>
      </c>
      <c r="E937" s="277">
        <f t="shared" si="251"/>
        <v>0.2492</v>
      </c>
      <c r="F937" s="274">
        <f t="shared" si="252"/>
        <v>8.306666667</v>
      </c>
      <c r="G937" s="268"/>
      <c r="H937" s="268"/>
      <c r="I937" s="268"/>
      <c r="J937" s="268"/>
    </row>
    <row r="938" hidden="1" outlineLevel="2">
      <c r="A938" s="278" t="s">
        <v>19</v>
      </c>
      <c r="B938" s="279">
        <f t="shared" si="250"/>
        <v>0.4</v>
      </c>
      <c r="C938" s="436">
        <v>1.0</v>
      </c>
      <c r="D938" s="272">
        <v>1.0</v>
      </c>
      <c r="E938" s="281">
        <f t="shared" si="251"/>
        <v>0.2988</v>
      </c>
      <c r="F938" s="274">
        <f t="shared" si="252"/>
        <v>9.96</v>
      </c>
      <c r="G938" s="268"/>
      <c r="H938" s="268"/>
      <c r="I938" s="268"/>
      <c r="J938" s="268"/>
    </row>
    <row r="939" hidden="1" outlineLevel="2">
      <c r="A939" s="275" t="s">
        <v>30</v>
      </c>
      <c r="B939" s="276">
        <f t="shared" si="250"/>
        <v>0.4</v>
      </c>
      <c r="C939" s="436">
        <v>1.0</v>
      </c>
      <c r="D939" s="272">
        <v>1.0</v>
      </c>
      <c r="E939" s="277">
        <f t="shared" si="251"/>
        <v>0.3</v>
      </c>
      <c r="F939" s="274">
        <f t="shared" si="252"/>
        <v>10</v>
      </c>
      <c r="G939" s="268"/>
      <c r="H939" s="268"/>
      <c r="I939" s="268"/>
      <c r="J939" s="268"/>
    </row>
    <row r="940" hidden="1" outlineLevel="2">
      <c r="A940" s="282" t="s">
        <v>31</v>
      </c>
      <c r="B940" s="279">
        <f t="shared" si="250"/>
        <v>0.4</v>
      </c>
      <c r="C940" s="436">
        <v>1.0</v>
      </c>
      <c r="D940" s="272">
        <v>1.0</v>
      </c>
      <c r="E940" s="281">
        <f t="shared" si="251"/>
        <v>0.27</v>
      </c>
      <c r="F940" s="274">
        <f t="shared" si="252"/>
        <v>9</v>
      </c>
      <c r="G940" s="268"/>
      <c r="H940" s="268"/>
      <c r="I940" s="268"/>
      <c r="J940" s="268"/>
    </row>
    <row r="941" hidden="1" outlineLevel="2">
      <c r="A941" s="283" t="s">
        <v>129</v>
      </c>
      <c r="B941" s="276">
        <f t="shared" si="250"/>
        <v>0.4</v>
      </c>
      <c r="C941" s="436">
        <v>1.0</v>
      </c>
      <c r="D941" s="272">
        <v>1.0</v>
      </c>
      <c r="E941" s="277">
        <f t="shared" si="251"/>
        <v>0.2832</v>
      </c>
      <c r="F941" s="274">
        <f t="shared" si="252"/>
        <v>9.44</v>
      </c>
      <c r="G941" s="268"/>
      <c r="H941" s="268"/>
      <c r="I941" s="268"/>
      <c r="J941" s="268"/>
    </row>
    <row r="942" hidden="1" outlineLevel="2">
      <c r="A942" s="284" t="s">
        <v>13</v>
      </c>
      <c r="B942" s="279">
        <f t="shared" si="250"/>
        <v>0.4</v>
      </c>
      <c r="C942" s="436">
        <v>1.0</v>
      </c>
      <c r="D942" s="272">
        <v>1.0</v>
      </c>
      <c r="E942" s="281">
        <f t="shared" si="251"/>
        <v>0.21</v>
      </c>
      <c r="F942" s="274">
        <f t="shared" si="252"/>
        <v>7</v>
      </c>
      <c r="G942" s="268"/>
      <c r="H942" s="268"/>
      <c r="I942" s="268"/>
      <c r="J942" s="268"/>
    </row>
    <row r="943" hidden="1" outlineLevel="2">
      <c r="A943" s="283" t="s">
        <v>428</v>
      </c>
      <c r="B943" s="276">
        <f t="shared" si="250"/>
        <v>0.34</v>
      </c>
      <c r="C943" s="436">
        <v>0.8</v>
      </c>
      <c r="D943" s="272">
        <v>1.0</v>
      </c>
      <c r="E943" s="277">
        <f t="shared" si="251"/>
        <v>0.2886</v>
      </c>
      <c r="F943" s="274">
        <f t="shared" si="252"/>
        <v>9.62</v>
      </c>
      <c r="G943" s="268"/>
      <c r="H943" s="268"/>
      <c r="I943" s="268"/>
      <c r="J943" s="268"/>
    </row>
    <row r="944" hidden="1" outlineLevel="2">
      <c r="A944" s="286"/>
      <c r="B944" s="286"/>
      <c r="C944" s="287"/>
      <c r="D944" s="288"/>
      <c r="E944" s="289"/>
      <c r="F944" s="268"/>
      <c r="G944" s="268"/>
      <c r="H944" s="268"/>
      <c r="I944" s="268"/>
      <c r="J944" s="268"/>
    </row>
    <row r="945" hidden="1" outlineLevel="2">
      <c r="A945" s="195" t="s">
        <v>269</v>
      </c>
      <c r="B945" s="286"/>
      <c r="C945" s="287"/>
      <c r="D945" s="288"/>
      <c r="E945" s="289"/>
      <c r="F945" s="268"/>
      <c r="G945" s="268"/>
      <c r="H945" s="268"/>
      <c r="I945" s="268"/>
      <c r="J945" s="268"/>
    </row>
    <row r="946" hidden="1" outlineLevel="2">
      <c r="A946" s="290" t="s">
        <v>240</v>
      </c>
      <c r="B946" s="291" t="s">
        <v>270</v>
      </c>
      <c r="C946" s="198">
        <v>46153.0</v>
      </c>
      <c r="D946" s="198">
        <v>46154.0</v>
      </c>
      <c r="E946" s="198">
        <v>46155.0</v>
      </c>
      <c r="F946" s="198">
        <v>46156.0</v>
      </c>
      <c r="G946" s="198">
        <v>46157.0</v>
      </c>
      <c r="H946" s="198">
        <v>46158.0</v>
      </c>
      <c r="I946" s="198">
        <v>46159.0</v>
      </c>
      <c r="J946" s="268"/>
    </row>
    <row r="947" hidden="1" outlineLevel="2">
      <c r="A947" s="325"/>
      <c r="B947" s="325"/>
      <c r="C947" s="205" t="s">
        <v>192</v>
      </c>
      <c r="D947" s="205" t="s">
        <v>272</v>
      </c>
      <c r="E947" s="205" t="s">
        <v>273</v>
      </c>
      <c r="F947" s="205" t="s">
        <v>274</v>
      </c>
      <c r="G947" s="205" t="s">
        <v>275</v>
      </c>
      <c r="H947" s="205" t="s">
        <v>276</v>
      </c>
      <c r="I947" s="205" t="s">
        <v>277</v>
      </c>
    </row>
    <row r="948" hidden="1" outlineLevel="2">
      <c r="A948" s="278" t="s">
        <v>25</v>
      </c>
      <c r="B948" s="293">
        <f t="shared" ref="B948:B955" si="253">Sum(C948:I948)</f>
        <v>0</v>
      </c>
      <c r="C948" s="296"/>
      <c r="D948" s="297"/>
      <c r="E948" s="297"/>
      <c r="F948" s="297"/>
      <c r="G948" s="296"/>
      <c r="H948" s="296"/>
      <c r="I948" s="296"/>
    </row>
    <row r="949" hidden="1" outlineLevel="2">
      <c r="A949" s="275" t="s">
        <v>4</v>
      </c>
      <c r="B949" s="293">
        <f t="shared" si="253"/>
        <v>0</v>
      </c>
      <c r="C949" s="295"/>
      <c r="D949" s="295"/>
      <c r="E949" s="295"/>
      <c r="F949" s="295"/>
      <c r="G949" s="295"/>
      <c r="H949" s="294"/>
      <c r="I949" s="295"/>
    </row>
    <row r="950" hidden="1" outlineLevel="2">
      <c r="A950" s="278" t="s">
        <v>19</v>
      </c>
      <c r="B950" s="293">
        <f t="shared" si="253"/>
        <v>0</v>
      </c>
      <c r="C950" s="296"/>
      <c r="D950" s="297"/>
      <c r="E950" s="296"/>
      <c r="F950" s="296"/>
      <c r="G950" s="296"/>
      <c r="H950" s="296"/>
      <c r="I950" s="297"/>
    </row>
    <row r="951" hidden="1" outlineLevel="2">
      <c r="A951" s="275" t="s">
        <v>30</v>
      </c>
      <c r="B951" s="293">
        <f t="shared" si="253"/>
        <v>0</v>
      </c>
      <c r="C951" s="295"/>
      <c r="D951" s="295"/>
      <c r="E951" s="295"/>
      <c r="F951" s="295"/>
      <c r="G951" s="295"/>
      <c r="H951" s="295"/>
      <c r="I951" s="294"/>
    </row>
    <row r="952" hidden="1" outlineLevel="2">
      <c r="A952" s="282" t="s">
        <v>31</v>
      </c>
      <c r="B952" s="293">
        <f t="shared" si="253"/>
        <v>0</v>
      </c>
      <c r="C952" s="296"/>
      <c r="D952" s="296"/>
      <c r="E952" s="296"/>
      <c r="F952" s="296"/>
      <c r="G952" s="296"/>
      <c r="H952" s="296"/>
      <c r="I952" s="297"/>
    </row>
    <row r="953" ht="16.5" hidden="1" customHeight="1" outlineLevel="2">
      <c r="A953" s="283" t="s">
        <v>129</v>
      </c>
      <c r="B953" s="293">
        <f t="shared" si="253"/>
        <v>0</v>
      </c>
      <c r="C953" s="295"/>
      <c r="D953" s="295"/>
      <c r="E953" s="295"/>
      <c r="F953" s="295"/>
      <c r="G953" s="295"/>
      <c r="H953" s="295"/>
      <c r="I953" s="295"/>
    </row>
    <row r="954" hidden="1" outlineLevel="2">
      <c r="A954" s="284" t="s">
        <v>13</v>
      </c>
      <c r="B954" s="293">
        <f t="shared" si="253"/>
        <v>0</v>
      </c>
      <c r="C954" s="297"/>
      <c r="D954" s="297"/>
      <c r="E954" s="296"/>
      <c r="F954" s="296"/>
      <c r="G954" s="296"/>
      <c r="H954" s="296"/>
      <c r="I954" s="297"/>
    </row>
    <row r="955" hidden="1" outlineLevel="2">
      <c r="A955" s="283" t="s">
        <v>64</v>
      </c>
      <c r="B955" s="293">
        <f t="shared" si="253"/>
        <v>0</v>
      </c>
      <c r="C955" s="294"/>
      <c r="D955" s="294"/>
      <c r="E955" s="295"/>
      <c r="F955" s="294"/>
      <c r="G955" s="295"/>
      <c r="H955" s="295"/>
      <c r="I955" s="294"/>
    </row>
    <row r="956" hidden="1" outlineLevel="1">
      <c r="A956" s="192" t="s">
        <v>1147</v>
      </c>
    </row>
    <row r="957" hidden="1" outlineLevel="1">
      <c r="A957" s="195" t="s">
        <v>186</v>
      </c>
    </row>
    <row r="958" hidden="1" outlineLevel="1">
      <c r="A958" s="196" t="s">
        <v>187</v>
      </c>
      <c r="B958" s="197" t="s">
        <v>77</v>
      </c>
      <c r="C958" s="197" t="s">
        <v>189</v>
      </c>
      <c r="D958" s="198">
        <v>46195.0</v>
      </c>
      <c r="E958" s="198">
        <v>46196.0</v>
      </c>
      <c r="F958" s="198">
        <v>46197.0</v>
      </c>
      <c r="G958" s="198">
        <v>46198.0</v>
      </c>
      <c r="H958" s="198">
        <v>46199.0</v>
      </c>
      <c r="I958" s="198">
        <v>46200.0</v>
      </c>
      <c r="J958" s="198">
        <v>46201.0</v>
      </c>
      <c r="K958" s="199" t="s">
        <v>190</v>
      </c>
      <c r="L958" s="201" t="s">
        <v>191</v>
      </c>
    </row>
    <row r="959" hidden="1" outlineLevel="1">
      <c r="A959" s="415"/>
      <c r="B959" s="325"/>
      <c r="C959" s="325"/>
      <c r="D959" s="205" t="s">
        <v>192</v>
      </c>
      <c r="E959" s="205" t="str">
        <f t="shared" ref="E959:J959" si="254">text(E958,"ddd")</f>
        <v>Tue</v>
      </c>
      <c r="F959" s="205" t="str">
        <f t="shared" si="254"/>
        <v>Wed</v>
      </c>
      <c r="G959" s="205" t="str">
        <f t="shared" si="254"/>
        <v>Thu</v>
      </c>
      <c r="H959" s="205" t="str">
        <f t="shared" si="254"/>
        <v>Fri</v>
      </c>
      <c r="I959" s="205" t="str">
        <f t="shared" si="254"/>
        <v>Sat</v>
      </c>
      <c r="J959" s="205" t="str">
        <f t="shared" si="254"/>
        <v>Sun</v>
      </c>
      <c r="K959" s="206"/>
      <c r="L959" s="203"/>
    </row>
    <row r="960" hidden="1" outlineLevel="1">
      <c r="A960" s="403" t="s">
        <v>194</v>
      </c>
      <c r="B960" s="404">
        <f>19*4+10</f>
        <v>86</v>
      </c>
      <c r="C960" s="404">
        <f t="shared" ref="C960:C967" si="255">SUM(D960:J960)</f>
        <v>89</v>
      </c>
      <c r="D960" s="405">
        <v>10.0</v>
      </c>
      <c r="E960" s="405" t="s">
        <v>92</v>
      </c>
      <c r="F960" s="405">
        <v>25.0</v>
      </c>
      <c r="G960" s="405">
        <v>15.0</v>
      </c>
      <c r="H960" s="405">
        <v>21.0</v>
      </c>
      <c r="I960" s="405">
        <v>18.0</v>
      </c>
      <c r="J960" s="211" t="s">
        <v>92</v>
      </c>
      <c r="K960" s="214">
        <f t="shared" ref="K960:K967" si="256">iferror(C960/B960,"-")</f>
        <v>1.034883721</v>
      </c>
      <c r="L960" s="219">
        <f t="shared" ref="L960:L967" si="257">(IF(K960="",(0),IF(K960&gt;=1,(5),IF(K960&gt;=0.9,(4),IF(K960&gt;=0.8,(3),IF(K960&gt;=0.69,(2),IF(K960&lt;=0.69,(1))))))))</f>
        <v>5</v>
      </c>
    </row>
    <row r="961" hidden="1" outlineLevel="1">
      <c r="A961" s="400" t="s">
        <v>118</v>
      </c>
      <c r="B961" s="401">
        <f>25*5</f>
        <v>125</v>
      </c>
      <c r="C961" s="401">
        <f t="shared" si="255"/>
        <v>111</v>
      </c>
      <c r="D961" s="402">
        <v>22.0</v>
      </c>
      <c r="E961" s="402">
        <v>19.0</v>
      </c>
      <c r="F961" s="402">
        <v>19.0</v>
      </c>
      <c r="G961" s="402">
        <v>24.0</v>
      </c>
      <c r="H961" s="402">
        <v>27.0</v>
      </c>
      <c r="I961" s="402" t="s">
        <v>92</v>
      </c>
      <c r="J961" s="211" t="s">
        <v>92</v>
      </c>
      <c r="K961" s="214">
        <f t="shared" si="256"/>
        <v>0.888</v>
      </c>
      <c r="L961" s="219">
        <f t="shared" si="257"/>
        <v>3</v>
      </c>
    </row>
    <row r="962" hidden="1" outlineLevel="1">
      <c r="A962" s="403" t="s">
        <v>19</v>
      </c>
      <c r="B962" s="404">
        <f>25+25+25+25+25</f>
        <v>125</v>
      </c>
      <c r="C962" s="404">
        <f t="shared" si="255"/>
        <v>126</v>
      </c>
      <c r="D962" s="405">
        <v>23.0</v>
      </c>
      <c r="E962" s="405">
        <v>23.0</v>
      </c>
      <c r="F962" s="405" t="s">
        <v>92</v>
      </c>
      <c r="G962" s="405">
        <v>29.0</v>
      </c>
      <c r="H962" s="405">
        <v>27.0</v>
      </c>
      <c r="I962" s="405">
        <v>24.0</v>
      </c>
      <c r="J962" s="211" t="s">
        <v>92</v>
      </c>
      <c r="K962" s="214">
        <f t="shared" si="256"/>
        <v>1.008</v>
      </c>
      <c r="L962" s="219">
        <f t="shared" si="257"/>
        <v>5</v>
      </c>
    </row>
    <row r="963" hidden="1" outlineLevel="1">
      <c r="A963" s="400" t="s">
        <v>120</v>
      </c>
      <c r="B963" s="401">
        <f>10+10+15+15+10</f>
        <v>60</v>
      </c>
      <c r="C963" s="401">
        <f t="shared" si="255"/>
        <v>62</v>
      </c>
      <c r="D963" s="402">
        <v>9.0</v>
      </c>
      <c r="E963" s="402">
        <v>12.0</v>
      </c>
      <c r="F963" s="402">
        <v>17.0</v>
      </c>
      <c r="G963" s="402" t="s">
        <v>92</v>
      </c>
      <c r="H963" s="402" t="s">
        <v>92</v>
      </c>
      <c r="I963" s="402">
        <v>15.0</v>
      </c>
      <c r="J963" s="211">
        <v>9.0</v>
      </c>
      <c r="K963" s="214">
        <f t="shared" si="256"/>
        <v>1.033333333</v>
      </c>
      <c r="L963" s="219">
        <f t="shared" si="257"/>
        <v>5</v>
      </c>
    </row>
    <row r="964" hidden="1" outlineLevel="1">
      <c r="A964" s="282" t="s">
        <v>22</v>
      </c>
      <c r="B964" s="407">
        <f>15*5</f>
        <v>75</v>
      </c>
      <c r="C964" s="404">
        <f t="shared" si="255"/>
        <v>80</v>
      </c>
      <c r="D964" s="405">
        <v>13.0</v>
      </c>
      <c r="E964" s="405">
        <v>16.0</v>
      </c>
      <c r="F964" s="405">
        <v>26.0</v>
      </c>
      <c r="G964" s="405">
        <v>10.0</v>
      </c>
      <c r="H964" s="405" t="s">
        <v>92</v>
      </c>
      <c r="I964" s="405" t="s">
        <v>92</v>
      </c>
      <c r="J964" s="211">
        <v>15.0</v>
      </c>
      <c r="K964" s="214">
        <f t="shared" si="256"/>
        <v>1.066666667</v>
      </c>
      <c r="L964" s="219">
        <f t="shared" si="257"/>
        <v>5</v>
      </c>
    </row>
    <row r="965" hidden="1" outlineLevel="1">
      <c r="A965" s="283" t="s">
        <v>129</v>
      </c>
      <c r="B965" s="401">
        <f>25*5</f>
        <v>125</v>
      </c>
      <c r="C965" s="401">
        <f t="shared" si="255"/>
        <v>131</v>
      </c>
      <c r="D965" s="402">
        <v>30.0</v>
      </c>
      <c r="E965" s="402">
        <v>29.0</v>
      </c>
      <c r="F965" s="402">
        <v>28.0</v>
      </c>
      <c r="G965" s="402">
        <v>30.0</v>
      </c>
      <c r="H965" s="402" t="s">
        <v>92</v>
      </c>
      <c r="I965" s="402" t="s">
        <v>92</v>
      </c>
      <c r="J965" s="211">
        <v>14.0</v>
      </c>
      <c r="K965" s="214">
        <f t="shared" si="256"/>
        <v>1.048</v>
      </c>
      <c r="L965" s="219">
        <f t="shared" si="257"/>
        <v>5</v>
      </c>
    </row>
    <row r="966" hidden="1" outlineLevel="1">
      <c r="A966" s="284" t="s">
        <v>13</v>
      </c>
      <c r="B966" s="407">
        <f>20*5</f>
        <v>100</v>
      </c>
      <c r="C966" s="404">
        <f t="shared" si="255"/>
        <v>105</v>
      </c>
      <c r="D966" s="405">
        <v>25.0</v>
      </c>
      <c r="E966" s="405">
        <v>19.0</v>
      </c>
      <c r="F966" s="405">
        <v>20.0</v>
      </c>
      <c r="G966" s="405">
        <v>21.0</v>
      </c>
      <c r="H966" s="405">
        <v>20.0</v>
      </c>
      <c r="I966" s="405" t="s">
        <v>92</v>
      </c>
      <c r="J966" s="211" t="s">
        <v>92</v>
      </c>
      <c r="K966" s="214">
        <f t="shared" si="256"/>
        <v>1.05</v>
      </c>
      <c r="L966" s="219">
        <f t="shared" si="257"/>
        <v>5</v>
      </c>
    </row>
    <row r="967" hidden="1" outlineLevel="1">
      <c r="A967" s="283" t="s">
        <v>428</v>
      </c>
      <c r="B967" s="406">
        <f>20*4+10</f>
        <v>90</v>
      </c>
      <c r="C967" s="401">
        <f t="shared" si="255"/>
        <v>83</v>
      </c>
      <c r="D967" s="402">
        <v>21.0</v>
      </c>
      <c r="E967" s="402" t="s">
        <v>92</v>
      </c>
      <c r="F967" s="402" t="s">
        <v>92</v>
      </c>
      <c r="G967" s="402">
        <v>17.0</v>
      </c>
      <c r="H967" s="402">
        <v>18.0</v>
      </c>
      <c r="I967" s="402">
        <v>17.0</v>
      </c>
      <c r="J967" s="211">
        <v>10.0</v>
      </c>
      <c r="K967" s="214">
        <f t="shared" si="256"/>
        <v>0.9222222222</v>
      </c>
      <c r="L967" s="219">
        <f t="shared" si="257"/>
        <v>4</v>
      </c>
    </row>
    <row r="968" hidden="1" outlineLevel="1"/>
    <row r="969" hidden="1" outlineLevel="1">
      <c r="A969" s="195" t="s">
        <v>135</v>
      </c>
      <c r="I969" s="195"/>
    </row>
    <row r="970" hidden="1" outlineLevel="1">
      <c r="A970" s="196" t="s">
        <v>187</v>
      </c>
      <c r="B970" s="225" t="s">
        <v>218</v>
      </c>
      <c r="C970" s="225" t="s">
        <v>219</v>
      </c>
      <c r="D970" s="225" t="s">
        <v>139</v>
      </c>
      <c r="E970" s="225" t="s">
        <v>140</v>
      </c>
      <c r="F970" s="225" t="s">
        <v>141</v>
      </c>
      <c r="G970" s="226" t="s">
        <v>143</v>
      </c>
      <c r="H970" s="226" t="s">
        <v>221</v>
      </c>
    </row>
    <row r="971" hidden="1" outlineLevel="1">
      <c r="A971" s="415"/>
      <c r="B971" s="325"/>
      <c r="C971" s="325"/>
      <c r="D971" s="325"/>
      <c r="E971" s="325"/>
      <c r="F971" s="325"/>
      <c r="G971" s="325"/>
      <c r="H971" s="325"/>
    </row>
    <row r="972" hidden="1" outlineLevel="1">
      <c r="A972" s="403" t="s">
        <v>194</v>
      </c>
      <c r="B972" s="405">
        <v>90.0</v>
      </c>
      <c r="C972" s="405">
        <v>88.0</v>
      </c>
      <c r="D972" s="410">
        <f t="shared" ref="D972:D979" si="258">B972-C972</f>
        <v>2</v>
      </c>
      <c r="E972" s="411">
        <f t="shared" ref="E972:E979" si="259">IFERROR(C972/B972,"")</f>
        <v>0.9777777778</v>
      </c>
      <c r="F972" s="412">
        <v>0.0020601851851851853</v>
      </c>
      <c r="G972" s="240">
        <f t="shared" ref="G972:G979" si="260">IFERROR((IF(E972="",(0),IF(E972&gt;=0.98,(5),IF(E972&gt;=0.95,(4.5),IF(E972&gt;=0.9,(4),IF(E972&gt;=0.8,(3),IF(E972&lt;=0.69,(1)))))))),"")</f>
        <v>4.5</v>
      </c>
      <c r="H972" s="240">
        <f>ROUND(
IF(F972="",
0,
MAX(1, 5 - MAX(0, (F972 - TIME(0,4,0)) / TIME(0,1,0) * 0.5))
),
2
)
</f>
        <v>5</v>
      </c>
    </row>
    <row r="973" hidden="1" outlineLevel="1">
      <c r="A973" s="400" t="s">
        <v>118</v>
      </c>
      <c r="B973" s="402">
        <v>113.0</v>
      </c>
      <c r="C973" s="402">
        <v>111.0</v>
      </c>
      <c r="D973" s="136">
        <f t="shared" si="258"/>
        <v>2</v>
      </c>
      <c r="E973" s="408">
        <f t="shared" si="259"/>
        <v>0.982300885</v>
      </c>
      <c r="F973" s="409">
        <v>0.003969907407407407</v>
      </c>
      <c r="G973" s="240">
        <f t="shared" si="260"/>
        <v>5</v>
      </c>
      <c r="H973" s="240">
        <f>ROUND(
IF(F973="",
0,
MAX(1, 5 - MAX(0, (F973 - TIME(0,5,0)) / TIME(0,1,0) * 0.5))
),
2
)
</f>
        <v>4.64</v>
      </c>
    </row>
    <row r="974" hidden="1" outlineLevel="1">
      <c r="A974" s="403" t="s">
        <v>19</v>
      </c>
      <c r="B974" s="405">
        <v>129.0</v>
      </c>
      <c r="C974" s="405">
        <v>126.0</v>
      </c>
      <c r="D974" s="410">
        <f t="shared" si="258"/>
        <v>3</v>
      </c>
      <c r="E974" s="411">
        <f t="shared" si="259"/>
        <v>0.976744186</v>
      </c>
      <c r="F974" s="412">
        <v>0.002928240740740741</v>
      </c>
      <c r="G974" s="240">
        <f t="shared" si="260"/>
        <v>4.5</v>
      </c>
      <c r="H974" s="240">
        <f>ROUND(
IF(F974="",
0,
MAX(1, 5 - MAX(0, (F974 - TIME(0,4,0)) / TIME(0,1,0) * 0.5))
),
2
)
</f>
        <v>4.89</v>
      </c>
    </row>
    <row r="975" hidden="1" outlineLevel="1">
      <c r="A975" s="423" t="s">
        <v>120</v>
      </c>
      <c r="B975" s="402">
        <v>63.0</v>
      </c>
      <c r="C975" s="402">
        <v>62.0</v>
      </c>
      <c r="D975" s="136">
        <f t="shared" si="258"/>
        <v>1</v>
      </c>
      <c r="E975" s="408">
        <f t="shared" si="259"/>
        <v>0.9841269841</v>
      </c>
      <c r="F975" s="409">
        <v>0.0026041666666666665</v>
      </c>
      <c r="G975" s="240">
        <f t="shared" si="260"/>
        <v>5</v>
      </c>
      <c r="H975" s="240">
        <f>ROUND(
IF(F975="",
0,
MAX(1, 5 - MAX(0, (F975 - TIME(0,5,0)) / TIME(0,1,0) * 0.5))
),
2
)
</f>
        <v>5</v>
      </c>
    </row>
    <row r="976" hidden="1" outlineLevel="1">
      <c r="A976" s="424" t="s">
        <v>22</v>
      </c>
      <c r="B976" s="405">
        <v>81.0</v>
      </c>
      <c r="C976" s="405">
        <v>80.0</v>
      </c>
      <c r="D976" s="410">
        <f t="shared" si="258"/>
        <v>1</v>
      </c>
      <c r="E976" s="411">
        <f t="shared" si="259"/>
        <v>0.987654321</v>
      </c>
      <c r="F976" s="412">
        <v>0.002395833333333333</v>
      </c>
      <c r="G976" s="240">
        <f t="shared" si="260"/>
        <v>5</v>
      </c>
      <c r="H976" s="240">
        <f>ROUND(
IF(F976="",
0,
MAX(1, 5 - MAX(0, (F976 - TIME(0,4,0)) / TIME(0,1,0) * 0.5))
),
2
)
</f>
        <v>5</v>
      </c>
    </row>
    <row r="977" hidden="1" outlineLevel="1">
      <c r="A977" s="283" t="s">
        <v>129</v>
      </c>
      <c r="B977" s="402">
        <v>134.0</v>
      </c>
      <c r="C977" s="402">
        <v>131.0</v>
      </c>
      <c r="D977" s="136">
        <f t="shared" si="258"/>
        <v>3</v>
      </c>
      <c r="E977" s="408">
        <f t="shared" si="259"/>
        <v>0.9776119403</v>
      </c>
      <c r="F977" s="409">
        <v>0.004340277777777778</v>
      </c>
      <c r="G977" s="240">
        <f t="shared" si="260"/>
        <v>4.5</v>
      </c>
      <c r="H977" s="240">
        <f t="shared" ref="H977:H979" si="261">ROUND(
IF(F977="",
0,
MAX(1, 5 - MAX(0, (F977 - TIME(0,5,0)) / TIME(0,1,0) * 0.5))
),
2
)
</f>
        <v>4.38</v>
      </c>
    </row>
    <row r="978" hidden="1" outlineLevel="1">
      <c r="A978" s="428" t="s">
        <v>13</v>
      </c>
      <c r="B978" s="405">
        <v>108.0</v>
      </c>
      <c r="C978" s="405">
        <v>105.0</v>
      </c>
      <c r="D978" s="410">
        <f t="shared" si="258"/>
        <v>3</v>
      </c>
      <c r="E978" s="411">
        <f t="shared" si="259"/>
        <v>0.9722222222</v>
      </c>
      <c r="F978" s="412">
        <v>0.003958333333333334</v>
      </c>
      <c r="G978" s="240">
        <f t="shared" si="260"/>
        <v>4.5</v>
      </c>
      <c r="H978" s="240">
        <f t="shared" si="261"/>
        <v>4.65</v>
      </c>
    </row>
    <row r="979" hidden="1" outlineLevel="1">
      <c r="A979" s="283" t="s">
        <v>428</v>
      </c>
      <c r="B979" s="402">
        <v>85.0</v>
      </c>
      <c r="C979" s="402">
        <v>83.0</v>
      </c>
      <c r="D979" s="136">
        <f t="shared" si="258"/>
        <v>2</v>
      </c>
      <c r="E979" s="408">
        <f t="shared" si="259"/>
        <v>0.9764705882</v>
      </c>
      <c r="F979" s="409">
        <v>0.004340277777777778</v>
      </c>
      <c r="G979" s="240">
        <f t="shared" si="260"/>
        <v>4.5</v>
      </c>
      <c r="H979" s="240">
        <f t="shared" si="261"/>
        <v>4.38</v>
      </c>
    </row>
    <row r="980" hidden="1" outlineLevel="1"/>
    <row r="981" hidden="1" outlineLevel="1">
      <c r="A981" s="195" t="s">
        <v>239</v>
      </c>
    </row>
    <row r="982" hidden="1" outlineLevel="1">
      <c r="A982" s="260" t="s">
        <v>240</v>
      </c>
      <c r="B982" s="262" t="s">
        <v>241</v>
      </c>
      <c r="C982" s="264" t="s">
        <v>242</v>
      </c>
      <c r="D982" s="264" t="s">
        <v>243</v>
      </c>
      <c r="E982" s="265" t="s">
        <v>244</v>
      </c>
      <c r="F982" s="267" t="s">
        <v>247</v>
      </c>
      <c r="G982" s="268"/>
    </row>
    <row r="983" hidden="1" outlineLevel="1">
      <c r="A983" s="275" t="s">
        <v>25</v>
      </c>
      <c r="B983" s="276">
        <f t="shared" ref="B983:B990" si="262">(C983*0.3)+(D983*0.1)</f>
        <v>0.4</v>
      </c>
      <c r="C983" s="436">
        <v>1.0</v>
      </c>
      <c r="D983" s="272">
        <v>1.0</v>
      </c>
      <c r="E983" s="277">
        <f t="shared" ref="E983:E990" si="263">(L960+G972+H972)/15*0.3</f>
        <v>0.29</v>
      </c>
      <c r="F983" s="274">
        <f t="shared" ref="F983:F990" si="264">(E983/30%)*10</f>
        <v>9.666666667</v>
      </c>
      <c r="G983" s="268"/>
      <c r="H983" s="268"/>
      <c r="I983" s="268"/>
      <c r="J983" s="268"/>
    </row>
    <row r="984" hidden="1" outlineLevel="1">
      <c r="A984" s="278" t="s">
        <v>4</v>
      </c>
      <c r="B984" s="279">
        <f t="shared" si="262"/>
        <v>0.4</v>
      </c>
      <c r="C984" s="436">
        <v>1.0</v>
      </c>
      <c r="D984" s="272">
        <v>1.0</v>
      </c>
      <c r="E984" s="281">
        <f t="shared" si="263"/>
        <v>0.2528</v>
      </c>
      <c r="F984" s="274">
        <f t="shared" si="264"/>
        <v>8.426666667</v>
      </c>
      <c r="G984" s="268"/>
      <c r="H984" s="268"/>
      <c r="I984" s="268"/>
      <c r="J984" s="268"/>
    </row>
    <row r="985" hidden="1" outlineLevel="1">
      <c r="A985" s="275" t="s">
        <v>19</v>
      </c>
      <c r="B985" s="276">
        <f t="shared" si="262"/>
        <v>0.4</v>
      </c>
      <c r="C985" s="436">
        <v>1.0</v>
      </c>
      <c r="D985" s="272">
        <v>1.0</v>
      </c>
      <c r="E985" s="277">
        <f t="shared" si="263"/>
        <v>0.2878</v>
      </c>
      <c r="F985" s="274">
        <f t="shared" si="264"/>
        <v>9.593333333</v>
      </c>
      <c r="G985" s="268"/>
      <c r="H985" s="268"/>
      <c r="I985" s="268"/>
      <c r="J985" s="268"/>
    </row>
    <row r="986" hidden="1" outlineLevel="1">
      <c r="A986" s="278" t="s">
        <v>30</v>
      </c>
      <c r="B986" s="279">
        <f t="shared" si="262"/>
        <v>0.4</v>
      </c>
      <c r="C986" s="436">
        <v>1.0</v>
      </c>
      <c r="D986" s="272">
        <v>1.0</v>
      </c>
      <c r="E986" s="281">
        <f t="shared" si="263"/>
        <v>0.3</v>
      </c>
      <c r="F986" s="274">
        <f t="shared" si="264"/>
        <v>10</v>
      </c>
      <c r="G986" s="268"/>
      <c r="H986" s="268"/>
      <c r="I986" s="268"/>
      <c r="J986" s="268"/>
    </row>
    <row r="987" hidden="1" outlineLevel="1">
      <c r="A987" s="301" t="s">
        <v>31</v>
      </c>
      <c r="B987" s="276">
        <f t="shared" si="262"/>
        <v>0.4</v>
      </c>
      <c r="C987" s="436">
        <v>1.0</v>
      </c>
      <c r="D987" s="272">
        <v>1.0</v>
      </c>
      <c r="E987" s="277">
        <f t="shared" si="263"/>
        <v>0.3</v>
      </c>
      <c r="F987" s="274">
        <f t="shared" si="264"/>
        <v>10</v>
      </c>
      <c r="G987" s="268"/>
      <c r="H987" s="268"/>
      <c r="I987" s="268"/>
      <c r="J987" s="268"/>
    </row>
    <row r="988" hidden="1" outlineLevel="1">
      <c r="A988" s="284" t="s">
        <v>129</v>
      </c>
      <c r="B988" s="279">
        <f t="shared" si="262"/>
        <v>0.4</v>
      </c>
      <c r="C988" s="436">
        <v>1.0</v>
      </c>
      <c r="D988" s="272">
        <v>1.0</v>
      </c>
      <c r="E988" s="281">
        <f t="shared" si="263"/>
        <v>0.2776</v>
      </c>
      <c r="F988" s="274">
        <f t="shared" si="264"/>
        <v>9.253333333</v>
      </c>
      <c r="G988" s="268"/>
      <c r="H988" s="268"/>
      <c r="I988" s="268"/>
      <c r="J988" s="268"/>
    </row>
    <row r="989" hidden="1" outlineLevel="1">
      <c r="A989" s="283" t="s">
        <v>13</v>
      </c>
      <c r="B989" s="276">
        <f t="shared" si="262"/>
        <v>0.4</v>
      </c>
      <c r="C989" s="436">
        <v>1.0</v>
      </c>
      <c r="D989" s="272">
        <v>1.0</v>
      </c>
      <c r="E989" s="277">
        <f t="shared" si="263"/>
        <v>0.283</v>
      </c>
      <c r="F989" s="274">
        <f t="shared" si="264"/>
        <v>9.433333333</v>
      </c>
      <c r="G989" s="268"/>
      <c r="H989" s="268"/>
      <c r="I989" s="268"/>
      <c r="J989" s="268"/>
    </row>
    <row r="990" hidden="1" outlineLevel="1">
      <c r="A990" s="284" t="s">
        <v>428</v>
      </c>
      <c r="B990" s="279">
        <f t="shared" si="262"/>
        <v>0.34</v>
      </c>
      <c r="C990" s="436">
        <v>0.8</v>
      </c>
      <c r="D990" s="272">
        <v>1.0</v>
      </c>
      <c r="E990" s="281">
        <f t="shared" si="263"/>
        <v>0.2576</v>
      </c>
      <c r="F990" s="274">
        <f t="shared" si="264"/>
        <v>8.586666667</v>
      </c>
      <c r="G990" s="268"/>
      <c r="H990" s="268"/>
      <c r="I990" s="268"/>
      <c r="J990" s="268"/>
    </row>
    <row r="991" hidden="1" outlineLevel="1">
      <c r="A991" s="286"/>
      <c r="B991" s="286"/>
      <c r="C991" s="287"/>
      <c r="D991" s="288"/>
      <c r="E991" s="289"/>
      <c r="F991" s="268"/>
      <c r="G991" s="268"/>
      <c r="H991" s="268"/>
      <c r="I991" s="268"/>
      <c r="J991" s="268"/>
    </row>
    <row r="992" hidden="1" outlineLevel="1">
      <c r="A992" s="195" t="s">
        <v>269</v>
      </c>
      <c r="B992" s="286"/>
      <c r="C992" s="287"/>
      <c r="D992" s="288"/>
      <c r="E992" s="289"/>
      <c r="F992" s="268"/>
      <c r="G992" s="268"/>
      <c r="H992" s="268"/>
      <c r="I992" s="268"/>
      <c r="J992" s="268"/>
    </row>
    <row r="993" hidden="1" outlineLevel="1">
      <c r="A993" s="290" t="s">
        <v>240</v>
      </c>
      <c r="B993" s="291" t="s">
        <v>270</v>
      </c>
      <c r="C993" s="198">
        <v>46153.0</v>
      </c>
      <c r="D993" s="198">
        <v>46154.0</v>
      </c>
      <c r="E993" s="198">
        <v>46155.0</v>
      </c>
      <c r="F993" s="198">
        <v>46156.0</v>
      </c>
      <c r="G993" s="198">
        <v>46157.0</v>
      </c>
      <c r="H993" s="198">
        <v>46158.0</v>
      </c>
      <c r="I993" s="198">
        <v>46159.0</v>
      </c>
      <c r="J993" s="268"/>
    </row>
    <row r="994" hidden="1" outlineLevel="1">
      <c r="A994" s="292"/>
      <c r="B994" s="292"/>
      <c r="C994" s="205" t="s">
        <v>192</v>
      </c>
      <c r="D994" s="205" t="s">
        <v>272</v>
      </c>
      <c r="E994" s="205" t="s">
        <v>273</v>
      </c>
      <c r="F994" s="205" t="s">
        <v>274</v>
      </c>
      <c r="G994" s="205" t="s">
        <v>275</v>
      </c>
      <c r="H994" s="205" t="s">
        <v>276</v>
      </c>
      <c r="I994" s="205" t="s">
        <v>277</v>
      </c>
    </row>
    <row r="995" hidden="1" outlineLevel="1">
      <c r="A995" s="275" t="s">
        <v>25</v>
      </c>
      <c r="B995" s="293">
        <f t="shared" ref="B995:B1002" si="265">Sum(C995:I995)</f>
        <v>0</v>
      </c>
      <c r="C995" s="295"/>
      <c r="D995" s="294"/>
      <c r="E995" s="294"/>
      <c r="F995" s="294"/>
      <c r="G995" s="295"/>
      <c r="H995" s="295"/>
      <c r="I995" s="295"/>
    </row>
    <row r="996" hidden="1" outlineLevel="1">
      <c r="A996" s="278" t="s">
        <v>4</v>
      </c>
      <c r="B996" s="293">
        <f t="shared" si="265"/>
        <v>0</v>
      </c>
      <c r="C996" s="296"/>
      <c r="D996" s="296"/>
      <c r="E996" s="296"/>
      <c r="F996" s="296"/>
      <c r="G996" s="296"/>
      <c r="H996" s="297"/>
      <c r="I996" s="296"/>
    </row>
    <row r="997" hidden="1" outlineLevel="1">
      <c r="A997" s="275" t="s">
        <v>19</v>
      </c>
      <c r="B997" s="293">
        <f t="shared" si="265"/>
        <v>0</v>
      </c>
      <c r="C997" s="295"/>
      <c r="D997" s="294"/>
      <c r="E997" s="295"/>
      <c r="F997" s="295"/>
      <c r="G997" s="295"/>
      <c r="H997" s="295"/>
      <c r="I997" s="294"/>
    </row>
    <row r="998" hidden="1" outlineLevel="1">
      <c r="A998" s="278" t="s">
        <v>30</v>
      </c>
      <c r="B998" s="293">
        <f t="shared" si="265"/>
        <v>0</v>
      </c>
      <c r="C998" s="296"/>
      <c r="D998" s="296"/>
      <c r="E998" s="296"/>
      <c r="F998" s="296"/>
      <c r="G998" s="296"/>
      <c r="H998" s="296"/>
      <c r="I998" s="297"/>
    </row>
    <row r="999" hidden="1" outlineLevel="1">
      <c r="A999" s="301" t="s">
        <v>31</v>
      </c>
      <c r="B999" s="293">
        <f t="shared" si="265"/>
        <v>0</v>
      </c>
      <c r="C999" s="295"/>
      <c r="D999" s="295"/>
      <c r="E999" s="295"/>
      <c r="F999" s="295"/>
      <c r="G999" s="295"/>
      <c r="H999" s="295"/>
      <c r="I999" s="294"/>
    </row>
    <row r="1000" ht="16.5" hidden="1" customHeight="1" outlineLevel="1">
      <c r="A1000" s="284" t="s">
        <v>129</v>
      </c>
      <c r="B1000" s="293">
        <f t="shared" si="265"/>
        <v>0</v>
      </c>
      <c r="C1000" s="296"/>
      <c r="D1000" s="296"/>
      <c r="E1000" s="296"/>
      <c r="F1000" s="296"/>
      <c r="G1000" s="296"/>
      <c r="H1000" s="296"/>
      <c r="I1000" s="296"/>
    </row>
    <row r="1001" hidden="1" outlineLevel="1">
      <c r="A1001" s="283" t="s">
        <v>13</v>
      </c>
      <c r="B1001" s="293">
        <f t="shared" si="265"/>
        <v>0</v>
      </c>
      <c r="C1001" s="294"/>
      <c r="D1001" s="294"/>
      <c r="E1001" s="295"/>
      <c r="F1001" s="295"/>
      <c r="G1001" s="295"/>
      <c r="H1001" s="295"/>
      <c r="I1001" s="294"/>
    </row>
    <row r="1002" hidden="1" outlineLevel="1">
      <c r="A1002" s="284" t="s">
        <v>64</v>
      </c>
      <c r="B1002" s="293">
        <f t="shared" si="265"/>
        <v>0</v>
      </c>
      <c r="C1002" s="297"/>
      <c r="D1002" s="297"/>
      <c r="E1002" s="296"/>
      <c r="F1002" s="297"/>
      <c r="G1002" s="296"/>
      <c r="H1002" s="296"/>
      <c r="I1002" s="297"/>
    </row>
    <row r="1003" collapsed="1">
      <c r="A1003" s="437">
        <v>46204.0</v>
      </c>
    </row>
    <row r="1004" hidden="1" outlineLevel="1" collapsed="1">
      <c r="A1004" s="192" t="s">
        <v>1197</v>
      </c>
    </row>
    <row r="1005" hidden="1" outlineLevel="2">
      <c r="A1005" s="195" t="s">
        <v>186</v>
      </c>
    </row>
    <row r="1006" hidden="1" outlineLevel="2">
      <c r="A1006" s="196" t="s">
        <v>187</v>
      </c>
      <c r="B1006" s="197" t="s">
        <v>77</v>
      </c>
      <c r="C1006" s="197" t="s">
        <v>189</v>
      </c>
      <c r="D1006" s="198">
        <v>46202.0</v>
      </c>
      <c r="E1006" s="198">
        <v>46203.0</v>
      </c>
      <c r="F1006" s="198">
        <v>46204.0</v>
      </c>
      <c r="G1006" s="198">
        <v>46205.0</v>
      </c>
      <c r="H1006" s="198">
        <v>46206.0</v>
      </c>
      <c r="I1006" s="198">
        <v>46207.0</v>
      </c>
      <c r="J1006" s="198">
        <v>46208.0</v>
      </c>
      <c r="K1006" s="199" t="s">
        <v>190</v>
      </c>
      <c r="L1006" s="201" t="s">
        <v>191</v>
      </c>
    </row>
    <row r="1007" hidden="1" outlineLevel="2">
      <c r="A1007" s="415"/>
      <c r="B1007" s="325"/>
      <c r="C1007" s="325"/>
      <c r="D1007" s="205" t="s">
        <v>192</v>
      </c>
      <c r="E1007" s="205" t="str">
        <f t="shared" ref="E1007:J1007" si="266">text(E1006,"ddd")</f>
        <v>Tue</v>
      </c>
      <c r="F1007" s="205" t="str">
        <f t="shared" si="266"/>
        <v>Wed</v>
      </c>
      <c r="G1007" s="205" t="str">
        <f t="shared" si="266"/>
        <v>Thu</v>
      </c>
      <c r="H1007" s="205" t="str">
        <f t="shared" si="266"/>
        <v>Fri</v>
      </c>
      <c r="I1007" s="205" t="str">
        <f t="shared" si="266"/>
        <v>Sat</v>
      </c>
      <c r="J1007" s="205" t="str">
        <f t="shared" si="266"/>
        <v>Sun</v>
      </c>
      <c r="K1007" s="206"/>
      <c r="L1007" s="203"/>
    </row>
    <row r="1008" hidden="1" outlineLevel="2">
      <c r="A1008" s="403" t="s">
        <v>194</v>
      </c>
      <c r="B1008" s="404">
        <f>20*5</f>
        <v>100</v>
      </c>
      <c r="C1008" s="404">
        <f t="shared" ref="C1008:C1015" si="267">SUM(D1008:J1008)</f>
        <v>104</v>
      </c>
      <c r="D1008" s="405">
        <v>13.0</v>
      </c>
      <c r="E1008" s="405">
        <v>19.0</v>
      </c>
      <c r="F1008" s="405">
        <v>28.0</v>
      </c>
      <c r="G1008" s="405">
        <v>27.0</v>
      </c>
      <c r="H1008" s="405">
        <v>17.0</v>
      </c>
      <c r="I1008" s="405" t="s">
        <v>92</v>
      </c>
      <c r="J1008" s="211" t="s">
        <v>92</v>
      </c>
      <c r="K1008" s="214">
        <f t="shared" ref="K1008:K1015" si="268">iferror(C1008/B1008,"-")</f>
        <v>1.04</v>
      </c>
      <c r="L1008" s="219">
        <f t="shared" ref="L1008:L1015" si="269">(IF(K1008="",(0),IF(K1008&gt;=1,(5),IF(K1008&gt;=0.9,(4),IF(K1008&gt;=0.8,(3),IF(K1008&gt;=0.69,(2),IF(K1008&lt;=0.69,(1))))))))</f>
        <v>5</v>
      </c>
    </row>
    <row r="1009" hidden="1" outlineLevel="2">
      <c r="A1009" s="400" t="s">
        <v>118</v>
      </c>
      <c r="B1009" s="401">
        <f>25*5</f>
        <v>125</v>
      </c>
      <c r="C1009" s="401">
        <f t="shared" si="267"/>
        <v>109</v>
      </c>
      <c r="D1009" s="402">
        <v>20.0</v>
      </c>
      <c r="E1009" s="402">
        <v>27.0</v>
      </c>
      <c r="F1009" s="402">
        <v>19.0</v>
      </c>
      <c r="G1009" s="402">
        <v>25.0</v>
      </c>
      <c r="H1009" s="402">
        <v>18.0</v>
      </c>
      <c r="I1009" s="402" t="s">
        <v>92</v>
      </c>
      <c r="J1009" s="211" t="s">
        <v>92</v>
      </c>
      <c r="K1009" s="214">
        <f t="shared" si="268"/>
        <v>0.872</v>
      </c>
      <c r="L1009" s="219">
        <f t="shared" si="269"/>
        <v>3</v>
      </c>
    </row>
    <row r="1010" hidden="1" outlineLevel="2">
      <c r="A1010" s="403" t="s">
        <v>19</v>
      </c>
      <c r="B1010" s="404">
        <f>25+25+25+25+15</f>
        <v>115</v>
      </c>
      <c r="C1010" s="404">
        <f t="shared" si="267"/>
        <v>113</v>
      </c>
      <c r="D1010" s="405">
        <v>24.0</v>
      </c>
      <c r="E1010" s="405">
        <v>19.0</v>
      </c>
      <c r="F1010" s="405" t="s">
        <v>92</v>
      </c>
      <c r="G1010" s="405">
        <v>30.0</v>
      </c>
      <c r="H1010" s="405">
        <v>25.0</v>
      </c>
      <c r="I1010" s="405">
        <v>15.0</v>
      </c>
      <c r="J1010" s="211" t="s">
        <v>92</v>
      </c>
      <c r="K1010" s="214">
        <f t="shared" si="268"/>
        <v>0.9826086957</v>
      </c>
      <c r="L1010" s="219">
        <f t="shared" si="269"/>
        <v>4</v>
      </c>
    </row>
    <row r="1011" hidden="1" outlineLevel="2">
      <c r="A1011" s="400" t="s">
        <v>120</v>
      </c>
      <c r="B1011" s="401">
        <f>15+20+15+8+10</f>
        <v>68</v>
      </c>
      <c r="C1011" s="401">
        <f t="shared" si="267"/>
        <v>67</v>
      </c>
      <c r="D1011" s="402">
        <v>16.0</v>
      </c>
      <c r="E1011" s="402">
        <v>20.0</v>
      </c>
      <c r="F1011" s="402">
        <v>13.0</v>
      </c>
      <c r="G1011" s="402" t="s">
        <v>92</v>
      </c>
      <c r="H1011" s="402" t="s">
        <v>92</v>
      </c>
      <c r="I1011" s="402">
        <v>8.0</v>
      </c>
      <c r="J1011" s="211">
        <v>10.0</v>
      </c>
      <c r="K1011" s="214">
        <f t="shared" si="268"/>
        <v>0.9852941176</v>
      </c>
      <c r="L1011" s="219">
        <f t="shared" si="269"/>
        <v>4</v>
      </c>
    </row>
    <row r="1012" hidden="1" outlineLevel="2">
      <c r="A1012" s="282" t="s">
        <v>22</v>
      </c>
      <c r="B1012" s="407">
        <f>15*5</f>
        <v>75</v>
      </c>
      <c r="C1012" s="404">
        <f t="shared" si="267"/>
        <v>106</v>
      </c>
      <c r="D1012" s="405">
        <v>19.0</v>
      </c>
      <c r="E1012" s="405">
        <v>17.0</v>
      </c>
      <c r="F1012" s="405">
        <v>26.0</v>
      </c>
      <c r="G1012" s="405" t="s">
        <v>92</v>
      </c>
      <c r="H1012" s="405" t="s">
        <v>92</v>
      </c>
      <c r="I1012" s="405">
        <v>15.0</v>
      </c>
      <c r="J1012" s="211">
        <v>29.0</v>
      </c>
      <c r="K1012" s="214">
        <f t="shared" si="268"/>
        <v>1.413333333</v>
      </c>
      <c r="L1012" s="219">
        <f t="shared" si="269"/>
        <v>5</v>
      </c>
    </row>
    <row r="1013" hidden="1" outlineLevel="2">
      <c r="A1013" s="283" t="s">
        <v>129</v>
      </c>
      <c r="B1013" s="401">
        <f>30*4+15</f>
        <v>135</v>
      </c>
      <c r="C1013" s="401">
        <f t="shared" si="267"/>
        <v>143</v>
      </c>
      <c r="D1013" s="402">
        <v>28.0</v>
      </c>
      <c r="E1013" s="402">
        <v>35.0</v>
      </c>
      <c r="F1013" s="402">
        <v>29.0</v>
      </c>
      <c r="G1013" s="402">
        <v>35.0</v>
      </c>
      <c r="H1013" s="402" t="s">
        <v>92</v>
      </c>
      <c r="I1013" s="402" t="s">
        <v>92</v>
      </c>
      <c r="J1013" s="211">
        <v>16.0</v>
      </c>
      <c r="K1013" s="214">
        <f t="shared" si="268"/>
        <v>1.059259259</v>
      </c>
      <c r="L1013" s="219">
        <f t="shared" si="269"/>
        <v>5</v>
      </c>
    </row>
    <row r="1014" hidden="1" outlineLevel="2">
      <c r="A1014" s="284" t="s">
        <v>13</v>
      </c>
      <c r="B1014" s="407">
        <f>15+20+20+10+15</f>
        <v>80</v>
      </c>
      <c r="C1014" s="404">
        <f t="shared" si="267"/>
        <v>65</v>
      </c>
      <c r="D1014" s="405">
        <v>16.0</v>
      </c>
      <c r="E1014" s="405">
        <v>19.0</v>
      </c>
      <c r="F1014" s="405">
        <v>19.0</v>
      </c>
      <c r="G1014" s="405">
        <v>11.0</v>
      </c>
      <c r="H1014" s="405" t="s">
        <v>196</v>
      </c>
      <c r="I1014" s="405" t="s">
        <v>92</v>
      </c>
      <c r="J1014" s="211" t="s">
        <v>92</v>
      </c>
      <c r="K1014" s="214">
        <f t="shared" si="268"/>
        <v>0.8125</v>
      </c>
      <c r="L1014" s="219">
        <f t="shared" si="269"/>
        <v>3</v>
      </c>
    </row>
    <row r="1015" hidden="1" outlineLevel="2">
      <c r="A1015" s="283" t="s">
        <v>428</v>
      </c>
      <c r="B1015" s="406">
        <f>20+15+15+8+10</f>
        <v>68</v>
      </c>
      <c r="C1015" s="401">
        <f t="shared" si="267"/>
        <v>68</v>
      </c>
      <c r="D1015" s="402">
        <v>19.0</v>
      </c>
      <c r="E1015" s="402" t="s">
        <v>92</v>
      </c>
      <c r="F1015" s="402" t="s">
        <v>92</v>
      </c>
      <c r="G1015" s="402">
        <v>17.0</v>
      </c>
      <c r="H1015" s="402">
        <v>12.0</v>
      </c>
      <c r="I1015" s="402">
        <v>8.0</v>
      </c>
      <c r="J1015" s="211">
        <v>12.0</v>
      </c>
      <c r="K1015" s="214">
        <f t="shared" si="268"/>
        <v>1</v>
      </c>
      <c r="L1015" s="219">
        <f t="shared" si="269"/>
        <v>5</v>
      </c>
    </row>
    <row r="1016" hidden="1" outlineLevel="2"/>
    <row r="1017" hidden="1" outlineLevel="2">
      <c r="A1017" s="195" t="s">
        <v>135</v>
      </c>
      <c r="I1017" s="195"/>
    </row>
    <row r="1018" hidden="1" outlineLevel="2">
      <c r="A1018" s="196" t="s">
        <v>187</v>
      </c>
      <c r="B1018" s="225" t="s">
        <v>218</v>
      </c>
      <c r="C1018" s="225" t="s">
        <v>219</v>
      </c>
      <c r="D1018" s="225" t="s">
        <v>139</v>
      </c>
      <c r="E1018" s="225" t="s">
        <v>140</v>
      </c>
      <c r="F1018" s="225" t="s">
        <v>141</v>
      </c>
      <c r="G1018" s="226" t="s">
        <v>143</v>
      </c>
      <c r="H1018" s="226" t="s">
        <v>221</v>
      </c>
    </row>
    <row r="1019" hidden="1" outlineLevel="2">
      <c r="A1019" s="415"/>
      <c r="B1019" s="325"/>
      <c r="C1019" s="325"/>
      <c r="D1019" s="325"/>
      <c r="E1019" s="325"/>
      <c r="F1019" s="325"/>
      <c r="G1019" s="325"/>
      <c r="H1019" s="325"/>
    </row>
    <row r="1020" hidden="1" outlineLevel="2">
      <c r="A1020" s="403" t="s">
        <v>194</v>
      </c>
      <c r="B1020" s="453">
        <v>110.0</v>
      </c>
      <c r="C1020" s="453">
        <v>104.0</v>
      </c>
      <c r="D1020" s="410">
        <f t="shared" ref="D1020:D1027" si="270">B1020-C1020</f>
        <v>6</v>
      </c>
      <c r="E1020" s="411">
        <f t="shared" ref="E1020:E1027" si="271">IFERROR(C1020/B1020,"")</f>
        <v>0.9454545455</v>
      </c>
      <c r="F1020" s="454">
        <v>0.002210648148148148</v>
      </c>
      <c r="G1020" s="240">
        <f t="shared" ref="G1020:G1027" si="272">IFERROR((IF(E1020="",(0),IF(E1020&gt;=0.98,(5),IF(E1020&gt;=0.95,(4.5),IF(E1020&gt;=0.9,(4),IF(E1020&gt;=0.8,(3),IF(E1020&lt;=0.69,(1)))))))),"")</f>
        <v>4</v>
      </c>
      <c r="H1020" s="240">
        <f>ROUND(
IF(F1020="",
0,
MAX(1, 5 - MAX(0, (F1020 - TIME(0,4,0)) / TIME(0,1,0) * 0.5))
),
2
)
</f>
        <v>5</v>
      </c>
    </row>
    <row r="1021" hidden="1" outlineLevel="2">
      <c r="A1021" s="400" t="s">
        <v>118</v>
      </c>
      <c r="B1021" s="455">
        <v>109.0</v>
      </c>
      <c r="C1021" s="455">
        <v>109.0</v>
      </c>
      <c r="D1021" s="136">
        <f t="shared" si="270"/>
        <v>0</v>
      </c>
      <c r="E1021" s="408">
        <f t="shared" si="271"/>
        <v>1</v>
      </c>
      <c r="F1021" s="456">
        <v>0.0036689814814814814</v>
      </c>
      <c r="G1021" s="240">
        <f t="shared" si="272"/>
        <v>5</v>
      </c>
      <c r="H1021" s="240">
        <f>ROUND(
IF(F1021="",
0,
MAX(1, 5 - MAX(0, (F1021 - TIME(0,5,0)) / TIME(0,1,0) * 0.5))
),
2
)
</f>
        <v>4.86</v>
      </c>
    </row>
    <row r="1022" hidden="1" outlineLevel="2">
      <c r="A1022" s="403" t="s">
        <v>19</v>
      </c>
      <c r="B1022" s="453">
        <v>116.0</v>
      </c>
      <c r="C1022" s="453">
        <v>113.0</v>
      </c>
      <c r="D1022" s="410">
        <f t="shared" si="270"/>
        <v>3</v>
      </c>
      <c r="E1022" s="411">
        <f t="shared" si="271"/>
        <v>0.974137931</v>
      </c>
      <c r="F1022" s="454">
        <v>0.003576388888888889</v>
      </c>
      <c r="G1022" s="240">
        <f t="shared" si="272"/>
        <v>4.5</v>
      </c>
      <c r="H1022" s="240">
        <f>ROUND(
IF(F1022="",
0,
MAX(1, 5 - MAX(0, (F1022 - TIME(0,4,0)) / TIME(0,1,0) * 0.5))
),
2
)
</f>
        <v>4.43</v>
      </c>
    </row>
    <row r="1023" hidden="1" outlineLevel="2">
      <c r="A1023" s="423" t="s">
        <v>120</v>
      </c>
      <c r="B1023" s="455">
        <v>69.0</v>
      </c>
      <c r="C1023" s="455">
        <v>67.0</v>
      </c>
      <c r="D1023" s="136">
        <f t="shared" si="270"/>
        <v>2</v>
      </c>
      <c r="E1023" s="408">
        <f t="shared" si="271"/>
        <v>0.9710144928</v>
      </c>
      <c r="F1023" s="456">
        <v>0.003472222222222222</v>
      </c>
      <c r="G1023" s="240">
        <f t="shared" si="272"/>
        <v>4.5</v>
      </c>
      <c r="H1023" s="240">
        <f>ROUND(
IF(F1023="",
0,
MAX(1, 5 - MAX(0, (F1023 - TIME(0,5,0)) / TIME(0,1,0) * 0.5))
),
2
)
</f>
        <v>5</v>
      </c>
    </row>
    <row r="1024" hidden="1" outlineLevel="2">
      <c r="A1024" s="424" t="s">
        <v>22</v>
      </c>
      <c r="B1024" s="453">
        <v>107.0</v>
      </c>
      <c r="C1024" s="453">
        <v>106.0</v>
      </c>
      <c r="D1024" s="410">
        <f t="shared" si="270"/>
        <v>1</v>
      </c>
      <c r="E1024" s="411">
        <f t="shared" si="271"/>
        <v>0.9906542056</v>
      </c>
      <c r="F1024" s="454">
        <v>0.0021412037037037038</v>
      </c>
      <c r="G1024" s="240">
        <f t="shared" si="272"/>
        <v>5</v>
      </c>
      <c r="H1024" s="240">
        <f>ROUND(
IF(F1024="",
0,
MAX(1, 5 - MAX(0, (F1024 - TIME(0,4,0)) / TIME(0,1,0) * 0.5))
),
2
)
</f>
        <v>5</v>
      </c>
    </row>
    <row r="1025" hidden="1" outlineLevel="2">
      <c r="A1025" s="283" t="s">
        <v>129</v>
      </c>
      <c r="B1025" s="455">
        <v>144.0</v>
      </c>
      <c r="C1025" s="455">
        <v>143.0</v>
      </c>
      <c r="D1025" s="136">
        <f t="shared" si="270"/>
        <v>1</v>
      </c>
      <c r="E1025" s="408">
        <f t="shared" si="271"/>
        <v>0.9930555556</v>
      </c>
      <c r="F1025" s="456">
        <v>0.0046875</v>
      </c>
      <c r="G1025" s="240">
        <f t="shared" si="272"/>
        <v>5</v>
      </c>
      <c r="H1025" s="240">
        <f t="shared" ref="H1025:H1027" si="273">ROUND(
IF(F1025="",
0,
MAX(1, 5 - MAX(0, (F1025 - TIME(0,5,0)) / TIME(0,1,0) * 0.5))
),
2
)
</f>
        <v>4.13</v>
      </c>
    </row>
    <row r="1026" hidden="1" outlineLevel="2">
      <c r="A1026" s="428" t="s">
        <v>13</v>
      </c>
      <c r="B1026" s="453">
        <v>67.0</v>
      </c>
      <c r="C1026" s="453">
        <v>65.0</v>
      </c>
      <c r="D1026" s="410">
        <f t="shared" si="270"/>
        <v>2</v>
      </c>
      <c r="E1026" s="411">
        <f t="shared" si="271"/>
        <v>0.9701492537</v>
      </c>
      <c r="F1026" s="454">
        <v>0.003599537037037037</v>
      </c>
      <c r="G1026" s="240">
        <f t="shared" si="272"/>
        <v>4.5</v>
      </c>
      <c r="H1026" s="240">
        <f t="shared" si="273"/>
        <v>4.91</v>
      </c>
    </row>
    <row r="1027" hidden="1" outlineLevel="2">
      <c r="A1027" s="283" t="s">
        <v>428</v>
      </c>
      <c r="B1027" s="455">
        <v>69.0</v>
      </c>
      <c r="C1027" s="455">
        <v>68.0</v>
      </c>
      <c r="D1027" s="136">
        <f t="shared" si="270"/>
        <v>1</v>
      </c>
      <c r="E1027" s="408">
        <f t="shared" si="271"/>
        <v>0.9855072464</v>
      </c>
      <c r="F1027" s="456">
        <v>0.0038888888888888888</v>
      </c>
      <c r="G1027" s="240">
        <f t="shared" si="272"/>
        <v>5</v>
      </c>
      <c r="H1027" s="240">
        <f t="shared" si="273"/>
        <v>4.7</v>
      </c>
    </row>
    <row r="1028" hidden="1" outlineLevel="2"/>
    <row r="1029" hidden="1" outlineLevel="2">
      <c r="A1029" s="195" t="s">
        <v>239</v>
      </c>
    </row>
    <row r="1030" hidden="1" outlineLevel="2">
      <c r="A1030" s="260" t="s">
        <v>240</v>
      </c>
      <c r="B1030" s="262" t="s">
        <v>241</v>
      </c>
      <c r="C1030" s="264" t="s">
        <v>242</v>
      </c>
      <c r="D1030" s="264" t="s">
        <v>243</v>
      </c>
      <c r="E1030" s="265" t="s">
        <v>244</v>
      </c>
      <c r="F1030" s="267" t="s">
        <v>247</v>
      </c>
      <c r="G1030" s="268"/>
    </row>
    <row r="1031" hidden="1" outlineLevel="2">
      <c r="A1031" s="275" t="s">
        <v>25</v>
      </c>
      <c r="B1031" s="276" t="str">
        <f t="shared" ref="B1031:B1038" si="274">(C1031*0.3)+(D1031*0.1)</f>
        <v>#REF!</v>
      </c>
      <c r="C1031" s="436">
        <v>1.0</v>
      </c>
      <c r="D1031" s="272" t="str">
        <f t="shared" ref="D1031:D1036" si="275">#REF!</f>
        <v>#REF!</v>
      </c>
      <c r="E1031" s="277">
        <f t="shared" ref="E1031:E1038" si="276">(L1008+G1020+H1020)/15*0.3</f>
        <v>0.28</v>
      </c>
      <c r="F1031" s="274">
        <f t="shared" ref="F1031:F1038" si="277">(E1031/30%)*10</f>
        <v>9.333333333</v>
      </c>
      <c r="G1031" s="268"/>
      <c r="H1031" s="268"/>
      <c r="I1031" s="268"/>
      <c r="J1031" s="268"/>
    </row>
    <row r="1032" hidden="1" outlineLevel="2">
      <c r="A1032" s="278" t="s">
        <v>4</v>
      </c>
      <c r="B1032" s="279" t="str">
        <f t="shared" si="274"/>
        <v>#REF!</v>
      </c>
      <c r="C1032" s="436">
        <v>1.0</v>
      </c>
      <c r="D1032" s="272" t="str">
        <f t="shared" si="275"/>
        <v>#REF!</v>
      </c>
      <c r="E1032" s="281">
        <f t="shared" si="276"/>
        <v>0.2572</v>
      </c>
      <c r="F1032" s="274">
        <f t="shared" si="277"/>
        <v>8.573333333</v>
      </c>
      <c r="G1032" s="268"/>
      <c r="H1032" s="268"/>
      <c r="I1032" s="268"/>
      <c r="J1032" s="268"/>
    </row>
    <row r="1033" hidden="1" outlineLevel="2">
      <c r="A1033" s="275" t="s">
        <v>19</v>
      </c>
      <c r="B1033" s="276" t="str">
        <f t="shared" si="274"/>
        <v>#REF!</v>
      </c>
      <c r="C1033" s="436">
        <v>0.5</v>
      </c>
      <c r="D1033" s="272" t="str">
        <f t="shared" si="275"/>
        <v>#REF!</v>
      </c>
      <c r="E1033" s="277">
        <f t="shared" si="276"/>
        <v>0.2586</v>
      </c>
      <c r="F1033" s="274">
        <f t="shared" si="277"/>
        <v>8.62</v>
      </c>
      <c r="G1033" s="268"/>
      <c r="H1033" s="268"/>
      <c r="I1033" s="268"/>
      <c r="J1033" s="268"/>
    </row>
    <row r="1034" hidden="1" outlineLevel="2">
      <c r="A1034" s="278" t="s">
        <v>30</v>
      </c>
      <c r="B1034" s="279" t="str">
        <f t="shared" si="274"/>
        <v>#REF!</v>
      </c>
      <c r="C1034" s="436">
        <v>1.0</v>
      </c>
      <c r="D1034" s="272" t="str">
        <f t="shared" si="275"/>
        <v>#REF!</v>
      </c>
      <c r="E1034" s="281">
        <f t="shared" si="276"/>
        <v>0.27</v>
      </c>
      <c r="F1034" s="274">
        <f t="shared" si="277"/>
        <v>9</v>
      </c>
      <c r="G1034" s="268"/>
      <c r="H1034" s="268"/>
      <c r="I1034" s="268"/>
      <c r="J1034" s="268"/>
    </row>
    <row r="1035" hidden="1" outlineLevel="2">
      <c r="A1035" s="301" t="s">
        <v>31</v>
      </c>
      <c r="B1035" s="276" t="str">
        <f t="shared" si="274"/>
        <v>#REF!</v>
      </c>
      <c r="C1035" s="436">
        <v>1.0</v>
      </c>
      <c r="D1035" s="272" t="str">
        <f t="shared" si="275"/>
        <v>#REF!</v>
      </c>
      <c r="E1035" s="277">
        <f t="shared" si="276"/>
        <v>0.3</v>
      </c>
      <c r="F1035" s="274">
        <f t="shared" si="277"/>
        <v>10</v>
      </c>
      <c r="G1035" s="268"/>
      <c r="H1035" s="268"/>
      <c r="I1035" s="268"/>
      <c r="J1035" s="268"/>
    </row>
    <row r="1036" hidden="1" outlineLevel="2">
      <c r="A1036" s="284" t="s">
        <v>129</v>
      </c>
      <c r="B1036" s="279" t="str">
        <f t="shared" si="274"/>
        <v>#REF!</v>
      </c>
      <c r="C1036" s="436">
        <v>1.0</v>
      </c>
      <c r="D1036" s="272" t="str">
        <f t="shared" si="275"/>
        <v>#REF!</v>
      </c>
      <c r="E1036" s="281">
        <f t="shared" si="276"/>
        <v>0.2826</v>
      </c>
      <c r="F1036" s="274">
        <f t="shared" si="277"/>
        <v>9.42</v>
      </c>
      <c r="G1036" s="268"/>
      <c r="H1036" s="268"/>
      <c r="I1036" s="268"/>
      <c r="J1036" s="268"/>
    </row>
    <row r="1037" hidden="1" outlineLevel="2">
      <c r="A1037" s="283" t="s">
        <v>13</v>
      </c>
      <c r="B1037" s="276">
        <f t="shared" si="274"/>
        <v>0.4</v>
      </c>
      <c r="C1037" s="436">
        <v>1.0</v>
      </c>
      <c r="D1037" s="272">
        <f>Lyra!D413</f>
        <v>1</v>
      </c>
      <c r="E1037" s="277">
        <f t="shared" si="276"/>
        <v>0.2482</v>
      </c>
      <c r="F1037" s="274">
        <f t="shared" si="277"/>
        <v>8.273333333</v>
      </c>
      <c r="G1037" s="268"/>
      <c r="H1037" s="268"/>
      <c r="I1037" s="268"/>
      <c r="J1037" s="268"/>
    </row>
    <row r="1038" hidden="1" outlineLevel="2">
      <c r="A1038" s="284" t="s">
        <v>428</v>
      </c>
      <c r="B1038" s="279">
        <f t="shared" si="274"/>
        <v>0.4</v>
      </c>
      <c r="C1038" s="436">
        <v>1.0</v>
      </c>
      <c r="D1038" s="272">
        <f>Mikka!D358</f>
        <v>1</v>
      </c>
      <c r="E1038" s="281">
        <f t="shared" si="276"/>
        <v>0.294</v>
      </c>
      <c r="F1038" s="274">
        <f t="shared" si="277"/>
        <v>9.8</v>
      </c>
      <c r="G1038" s="268"/>
      <c r="H1038" s="268"/>
      <c r="I1038" s="268"/>
      <c r="J1038" s="268"/>
    </row>
    <row r="1039" hidden="1" outlineLevel="2">
      <c r="A1039" s="286"/>
      <c r="B1039" s="286"/>
      <c r="C1039" s="287"/>
      <c r="D1039" s="288"/>
      <c r="E1039" s="289"/>
      <c r="F1039" s="268"/>
      <c r="G1039" s="268"/>
      <c r="H1039" s="268"/>
      <c r="I1039" s="268"/>
      <c r="J1039" s="268"/>
    </row>
    <row r="1040" hidden="1" outlineLevel="2">
      <c r="A1040" s="195" t="s">
        <v>269</v>
      </c>
      <c r="B1040" s="286"/>
      <c r="C1040" s="287"/>
      <c r="D1040" s="288"/>
      <c r="E1040" s="289"/>
      <c r="F1040" s="268"/>
      <c r="G1040" s="268"/>
      <c r="H1040" s="268"/>
      <c r="I1040" s="268"/>
      <c r="J1040" s="268"/>
    </row>
    <row r="1041" hidden="1" outlineLevel="2">
      <c r="A1041" s="290" t="s">
        <v>240</v>
      </c>
      <c r="B1041" s="291" t="s">
        <v>270</v>
      </c>
      <c r="C1041" s="198">
        <v>46153.0</v>
      </c>
      <c r="D1041" s="198">
        <v>46154.0</v>
      </c>
      <c r="E1041" s="198">
        <v>46155.0</v>
      </c>
      <c r="F1041" s="198">
        <v>46156.0</v>
      </c>
      <c r="G1041" s="198">
        <v>46157.0</v>
      </c>
      <c r="H1041" s="198">
        <v>46158.0</v>
      </c>
      <c r="I1041" s="198">
        <v>46159.0</v>
      </c>
      <c r="J1041" s="268"/>
    </row>
    <row r="1042" hidden="1" outlineLevel="2">
      <c r="A1042" s="292"/>
      <c r="B1042" s="292"/>
      <c r="C1042" s="205" t="s">
        <v>192</v>
      </c>
      <c r="D1042" s="205" t="s">
        <v>272</v>
      </c>
      <c r="E1042" s="205" t="s">
        <v>273</v>
      </c>
      <c r="F1042" s="205" t="s">
        <v>274</v>
      </c>
      <c r="G1042" s="205" t="s">
        <v>275</v>
      </c>
      <c r="H1042" s="205" t="s">
        <v>276</v>
      </c>
      <c r="I1042" s="205" t="s">
        <v>277</v>
      </c>
    </row>
    <row r="1043" hidden="1" outlineLevel="2">
      <c r="A1043" s="275" t="s">
        <v>25</v>
      </c>
      <c r="B1043" s="293">
        <f t="shared" ref="B1043:B1050" si="278">Sum(C1043:I1043)</f>
        <v>0</v>
      </c>
      <c r="C1043" s="295"/>
      <c r="D1043" s="294"/>
      <c r="E1043" s="294"/>
      <c r="F1043" s="294"/>
      <c r="G1043" s="295"/>
      <c r="H1043" s="295"/>
      <c r="I1043" s="295"/>
    </row>
    <row r="1044" hidden="1" outlineLevel="2">
      <c r="A1044" s="278" t="s">
        <v>4</v>
      </c>
      <c r="B1044" s="293">
        <f t="shared" si="278"/>
        <v>0</v>
      </c>
      <c r="C1044" s="296"/>
      <c r="D1044" s="296"/>
      <c r="E1044" s="296"/>
      <c r="F1044" s="296"/>
      <c r="G1044" s="296"/>
      <c r="H1044" s="297"/>
      <c r="I1044" s="296"/>
    </row>
    <row r="1045" hidden="1" outlineLevel="2">
      <c r="A1045" s="275" t="s">
        <v>19</v>
      </c>
      <c r="B1045" s="293">
        <f t="shared" si="278"/>
        <v>0</v>
      </c>
      <c r="C1045" s="295"/>
      <c r="D1045" s="294"/>
      <c r="E1045" s="295"/>
      <c r="F1045" s="295"/>
      <c r="G1045" s="295"/>
      <c r="H1045" s="295"/>
      <c r="I1045" s="294"/>
    </row>
    <row r="1046" hidden="1" outlineLevel="2">
      <c r="A1046" s="278" t="s">
        <v>30</v>
      </c>
      <c r="B1046" s="293">
        <f t="shared" si="278"/>
        <v>0</v>
      </c>
      <c r="C1046" s="296"/>
      <c r="D1046" s="296"/>
      <c r="E1046" s="296"/>
      <c r="F1046" s="296"/>
      <c r="G1046" s="296"/>
      <c r="H1046" s="296"/>
      <c r="I1046" s="297"/>
    </row>
    <row r="1047" hidden="1" outlineLevel="2">
      <c r="A1047" s="301" t="s">
        <v>31</v>
      </c>
      <c r="B1047" s="293">
        <f t="shared" si="278"/>
        <v>0</v>
      </c>
      <c r="C1047" s="295"/>
      <c r="D1047" s="295"/>
      <c r="E1047" s="295"/>
      <c r="F1047" s="295"/>
      <c r="G1047" s="295"/>
      <c r="H1047" s="295"/>
      <c r="I1047" s="294"/>
    </row>
    <row r="1048" ht="16.5" hidden="1" customHeight="1" outlineLevel="2">
      <c r="A1048" s="284" t="s">
        <v>129</v>
      </c>
      <c r="B1048" s="293">
        <f t="shared" si="278"/>
        <v>0</v>
      </c>
      <c r="C1048" s="296"/>
      <c r="D1048" s="296"/>
      <c r="E1048" s="296"/>
      <c r="F1048" s="296"/>
      <c r="G1048" s="296"/>
      <c r="H1048" s="296"/>
      <c r="I1048" s="296"/>
    </row>
    <row r="1049" hidden="1" outlineLevel="2">
      <c r="A1049" s="283" t="s">
        <v>13</v>
      </c>
      <c r="B1049" s="293">
        <f t="shared" si="278"/>
        <v>0</v>
      </c>
      <c r="C1049" s="294"/>
      <c r="D1049" s="294"/>
      <c r="E1049" s="295"/>
      <c r="F1049" s="295"/>
      <c r="G1049" s="295"/>
      <c r="H1049" s="295"/>
      <c r="I1049" s="294"/>
    </row>
    <row r="1050" hidden="1" outlineLevel="2">
      <c r="A1050" s="284" t="s">
        <v>64</v>
      </c>
      <c r="B1050" s="293">
        <f t="shared" si="278"/>
        <v>0</v>
      </c>
      <c r="C1050" s="297"/>
      <c r="D1050" s="297"/>
      <c r="E1050" s="296"/>
      <c r="F1050" s="297"/>
      <c r="G1050" s="296"/>
      <c r="H1050" s="296"/>
      <c r="I1050" s="297"/>
    </row>
    <row r="1051" hidden="1" outlineLevel="1" collapsed="1">
      <c r="A1051" s="192" t="s">
        <v>1275</v>
      </c>
    </row>
    <row r="1052" hidden="1" outlineLevel="2">
      <c r="A1052" s="195" t="s">
        <v>186</v>
      </c>
    </row>
    <row r="1053" hidden="1" outlineLevel="2">
      <c r="A1053" s="196" t="s">
        <v>187</v>
      </c>
      <c r="B1053" s="197" t="s">
        <v>77</v>
      </c>
      <c r="C1053" s="197" t="s">
        <v>189</v>
      </c>
      <c r="D1053" s="198">
        <v>46209.0</v>
      </c>
      <c r="E1053" s="198">
        <v>46210.0</v>
      </c>
      <c r="F1053" s="198">
        <v>46211.0</v>
      </c>
      <c r="G1053" s="198">
        <v>46212.0</v>
      </c>
      <c r="H1053" s="198">
        <v>46213.0</v>
      </c>
      <c r="I1053" s="198">
        <v>46214.0</v>
      </c>
      <c r="J1053" s="198">
        <v>46215.0</v>
      </c>
      <c r="K1053" s="199" t="s">
        <v>190</v>
      </c>
      <c r="L1053" s="201" t="s">
        <v>191</v>
      </c>
    </row>
    <row r="1054" hidden="1" outlineLevel="2">
      <c r="A1054" s="399"/>
      <c r="B1054" s="292"/>
      <c r="C1054" s="292"/>
      <c r="D1054" s="205" t="s">
        <v>192</v>
      </c>
      <c r="E1054" s="205" t="str">
        <f t="shared" ref="E1054:J1054" si="279">text(E1053,"ddd")</f>
        <v>Tue</v>
      </c>
      <c r="F1054" s="205" t="str">
        <f t="shared" si="279"/>
        <v>Wed</v>
      </c>
      <c r="G1054" s="205" t="str">
        <f t="shared" si="279"/>
        <v>Thu</v>
      </c>
      <c r="H1054" s="205" t="str">
        <f t="shared" si="279"/>
        <v>Fri</v>
      </c>
      <c r="I1054" s="205" t="str">
        <f t="shared" si="279"/>
        <v>Sat</v>
      </c>
      <c r="J1054" s="205" t="str">
        <f t="shared" si="279"/>
        <v>Sun</v>
      </c>
      <c r="K1054" s="206"/>
      <c r="L1054" s="203"/>
    </row>
    <row r="1055" hidden="1" outlineLevel="2">
      <c r="A1055" s="400" t="s">
        <v>194</v>
      </c>
      <c r="B1055" s="401">
        <f>16*5</f>
        <v>80</v>
      </c>
      <c r="C1055" s="401">
        <f t="shared" ref="C1055:C1062" si="280">SUM(D1055:J1055)</f>
        <v>91</v>
      </c>
      <c r="D1055" s="402">
        <v>19.0</v>
      </c>
      <c r="E1055" s="402">
        <v>20.0</v>
      </c>
      <c r="F1055" s="402">
        <v>19.0</v>
      </c>
      <c r="G1055" s="402">
        <v>15.0</v>
      </c>
      <c r="H1055" s="402">
        <v>18.0</v>
      </c>
      <c r="I1055" s="402" t="s">
        <v>92</v>
      </c>
      <c r="J1055" s="211" t="s">
        <v>92</v>
      </c>
      <c r="K1055" s="214">
        <f t="shared" ref="K1055:K1062" si="281">iferror(C1055/B1055,"-")</f>
        <v>1.1375</v>
      </c>
      <c r="L1055" s="219">
        <f t="shared" ref="L1055:L1062" si="282">(IF(K1055="",(0),IF(K1055&gt;=1,(5),IF(K1055&gt;=0.9,(4),IF(K1055&gt;=0.8,(3),IF(K1055&gt;=0.69,(2),IF(K1055&lt;=0.69,(1))))))))</f>
        <v>5</v>
      </c>
    </row>
    <row r="1056" hidden="1" outlineLevel="2">
      <c r="A1056" s="403" t="s">
        <v>118</v>
      </c>
      <c r="B1056" s="404">
        <f>20*5</f>
        <v>100</v>
      </c>
      <c r="C1056" s="404">
        <f t="shared" si="280"/>
        <v>96</v>
      </c>
      <c r="D1056" s="405">
        <v>22.0</v>
      </c>
      <c r="E1056" s="405">
        <v>16.0</v>
      </c>
      <c r="F1056" s="405">
        <v>18.0</v>
      </c>
      <c r="G1056" s="405">
        <v>18.0</v>
      </c>
      <c r="H1056" s="405">
        <v>22.0</v>
      </c>
      <c r="I1056" s="405" t="s">
        <v>92</v>
      </c>
      <c r="J1056" s="211" t="s">
        <v>92</v>
      </c>
      <c r="K1056" s="214">
        <f t="shared" si="281"/>
        <v>0.96</v>
      </c>
      <c r="L1056" s="219">
        <f t="shared" si="282"/>
        <v>4</v>
      </c>
    </row>
    <row r="1057" hidden="1" outlineLevel="2">
      <c r="A1057" s="400" t="s">
        <v>19</v>
      </c>
      <c r="B1057" s="401">
        <f>25+25+25+25+15</f>
        <v>115</v>
      </c>
      <c r="C1057" s="401">
        <f t="shared" si="280"/>
        <v>136</v>
      </c>
      <c r="D1057" s="402">
        <v>29.0</v>
      </c>
      <c r="E1057" s="402" t="s">
        <v>92</v>
      </c>
      <c r="F1057" s="402">
        <v>21.0</v>
      </c>
      <c r="G1057" s="402">
        <v>26.0</v>
      </c>
      <c r="H1057" s="402">
        <v>31.0</v>
      </c>
      <c r="I1057" s="402">
        <v>29.0</v>
      </c>
      <c r="J1057" s="211" t="s">
        <v>92</v>
      </c>
      <c r="K1057" s="214">
        <f t="shared" si="281"/>
        <v>1.182608696</v>
      </c>
      <c r="L1057" s="219">
        <f t="shared" si="282"/>
        <v>5</v>
      </c>
    </row>
    <row r="1058" hidden="1" outlineLevel="2">
      <c r="A1058" s="403" t="s">
        <v>120</v>
      </c>
      <c r="B1058" s="404">
        <f>16*5</f>
        <v>80</v>
      </c>
      <c r="C1058" s="404">
        <f t="shared" si="280"/>
        <v>79</v>
      </c>
      <c r="D1058" s="405">
        <v>17.0</v>
      </c>
      <c r="E1058" s="405">
        <v>15.0</v>
      </c>
      <c r="F1058" s="405">
        <v>17.0</v>
      </c>
      <c r="G1058" s="405" t="s">
        <v>92</v>
      </c>
      <c r="H1058" s="405" t="s">
        <v>92</v>
      </c>
      <c r="I1058" s="405">
        <v>15.0</v>
      </c>
      <c r="J1058" s="211">
        <v>15.0</v>
      </c>
      <c r="K1058" s="214">
        <f t="shared" si="281"/>
        <v>0.9875</v>
      </c>
      <c r="L1058" s="219">
        <f t="shared" si="282"/>
        <v>4</v>
      </c>
    </row>
    <row r="1059" hidden="1" outlineLevel="2">
      <c r="A1059" s="301" t="s">
        <v>22</v>
      </c>
      <c r="B1059" s="406">
        <f>15*5</f>
        <v>75</v>
      </c>
      <c r="C1059" s="401">
        <f t="shared" si="280"/>
        <v>88</v>
      </c>
      <c r="D1059" s="402">
        <v>21.0</v>
      </c>
      <c r="E1059" s="402">
        <v>18.0</v>
      </c>
      <c r="F1059" s="402">
        <v>18.0</v>
      </c>
      <c r="G1059" s="402" t="s">
        <v>92</v>
      </c>
      <c r="H1059" s="402" t="s">
        <v>92</v>
      </c>
      <c r="I1059" s="402">
        <v>9.0</v>
      </c>
      <c r="J1059" s="211">
        <v>22.0</v>
      </c>
      <c r="K1059" s="214">
        <f t="shared" si="281"/>
        <v>1.173333333</v>
      </c>
      <c r="L1059" s="219">
        <f t="shared" si="282"/>
        <v>5</v>
      </c>
    </row>
    <row r="1060" hidden="1" outlineLevel="2">
      <c r="A1060" s="284" t="s">
        <v>129</v>
      </c>
      <c r="B1060" s="404">
        <f>30*4+15</f>
        <v>135</v>
      </c>
      <c r="C1060" s="404">
        <f t="shared" si="280"/>
        <v>143</v>
      </c>
      <c r="D1060" s="405">
        <v>28.0</v>
      </c>
      <c r="E1060" s="405">
        <v>25.0</v>
      </c>
      <c r="F1060" s="405">
        <v>35.0</v>
      </c>
      <c r="G1060" s="405">
        <v>33.0</v>
      </c>
      <c r="H1060" s="405" t="s">
        <v>92</v>
      </c>
      <c r="I1060" s="405" t="s">
        <v>92</v>
      </c>
      <c r="J1060" s="211">
        <v>22.0</v>
      </c>
      <c r="K1060" s="214">
        <f t="shared" si="281"/>
        <v>1.059259259</v>
      </c>
      <c r="L1060" s="219">
        <f t="shared" si="282"/>
        <v>5</v>
      </c>
    </row>
    <row r="1061" hidden="1" outlineLevel="2">
      <c r="A1061" s="283" t="s">
        <v>13</v>
      </c>
      <c r="B1061" s="406">
        <f>15+20+20+10+15</f>
        <v>80</v>
      </c>
      <c r="C1061" s="401">
        <f t="shared" si="280"/>
        <v>87</v>
      </c>
      <c r="D1061" s="402">
        <v>18.0</v>
      </c>
      <c r="E1061" s="402">
        <v>20.0</v>
      </c>
      <c r="F1061" s="402">
        <v>17.0</v>
      </c>
      <c r="G1061" s="402">
        <v>12.0</v>
      </c>
      <c r="H1061" s="402">
        <v>20.0</v>
      </c>
      <c r="I1061" s="402" t="s">
        <v>92</v>
      </c>
      <c r="J1061" s="211" t="s">
        <v>92</v>
      </c>
      <c r="K1061" s="214">
        <f t="shared" si="281"/>
        <v>1.0875</v>
      </c>
      <c r="L1061" s="219">
        <f t="shared" si="282"/>
        <v>5</v>
      </c>
    </row>
    <row r="1062" hidden="1" outlineLevel="2">
      <c r="A1062" s="284" t="s">
        <v>428</v>
      </c>
      <c r="B1062" s="407">
        <f>15*5</f>
        <v>75</v>
      </c>
      <c r="C1062" s="404">
        <f t="shared" si="280"/>
        <v>82</v>
      </c>
      <c r="D1062" s="405">
        <v>19.0</v>
      </c>
      <c r="E1062" s="405" t="s">
        <v>92</v>
      </c>
      <c r="F1062" s="405" t="s">
        <v>92</v>
      </c>
      <c r="G1062" s="405">
        <v>16.0</v>
      </c>
      <c r="H1062" s="405">
        <v>15.0</v>
      </c>
      <c r="I1062" s="405">
        <v>21.0</v>
      </c>
      <c r="J1062" s="211">
        <v>11.0</v>
      </c>
      <c r="K1062" s="214">
        <f t="shared" si="281"/>
        <v>1.093333333</v>
      </c>
      <c r="L1062" s="219">
        <f t="shared" si="282"/>
        <v>5</v>
      </c>
    </row>
    <row r="1063" hidden="1" outlineLevel="2"/>
    <row r="1064" hidden="1" outlineLevel="2">
      <c r="A1064" s="195" t="s">
        <v>135</v>
      </c>
      <c r="I1064" s="195"/>
    </row>
    <row r="1065" hidden="1" outlineLevel="2">
      <c r="A1065" s="196" t="s">
        <v>187</v>
      </c>
      <c r="B1065" s="225" t="s">
        <v>218</v>
      </c>
      <c r="C1065" s="225" t="s">
        <v>219</v>
      </c>
      <c r="D1065" s="225" t="s">
        <v>139</v>
      </c>
      <c r="E1065" s="225" t="s">
        <v>140</v>
      </c>
      <c r="F1065" s="225" t="s">
        <v>141</v>
      </c>
      <c r="G1065" s="226" t="s">
        <v>143</v>
      </c>
      <c r="H1065" s="226" t="s">
        <v>221</v>
      </c>
    </row>
    <row r="1066" hidden="1" outlineLevel="2">
      <c r="A1066" s="399"/>
      <c r="B1066" s="292"/>
      <c r="C1066" s="292"/>
      <c r="D1066" s="292"/>
      <c r="E1066" s="292"/>
      <c r="F1066" s="292"/>
      <c r="G1066" s="292"/>
      <c r="H1066" s="292"/>
    </row>
    <row r="1067" hidden="1" outlineLevel="2">
      <c r="A1067" s="400" t="s">
        <v>194</v>
      </c>
      <c r="B1067" s="402">
        <v>91.0</v>
      </c>
      <c r="C1067" s="402">
        <v>91.0</v>
      </c>
      <c r="D1067" s="136">
        <f t="shared" ref="D1067:D1074" si="283">B1067-C1067</f>
        <v>0</v>
      </c>
      <c r="E1067" s="408">
        <f t="shared" ref="E1067:E1074" si="284">IFERROR(C1067/B1067,"")</f>
        <v>1</v>
      </c>
      <c r="F1067" s="409">
        <v>0.0022569444444444442</v>
      </c>
      <c r="G1067" s="240">
        <f t="shared" ref="G1067:G1074" si="285">IFERROR((IF(E1067="",(0),IF(E1067&gt;=0.98,(5),IF(E1067&gt;=0.95,(4.5),IF(E1067&gt;=0.9,(4),IF(E1067&gt;=0.8,(3),IF(E1067&lt;=0.69,(1)))))))),"")</f>
        <v>5</v>
      </c>
      <c r="H1067" s="240">
        <f>ROUND(
IF(F1067="",
0,
MAX(1, 5 - MAX(0, (F1067 - TIME(0,4,0)) / TIME(0,1,0) * 0.5))
),
2
)
</f>
        <v>5</v>
      </c>
    </row>
    <row r="1068" hidden="1" outlineLevel="2">
      <c r="A1068" s="403" t="s">
        <v>118</v>
      </c>
      <c r="B1068" s="405">
        <v>100.0</v>
      </c>
      <c r="C1068" s="405">
        <v>96.0</v>
      </c>
      <c r="D1068" s="410">
        <f t="shared" si="283"/>
        <v>4</v>
      </c>
      <c r="E1068" s="411">
        <f t="shared" si="284"/>
        <v>0.96</v>
      </c>
      <c r="F1068" s="412">
        <v>0.004108796296296296</v>
      </c>
      <c r="G1068" s="240">
        <f t="shared" si="285"/>
        <v>4.5</v>
      </c>
      <c r="H1068" s="240">
        <f>ROUND(
IF(F1068="",
0,
MAX(1, 5 - MAX(0, (F1068 - TIME(0,5,0)) / TIME(0,1,0) * 0.5))
),
2
)
</f>
        <v>4.54</v>
      </c>
    </row>
    <row r="1069" hidden="1" outlineLevel="2">
      <c r="A1069" s="400" t="s">
        <v>19</v>
      </c>
      <c r="B1069" s="402">
        <v>142.0</v>
      </c>
      <c r="C1069" s="402">
        <v>136.0</v>
      </c>
      <c r="D1069" s="136">
        <f t="shared" si="283"/>
        <v>6</v>
      </c>
      <c r="E1069" s="408">
        <f t="shared" si="284"/>
        <v>0.9577464789</v>
      </c>
      <c r="F1069" s="409">
        <v>0.0038078703703703703</v>
      </c>
      <c r="G1069" s="240">
        <f t="shared" si="285"/>
        <v>4.5</v>
      </c>
      <c r="H1069" s="240">
        <f>ROUND(
IF(F1069="",
0,
MAX(1, 5 - MAX(0, (F1069 - TIME(0,4,0)) / TIME(0,1,0) * 0.5))
),
2
)
</f>
        <v>4.26</v>
      </c>
    </row>
    <row r="1070" hidden="1" outlineLevel="2">
      <c r="A1070" s="433" t="s">
        <v>120</v>
      </c>
      <c r="B1070" s="405">
        <v>80.0</v>
      </c>
      <c r="C1070" s="405">
        <v>79.0</v>
      </c>
      <c r="D1070" s="410">
        <f t="shared" si="283"/>
        <v>1</v>
      </c>
      <c r="E1070" s="411">
        <f t="shared" si="284"/>
        <v>0.9875</v>
      </c>
      <c r="F1070" s="412">
        <v>0.003310185185185185</v>
      </c>
      <c r="G1070" s="240">
        <f t="shared" si="285"/>
        <v>5</v>
      </c>
      <c r="H1070" s="240">
        <f>ROUND(
IF(F1070="",
0,
MAX(1, 5 - MAX(0, (F1070 - TIME(0,5,0)) / TIME(0,1,0) * 0.5))
),
2
)
</f>
        <v>5</v>
      </c>
    </row>
    <row r="1071" hidden="1" outlineLevel="2">
      <c r="A1071" s="434" t="s">
        <v>22</v>
      </c>
      <c r="B1071" s="402">
        <v>91.0</v>
      </c>
      <c r="C1071" s="402">
        <v>88.0</v>
      </c>
      <c r="D1071" s="136">
        <f t="shared" si="283"/>
        <v>3</v>
      </c>
      <c r="E1071" s="408">
        <f t="shared" si="284"/>
        <v>0.967032967</v>
      </c>
      <c r="F1071" s="409">
        <v>0.0020486111111111113</v>
      </c>
      <c r="G1071" s="240">
        <f t="shared" si="285"/>
        <v>4.5</v>
      </c>
      <c r="H1071" s="240">
        <f>ROUND(
IF(F1071="",
0,
MAX(1, 5 - MAX(0, (F1071 - TIME(0,4,0)) / TIME(0,1,0) * 0.5))
),
2
)
</f>
        <v>5</v>
      </c>
    </row>
    <row r="1072" hidden="1" outlineLevel="2">
      <c r="A1072" s="284" t="s">
        <v>129</v>
      </c>
      <c r="B1072" s="405">
        <v>146.0</v>
      </c>
      <c r="C1072" s="405">
        <v>143.0</v>
      </c>
      <c r="D1072" s="410">
        <f t="shared" si="283"/>
        <v>3</v>
      </c>
      <c r="E1072" s="411">
        <f t="shared" si="284"/>
        <v>0.9794520548</v>
      </c>
      <c r="F1072" s="412">
        <v>0.004571759259259259</v>
      </c>
      <c r="G1072" s="240">
        <f t="shared" si="285"/>
        <v>4.5</v>
      </c>
      <c r="H1072" s="240">
        <f t="shared" ref="H1072:H1074" si="286">ROUND(
IF(F1072="",
0,
MAX(1, 5 - MAX(0, (F1072 - TIME(0,5,0)) / TIME(0,1,0) * 0.5))
),
2
)
</f>
        <v>4.21</v>
      </c>
    </row>
    <row r="1073" hidden="1" outlineLevel="2">
      <c r="A1073" s="435" t="s">
        <v>13</v>
      </c>
      <c r="B1073" s="402">
        <v>92.0</v>
      </c>
      <c r="C1073" s="402">
        <v>87.0</v>
      </c>
      <c r="D1073" s="136">
        <f t="shared" si="283"/>
        <v>5</v>
      </c>
      <c r="E1073" s="408">
        <f t="shared" si="284"/>
        <v>0.9456521739</v>
      </c>
      <c r="F1073" s="409">
        <v>0.0038773148148148148</v>
      </c>
      <c r="G1073" s="240">
        <f t="shared" si="285"/>
        <v>4</v>
      </c>
      <c r="H1073" s="240">
        <f t="shared" si="286"/>
        <v>4.71</v>
      </c>
    </row>
    <row r="1074" hidden="1" outlineLevel="2">
      <c r="A1074" s="284" t="s">
        <v>428</v>
      </c>
      <c r="B1074" s="405">
        <v>82.0</v>
      </c>
      <c r="C1074" s="405">
        <v>82.0</v>
      </c>
      <c r="D1074" s="410">
        <f t="shared" si="283"/>
        <v>0</v>
      </c>
      <c r="E1074" s="411">
        <f t="shared" si="284"/>
        <v>1</v>
      </c>
      <c r="F1074" s="412">
        <v>0.004525462962962963</v>
      </c>
      <c r="G1074" s="240">
        <f t="shared" si="285"/>
        <v>5</v>
      </c>
      <c r="H1074" s="240">
        <f t="shared" si="286"/>
        <v>4.24</v>
      </c>
    </row>
    <row r="1075" hidden="1" outlineLevel="2"/>
    <row r="1076" hidden="1" outlineLevel="2">
      <c r="A1076" s="195" t="s">
        <v>239</v>
      </c>
    </row>
    <row r="1077" hidden="1" outlineLevel="2">
      <c r="A1077" s="260" t="s">
        <v>240</v>
      </c>
      <c r="B1077" s="262" t="s">
        <v>241</v>
      </c>
      <c r="C1077" s="264" t="s">
        <v>242</v>
      </c>
      <c r="D1077" s="264" t="s">
        <v>243</v>
      </c>
      <c r="E1077" s="265" t="s">
        <v>244</v>
      </c>
      <c r="F1077" s="267" t="s">
        <v>247</v>
      </c>
      <c r="G1077" s="268"/>
    </row>
    <row r="1078" hidden="1" outlineLevel="2">
      <c r="A1078" s="278" t="s">
        <v>25</v>
      </c>
      <c r="B1078" s="279">
        <f t="shared" ref="B1078:B1085" si="287">(C1078*0.3)+(D1078*0.1)</f>
        <v>0.4</v>
      </c>
      <c r="C1078" s="436">
        <v>1.0</v>
      </c>
      <c r="D1078" s="272">
        <f>Dan!D17</f>
        <v>1</v>
      </c>
      <c r="E1078" s="281">
        <f t="shared" ref="E1078:E1085" si="288">(L1055+G1067+H1067)/15*0.3</f>
        <v>0.3</v>
      </c>
      <c r="F1078" s="274">
        <f t="shared" ref="F1078:F1085" si="289">(E1078/30%)*10</f>
        <v>10</v>
      </c>
      <c r="G1078" s="268"/>
      <c r="H1078" s="268"/>
      <c r="I1078" s="268"/>
      <c r="J1078" s="268"/>
    </row>
    <row r="1079" hidden="1" outlineLevel="2">
      <c r="A1079" s="275" t="s">
        <v>4</v>
      </c>
      <c r="B1079" s="276" t="str">
        <f t="shared" si="287"/>
        <v>#REF!</v>
      </c>
      <c r="C1079" s="436">
        <v>1.0</v>
      </c>
      <c r="D1079" s="272" t="str">
        <f t="shared" ref="D1079:D1083" si="290">#REF!</f>
        <v>#REF!</v>
      </c>
      <c r="E1079" s="277">
        <f t="shared" si="288"/>
        <v>0.2608</v>
      </c>
      <c r="F1079" s="274">
        <f t="shared" si="289"/>
        <v>8.693333333</v>
      </c>
      <c r="G1079" s="268"/>
      <c r="H1079" s="268"/>
      <c r="I1079" s="268"/>
      <c r="J1079" s="268"/>
    </row>
    <row r="1080" hidden="1" outlineLevel="2">
      <c r="A1080" s="278" t="s">
        <v>19</v>
      </c>
      <c r="B1080" s="279" t="str">
        <f t="shared" si="287"/>
        <v>#REF!</v>
      </c>
      <c r="C1080" s="436">
        <v>1.0</v>
      </c>
      <c r="D1080" s="272" t="str">
        <f t="shared" si="290"/>
        <v>#REF!</v>
      </c>
      <c r="E1080" s="281">
        <f t="shared" si="288"/>
        <v>0.2752</v>
      </c>
      <c r="F1080" s="274">
        <f t="shared" si="289"/>
        <v>9.173333333</v>
      </c>
      <c r="G1080" s="268"/>
      <c r="H1080" s="268"/>
      <c r="I1080" s="268"/>
      <c r="J1080" s="268"/>
    </row>
    <row r="1081" hidden="1" outlineLevel="2">
      <c r="A1081" s="275" t="s">
        <v>30</v>
      </c>
      <c r="B1081" s="276" t="str">
        <f t="shared" si="287"/>
        <v>#REF!</v>
      </c>
      <c r="C1081" s="436">
        <v>1.0</v>
      </c>
      <c r="D1081" s="272" t="str">
        <f t="shared" si="290"/>
        <v>#REF!</v>
      </c>
      <c r="E1081" s="277">
        <f t="shared" si="288"/>
        <v>0.28</v>
      </c>
      <c r="F1081" s="274">
        <f t="shared" si="289"/>
        <v>9.333333333</v>
      </c>
      <c r="G1081" s="268"/>
      <c r="H1081" s="268"/>
      <c r="I1081" s="268"/>
      <c r="J1081" s="268"/>
    </row>
    <row r="1082" hidden="1" outlineLevel="2">
      <c r="A1082" s="282" t="s">
        <v>31</v>
      </c>
      <c r="B1082" s="279" t="str">
        <f t="shared" si="287"/>
        <v>#REF!</v>
      </c>
      <c r="C1082" s="436">
        <v>1.0</v>
      </c>
      <c r="D1082" s="272" t="str">
        <f t="shared" si="290"/>
        <v>#REF!</v>
      </c>
      <c r="E1082" s="281">
        <f t="shared" si="288"/>
        <v>0.29</v>
      </c>
      <c r="F1082" s="274">
        <f t="shared" si="289"/>
        <v>9.666666667</v>
      </c>
      <c r="G1082" s="268"/>
      <c r="H1082" s="268"/>
      <c r="I1082" s="268"/>
      <c r="J1082" s="268"/>
    </row>
    <row r="1083" hidden="1" outlineLevel="2">
      <c r="A1083" s="283" t="s">
        <v>129</v>
      </c>
      <c r="B1083" s="276" t="str">
        <f t="shared" si="287"/>
        <v>#REF!</v>
      </c>
      <c r="C1083" s="436">
        <v>1.0</v>
      </c>
      <c r="D1083" s="272" t="str">
        <f t="shared" si="290"/>
        <v>#REF!</v>
      </c>
      <c r="E1083" s="277">
        <f t="shared" si="288"/>
        <v>0.2742</v>
      </c>
      <c r="F1083" s="274">
        <f t="shared" si="289"/>
        <v>9.14</v>
      </c>
      <c r="G1083" s="268"/>
      <c r="H1083" s="268"/>
      <c r="I1083" s="268"/>
      <c r="J1083" s="268"/>
    </row>
    <row r="1084" hidden="1" outlineLevel="2">
      <c r="A1084" s="284" t="s">
        <v>13</v>
      </c>
      <c r="B1084" s="279">
        <f t="shared" si="287"/>
        <v>0.4</v>
      </c>
      <c r="C1084" s="436">
        <v>1.0</v>
      </c>
      <c r="D1084" s="272">
        <f>Lyra!D431</f>
        <v>1</v>
      </c>
      <c r="E1084" s="281">
        <f t="shared" si="288"/>
        <v>0.2742</v>
      </c>
      <c r="F1084" s="274">
        <f t="shared" si="289"/>
        <v>9.14</v>
      </c>
      <c r="G1084" s="268"/>
      <c r="H1084" s="268"/>
      <c r="I1084" s="268"/>
      <c r="J1084" s="268"/>
    </row>
    <row r="1085" hidden="1" outlineLevel="2">
      <c r="A1085" s="283" t="s">
        <v>428</v>
      </c>
      <c r="B1085" s="276">
        <f t="shared" si="287"/>
        <v>0.4</v>
      </c>
      <c r="C1085" s="436">
        <v>1.0</v>
      </c>
      <c r="D1085" s="272">
        <f>Mikka!D376</f>
        <v>1</v>
      </c>
      <c r="E1085" s="277">
        <f t="shared" si="288"/>
        <v>0.2848</v>
      </c>
      <c r="F1085" s="274">
        <f t="shared" si="289"/>
        <v>9.493333333</v>
      </c>
      <c r="G1085" s="268"/>
      <c r="H1085" s="268"/>
      <c r="I1085" s="268"/>
      <c r="J1085" s="268"/>
    </row>
    <row r="1086" hidden="1" outlineLevel="2">
      <c r="A1086" s="286"/>
      <c r="B1086" s="286"/>
      <c r="C1086" s="287"/>
      <c r="D1086" s="288"/>
      <c r="E1086" s="289"/>
      <c r="F1086" s="268"/>
      <c r="G1086" s="268"/>
      <c r="H1086" s="268"/>
      <c r="I1086" s="268"/>
      <c r="J1086" s="268"/>
    </row>
    <row r="1087" hidden="1" outlineLevel="2">
      <c r="A1087" s="195" t="s">
        <v>269</v>
      </c>
      <c r="B1087" s="286"/>
      <c r="C1087" s="287"/>
      <c r="D1087" s="288"/>
      <c r="E1087" s="289"/>
      <c r="F1087" s="268"/>
      <c r="G1087" s="268"/>
      <c r="H1087" s="268"/>
      <c r="I1087" s="268"/>
      <c r="J1087" s="268"/>
    </row>
    <row r="1088" hidden="1" outlineLevel="2">
      <c r="A1088" s="290" t="s">
        <v>240</v>
      </c>
      <c r="B1088" s="291" t="s">
        <v>270</v>
      </c>
      <c r="C1088" s="198">
        <v>46153.0</v>
      </c>
      <c r="D1088" s="198">
        <v>46154.0</v>
      </c>
      <c r="E1088" s="198">
        <v>46155.0</v>
      </c>
      <c r="F1088" s="198">
        <v>46156.0</v>
      </c>
      <c r="G1088" s="198">
        <v>46157.0</v>
      </c>
      <c r="H1088" s="198">
        <v>46158.0</v>
      </c>
      <c r="I1088" s="198">
        <v>46159.0</v>
      </c>
      <c r="J1088" s="268"/>
    </row>
    <row r="1089" hidden="1" outlineLevel="2">
      <c r="A1089" s="325"/>
      <c r="B1089" s="325"/>
      <c r="C1089" s="205" t="s">
        <v>192</v>
      </c>
      <c r="D1089" s="205" t="s">
        <v>272</v>
      </c>
      <c r="E1089" s="205" t="s">
        <v>273</v>
      </c>
      <c r="F1089" s="205" t="s">
        <v>274</v>
      </c>
      <c r="G1089" s="205" t="s">
        <v>275</v>
      </c>
      <c r="H1089" s="205" t="s">
        <v>276</v>
      </c>
      <c r="I1089" s="205" t="s">
        <v>277</v>
      </c>
    </row>
    <row r="1090" hidden="1" outlineLevel="2">
      <c r="A1090" s="278" t="s">
        <v>25</v>
      </c>
      <c r="B1090" s="293">
        <f t="shared" ref="B1090:B1097" si="291">Sum(C1090:I1090)</f>
        <v>0</v>
      </c>
      <c r="C1090" s="296"/>
      <c r="D1090" s="297"/>
      <c r="E1090" s="297"/>
      <c r="F1090" s="297"/>
      <c r="G1090" s="296"/>
      <c r="H1090" s="296"/>
      <c r="I1090" s="296"/>
    </row>
    <row r="1091" hidden="1" outlineLevel="2">
      <c r="A1091" s="275" t="s">
        <v>4</v>
      </c>
      <c r="B1091" s="293">
        <f t="shared" si="291"/>
        <v>0</v>
      </c>
      <c r="C1091" s="295"/>
      <c r="D1091" s="295"/>
      <c r="E1091" s="295"/>
      <c r="F1091" s="295"/>
      <c r="G1091" s="295"/>
      <c r="H1091" s="294"/>
      <c r="I1091" s="295"/>
    </row>
    <row r="1092" hidden="1" outlineLevel="2">
      <c r="A1092" s="278" t="s">
        <v>19</v>
      </c>
      <c r="B1092" s="293">
        <f t="shared" si="291"/>
        <v>0</v>
      </c>
      <c r="C1092" s="296"/>
      <c r="D1092" s="297"/>
      <c r="E1092" s="296"/>
      <c r="F1092" s="296"/>
      <c r="G1092" s="296"/>
      <c r="H1092" s="296"/>
      <c r="I1092" s="297"/>
    </row>
    <row r="1093" hidden="1" outlineLevel="2">
      <c r="A1093" s="275" t="s">
        <v>30</v>
      </c>
      <c r="B1093" s="293">
        <f t="shared" si="291"/>
        <v>0</v>
      </c>
      <c r="C1093" s="295"/>
      <c r="D1093" s="295"/>
      <c r="E1093" s="295"/>
      <c r="F1093" s="295"/>
      <c r="G1093" s="295"/>
      <c r="H1093" s="295"/>
      <c r="I1093" s="294"/>
    </row>
    <row r="1094" hidden="1" outlineLevel="2">
      <c r="A1094" s="282" t="s">
        <v>31</v>
      </c>
      <c r="B1094" s="293">
        <f t="shared" si="291"/>
        <v>0</v>
      </c>
      <c r="C1094" s="296"/>
      <c r="D1094" s="296"/>
      <c r="E1094" s="296"/>
      <c r="F1094" s="296"/>
      <c r="G1094" s="296"/>
      <c r="H1094" s="296"/>
      <c r="I1094" s="297"/>
    </row>
    <row r="1095" ht="16.5" hidden="1" customHeight="1" outlineLevel="2">
      <c r="A1095" s="283" t="s">
        <v>129</v>
      </c>
      <c r="B1095" s="293">
        <f t="shared" si="291"/>
        <v>0</v>
      </c>
      <c r="C1095" s="295"/>
      <c r="D1095" s="295"/>
      <c r="E1095" s="295"/>
      <c r="F1095" s="295"/>
      <c r="G1095" s="295"/>
      <c r="H1095" s="295"/>
      <c r="I1095" s="295"/>
    </row>
    <row r="1096" hidden="1" outlineLevel="2">
      <c r="A1096" s="284" t="s">
        <v>13</v>
      </c>
      <c r="B1096" s="293">
        <f t="shared" si="291"/>
        <v>0</v>
      </c>
      <c r="C1096" s="297"/>
      <c r="D1096" s="297"/>
      <c r="E1096" s="296"/>
      <c r="F1096" s="296"/>
      <c r="G1096" s="296"/>
      <c r="H1096" s="296"/>
      <c r="I1096" s="297"/>
    </row>
    <row r="1097" hidden="1" outlineLevel="2">
      <c r="A1097" s="283" t="s">
        <v>64</v>
      </c>
      <c r="B1097" s="293">
        <f t="shared" si="291"/>
        <v>0</v>
      </c>
      <c r="C1097" s="294"/>
      <c r="D1097" s="294"/>
      <c r="E1097" s="295"/>
      <c r="F1097" s="294"/>
      <c r="G1097" s="295"/>
      <c r="H1097" s="295"/>
      <c r="I1097" s="294"/>
    </row>
    <row r="1098" hidden="1" outlineLevel="1" collapsed="1">
      <c r="A1098" s="192" t="s">
        <v>1329</v>
      </c>
    </row>
    <row r="1099" hidden="1" outlineLevel="2">
      <c r="A1099" s="195" t="s">
        <v>186</v>
      </c>
    </row>
    <row r="1100" hidden="1" outlineLevel="2">
      <c r="A1100" s="196" t="s">
        <v>187</v>
      </c>
      <c r="B1100" s="197" t="s">
        <v>77</v>
      </c>
      <c r="C1100" s="197" t="s">
        <v>189</v>
      </c>
      <c r="D1100" s="198">
        <v>46209.0</v>
      </c>
      <c r="E1100" s="198">
        <v>46210.0</v>
      </c>
      <c r="F1100" s="198">
        <v>46211.0</v>
      </c>
      <c r="G1100" s="198">
        <v>46212.0</v>
      </c>
      <c r="H1100" s="198">
        <v>46213.0</v>
      </c>
      <c r="I1100" s="198">
        <v>46214.0</v>
      </c>
      <c r="J1100" s="198">
        <v>46215.0</v>
      </c>
      <c r="K1100" s="199" t="s">
        <v>190</v>
      </c>
      <c r="L1100" s="201" t="s">
        <v>191</v>
      </c>
    </row>
    <row r="1101" hidden="1" outlineLevel="2">
      <c r="A1101" s="415"/>
      <c r="B1101" s="325"/>
      <c r="C1101" s="325"/>
      <c r="D1101" s="205" t="s">
        <v>192</v>
      </c>
      <c r="E1101" s="205" t="str">
        <f t="shared" ref="E1101:J1101" si="292">text(E1100,"ddd")</f>
        <v>Tue</v>
      </c>
      <c r="F1101" s="205" t="str">
        <f t="shared" si="292"/>
        <v>Wed</v>
      </c>
      <c r="G1101" s="205" t="str">
        <f t="shared" si="292"/>
        <v>Thu</v>
      </c>
      <c r="H1101" s="205" t="str">
        <f t="shared" si="292"/>
        <v>Fri</v>
      </c>
      <c r="I1101" s="205" t="str">
        <f t="shared" si="292"/>
        <v>Sat</v>
      </c>
      <c r="J1101" s="205" t="str">
        <f t="shared" si="292"/>
        <v>Sun</v>
      </c>
      <c r="K1101" s="206"/>
      <c r="L1101" s="203"/>
    </row>
    <row r="1102" hidden="1" outlineLevel="2">
      <c r="A1102" s="403" t="s">
        <v>194</v>
      </c>
      <c r="B1102" s="404">
        <f>20*5</f>
        <v>100</v>
      </c>
      <c r="C1102" s="404">
        <f t="shared" ref="C1102:C1109" si="293">SUM(D1102:J1102)</f>
        <v>106</v>
      </c>
      <c r="D1102" s="405">
        <v>22.0</v>
      </c>
      <c r="E1102" s="405">
        <v>4.0</v>
      </c>
      <c r="F1102" s="405">
        <v>22.0</v>
      </c>
      <c r="G1102" s="405">
        <v>28.0</v>
      </c>
      <c r="H1102" s="405">
        <v>30.0</v>
      </c>
      <c r="I1102" s="405" t="s">
        <v>92</v>
      </c>
      <c r="J1102" s="211" t="s">
        <v>92</v>
      </c>
      <c r="K1102" s="214">
        <f t="shared" ref="K1102:K1109" si="294">iferror(C1102/B1102,"-")</f>
        <v>1.06</v>
      </c>
      <c r="L1102" s="219">
        <f t="shared" ref="L1102:L1109" si="295">(IF(K1102="",(0),IF(K1102&gt;=1,(5),IF(K1102&gt;=0.9,(4),IF(K1102&gt;=0.8,(3),IF(K1102&gt;=0.69,(2),IF(K1102&lt;=0.69,(1))))))))</f>
        <v>5</v>
      </c>
    </row>
    <row r="1103" hidden="1" outlineLevel="2">
      <c r="A1103" s="400" t="s">
        <v>118</v>
      </c>
      <c r="B1103" s="401">
        <f>25*5</f>
        <v>125</v>
      </c>
      <c r="C1103" s="401">
        <f t="shared" si="293"/>
        <v>115</v>
      </c>
      <c r="D1103" s="402">
        <v>27.0</v>
      </c>
      <c r="E1103" s="402">
        <v>27.0</v>
      </c>
      <c r="F1103" s="402">
        <v>10.0</v>
      </c>
      <c r="G1103" s="402">
        <v>23.0</v>
      </c>
      <c r="H1103" s="402">
        <v>28.0</v>
      </c>
      <c r="I1103" s="402" t="s">
        <v>92</v>
      </c>
      <c r="J1103" s="211" t="s">
        <v>92</v>
      </c>
      <c r="K1103" s="214">
        <f t="shared" si="294"/>
        <v>0.92</v>
      </c>
      <c r="L1103" s="219">
        <f t="shared" si="295"/>
        <v>4</v>
      </c>
    </row>
    <row r="1104" hidden="1" outlineLevel="2">
      <c r="A1104" s="403" t="s">
        <v>19</v>
      </c>
      <c r="B1104" s="404">
        <f>30*5</f>
        <v>150</v>
      </c>
      <c r="C1104" s="404">
        <f t="shared" si="293"/>
        <v>155</v>
      </c>
      <c r="D1104" s="405">
        <v>28.0</v>
      </c>
      <c r="E1104" s="405">
        <v>30.0</v>
      </c>
      <c r="F1104" s="405" t="s">
        <v>92</v>
      </c>
      <c r="G1104" s="405">
        <v>43.0</v>
      </c>
      <c r="H1104" s="405">
        <v>28.0</v>
      </c>
      <c r="I1104" s="405">
        <v>19.0</v>
      </c>
      <c r="J1104" s="211">
        <v>7.0</v>
      </c>
      <c r="K1104" s="214">
        <f t="shared" si="294"/>
        <v>1.033333333</v>
      </c>
      <c r="L1104" s="219">
        <f t="shared" si="295"/>
        <v>5</v>
      </c>
    </row>
    <row r="1105" hidden="1" outlineLevel="2">
      <c r="A1105" s="400" t="s">
        <v>120</v>
      </c>
      <c r="B1105" s="401">
        <f>20*5</f>
        <v>100</v>
      </c>
      <c r="C1105" s="401">
        <f t="shared" si="293"/>
        <v>90</v>
      </c>
      <c r="D1105" s="402">
        <v>24.0</v>
      </c>
      <c r="E1105" s="402">
        <v>16.0</v>
      </c>
      <c r="F1105" s="402">
        <v>18.0</v>
      </c>
      <c r="G1105" s="402">
        <v>11.0</v>
      </c>
      <c r="H1105" s="402">
        <v>21.0</v>
      </c>
      <c r="I1105" s="402" t="s">
        <v>92</v>
      </c>
      <c r="J1105" s="211" t="s">
        <v>92</v>
      </c>
      <c r="K1105" s="214">
        <f t="shared" si="294"/>
        <v>0.9</v>
      </c>
      <c r="L1105" s="219">
        <f t="shared" si="295"/>
        <v>4</v>
      </c>
    </row>
    <row r="1106" hidden="1" outlineLevel="2">
      <c r="A1106" s="282" t="s">
        <v>22</v>
      </c>
      <c r="B1106" s="404">
        <f>23*5</f>
        <v>115</v>
      </c>
      <c r="C1106" s="404">
        <f t="shared" si="293"/>
        <v>122</v>
      </c>
      <c r="D1106" s="405">
        <v>21.0</v>
      </c>
      <c r="E1106" s="405">
        <v>19.0</v>
      </c>
      <c r="F1106" s="405">
        <v>29.0</v>
      </c>
      <c r="G1106" s="405" t="s">
        <v>92</v>
      </c>
      <c r="H1106" s="405" t="s">
        <v>92</v>
      </c>
      <c r="I1106" s="405">
        <v>26.0</v>
      </c>
      <c r="J1106" s="211">
        <v>27.0</v>
      </c>
      <c r="K1106" s="214">
        <f t="shared" si="294"/>
        <v>1.060869565</v>
      </c>
      <c r="L1106" s="219">
        <f t="shared" si="295"/>
        <v>5</v>
      </c>
    </row>
    <row r="1107" hidden="1" outlineLevel="2">
      <c r="A1107" s="283" t="s">
        <v>129</v>
      </c>
      <c r="B1107" s="401">
        <f t="shared" ref="B1107:B1108" si="296">25*5</f>
        <v>125</v>
      </c>
      <c r="C1107" s="401">
        <f t="shared" si="293"/>
        <v>129</v>
      </c>
      <c r="D1107" s="402">
        <v>40.0</v>
      </c>
      <c r="E1107" s="402">
        <v>38.0</v>
      </c>
      <c r="F1107" s="402" t="s">
        <v>92</v>
      </c>
      <c r="G1107" s="402" t="s">
        <v>197</v>
      </c>
      <c r="H1107" s="402" t="s">
        <v>92</v>
      </c>
      <c r="I1107" s="402">
        <v>27.0</v>
      </c>
      <c r="J1107" s="211">
        <v>24.0</v>
      </c>
      <c r="K1107" s="214">
        <f t="shared" si="294"/>
        <v>1.032</v>
      </c>
      <c r="L1107" s="219">
        <f t="shared" si="295"/>
        <v>5</v>
      </c>
    </row>
    <row r="1108" hidden="1" outlineLevel="2">
      <c r="A1108" s="284" t="s">
        <v>13</v>
      </c>
      <c r="B1108" s="407">
        <f t="shared" si="296"/>
        <v>125</v>
      </c>
      <c r="C1108" s="404">
        <f t="shared" si="293"/>
        <v>57</v>
      </c>
      <c r="D1108" s="405" t="s">
        <v>92</v>
      </c>
      <c r="E1108" s="405">
        <v>5.0</v>
      </c>
      <c r="F1108" s="405">
        <v>18.0</v>
      </c>
      <c r="G1108" s="405">
        <v>24.0</v>
      </c>
      <c r="H1108" s="405" t="s">
        <v>92</v>
      </c>
      <c r="I1108" s="405" t="s">
        <v>196</v>
      </c>
      <c r="J1108" s="211">
        <v>10.0</v>
      </c>
      <c r="K1108" s="214">
        <f t="shared" si="294"/>
        <v>0.456</v>
      </c>
      <c r="L1108" s="219">
        <f t="shared" si="295"/>
        <v>1</v>
      </c>
    </row>
    <row r="1109" hidden="1" outlineLevel="2">
      <c r="A1109" s="283" t="s">
        <v>428</v>
      </c>
      <c r="B1109" s="406">
        <f>20*5</f>
        <v>100</v>
      </c>
      <c r="C1109" s="401">
        <f t="shared" si="293"/>
        <v>100</v>
      </c>
      <c r="D1109" s="402">
        <v>28.0</v>
      </c>
      <c r="E1109" s="402" t="s">
        <v>92</v>
      </c>
      <c r="F1109" s="402" t="s">
        <v>92</v>
      </c>
      <c r="G1109" s="402">
        <v>26.0</v>
      </c>
      <c r="H1109" s="402">
        <v>17.0</v>
      </c>
      <c r="I1109" s="402">
        <v>18.0</v>
      </c>
      <c r="J1109" s="211">
        <v>11.0</v>
      </c>
      <c r="K1109" s="214">
        <f t="shared" si="294"/>
        <v>1</v>
      </c>
      <c r="L1109" s="219">
        <f t="shared" si="295"/>
        <v>5</v>
      </c>
    </row>
    <row r="1110" hidden="1" outlineLevel="2"/>
    <row r="1111" hidden="1" outlineLevel="2">
      <c r="A1111" s="195" t="s">
        <v>135</v>
      </c>
      <c r="I1111" s="195"/>
    </row>
    <row r="1112" hidden="1" outlineLevel="2">
      <c r="A1112" s="196" t="s">
        <v>187</v>
      </c>
      <c r="B1112" s="225" t="s">
        <v>218</v>
      </c>
      <c r="C1112" s="225" t="s">
        <v>219</v>
      </c>
      <c r="D1112" s="225" t="s">
        <v>139</v>
      </c>
      <c r="E1112" s="225" t="s">
        <v>140</v>
      </c>
      <c r="F1112" s="225" t="s">
        <v>141</v>
      </c>
      <c r="G1112" s="226" t="s">
        <v>143</v>
      </c>
      <c r="H1112" s="226" t="s">
        <v>221</v>
      </c>
    </row>
    <row r="1113" hidden="1" outlineLevel="2">
      <c r="A1113" s="415"/>
      <c r="B1113" s="325"/>
      <c r="C1113" s="325"/>
      <c r="D1113" s="325"/>
      <c r="E1113" s="325"/>
      <c r="F1113" s="325"/>
      <c r="G1113" s="325"/>
      <c r="H1113" s="325"/>
    </row>
    <row r="1114" hidden="1" outlineLevel="2">
      <c r="A1114" s="403" t="s">
        <v>194</v>
      </c>
      <c r="B1114" s="453">
        <v>107.0</v>
      </c>
      <c r="C1114" s="453">
        <v>106.0</v>
      </c>
      <c r="D1114" s="410">
        <f t="shared" ref="D1114:D1121" si="297">B1114-C1114</f>
        <v>1</v>
      </c>
      <c r="E1114" s="411">
        <f t="shared" ref="E1114:E1121" si="298">IFERROR(C1114/B1114,"")</f>
        <v>0.9906542056</v>
      </c>
      <c r="F1114" s="454">
        <v>0.001712962962962963</v>
      </c>
      <c r="G1114" s="240">
        <f t="shared" ref="G1114:G1121" si="299">IFERROR((IF(E1114="",(0),IF(E1114&gt;=0.98,(5),IF(E1114&gt;=0.95,(4.5),IF(E1114&gt;=0.9,(4),IF(E1114&gt;=0.8,(3),IF(E1114&lt;=0.69,(1)))))))),"")</f>
        <v>5</v>
      </c>
      <c r="H1114" s="240">
        <f>ROUND(
IF(F1114="",
0,
MAX(1, 5 - MAX(0, (F1114 - TIME(0,4,0)) / TIME(0,1,0) * 0.5))
),
2
)
</f>
        <v>5</v>
      </c>
    </row>
    <row r="1115" hidden="1" outlineLevel="2">
      <c r="A1115" s="400" t="s">
        <v>118</v>
      </c>
      <c r="B1115" s="455">
        <v>120.0</v>
      </c>
      <c r="C1115" s="455">
        <v>115.0</v>
      </c>
      <c r="D1115" s="136">
        <f t="shared" si="297"/>
        <v>5</v>
      </c>
      <c r="E1115" s="408">
        <f t="shared" si="298"/>
        <v>0.9583333333</v>
      </c>
      <c r="F1115" s="456">
        <v>0.0037847222222222223</v>
      </c>
      <c r="G1115" s="240">
        <f t="shared" si="299"/>
        <v>4.5</v>
      </c>
      <c r="H1115" s="240">
        <f>ROUND(
IF(F1115="",
0,
MAX(1, 5 - MAX(0, (F1115 - TIME(0,5,0)) / TIME(0,1,0) * 0.5))
),
2
)
</f>
        <v>4.78</v>
      </c>
    </row>
    <row r="1116" hidden="1" outlineLevel="2">
      <c r="A1116" s="403" t="s">
        <v>19</v>
      </c>
      <c r="B1116" s="453">
        <v>163.0</v>
      </c>
      <c r="C1116" s="453">
        <v>155.0</v>
      </c>
      <c r="D1116" s="410">
        <f t="shared" si="297"/>
        <v>8</v>
      </c>
      <c r="E1116" s="411">
        <f t="shared" si="298"/>
        <v>0.9509202454</v>
      </c>
      <c r="F1116" s="454">
        <v>0.0036226851851851854</v>
      </c>
      <c r="G1116" s="240">
        <f t="shared" si="299"/>
        <v>4.5</v>
      </c>
      <c r="H1116" s="240">
        <f>ROUND(
IF(F1116="",
0,
MAX(1, 5 - MAX(0, (F1116 - TIME(0,4,0)) / TIME(0,1,0) * 0.5))
),
2
)
</f>
        <v>4.39</v>
      </c>
    </row>
    <row r="1117" hidden="1" outlineLevel="2">
      <c r="A1117" s="423" t="s">
        <v>120</v>
      </c>
      <c r="B1117" s="455">
        <v>96.0</v>
      </c>
      <c r="C1117" s="455">
        <v>90.0</v>
      </c>
      <c r="D1117" s="136">
        <f t="shared" si="297"/>
        <v>6</v>
      </c>
      <c r="E1117" s="408">
        <f t="shared" si="298"/>
        <v>0.9375</v>
      </c>
      <c r="F1117" s="456">
        <v>0.0036574074074074074</v>
      </c>
      <c r="G1117" s="240">
        <f t="shared" si="299"/>
        <v>4</v>
      </c>
      <c r="H1117" s="240">
        <f>ROUND(
IF(F1117="",
0,
MAX(1, 5 - MAX(0, (F1117 - TIME(0,5,0)) / TIME(0,1,0) * 0.5))
),
2
)
</f>
        <v>4.87</v>
      </c>
    </row>
    <row r="1118" hidden="1" outlineLevel="2">
      <c r="A1118" s="424" t="s">
        <v>22</v>
      </c>
      <c r="B1118" s="453">
        <v>125.0</v>
      </c>
      <c r="C1118" s="453">
        <v>122.0</v>
      </c>
      <c r="D1118" s="410">
        <f t="shared" si="297"/>
        <v>3</v>
      </c>
      <c r="E1118" s="411">
        <f t="shared" si="298"/>
        <v>0.976</v>
      </c>
      <c r="F1118" s="454">
        <v>0.0027430555555555554</v>
      </c>
      <c r="G1118" s="240">
        <f t="shared" si="299"/>
        <v>4.5</v>
      </c>
      <c r="H1118" s="240">
        <f>ROUND(
IF(F1118="",
0,
MAX(1, 5 - MAX(0, (F1118 - TIME(0,4,0)) / TIME(0,1,0) * 0.5))
),
2
)
</f>
        <v>5</v>
      </c>
    </row>
    <row r="1119" hidden="1" outlineLevel="2">
      <c r="A1119" s="283" t="s">
        <v>129</v>
      </c>
      <c r="B1119" s="455">
        <v>141.0</v>
      </c>
      <c r="C1119" s="455">
        <v>129.0</v>
      </c>
      <c r="D1119" s="136">
        <f t="shared" si="297"/>
        <v>12</v>
      </c>
      <c r="E1119" s="408">
        <f t="shared" si="298"/>
        <v>0.914893617</v>
      </c>
      <c r="F1119" s="456">
        <v>0.004178240740740741</v>
      </c>
      <c r="G1119" s="240">
        <f t="shared" si="299"/>
        <v>4</v>
      </c>
      <c r="H1119" s="240">
        <f t="shared" ref="H1119:H1121" si="300">ROUND(
IF(F1119="",
0,
MAX(1, 5 - MAX(0, (F1119 - TIME(0,5,0)) / TIME(0,1,0) * 0.5))
),
2
)
</f>
        <v>4.49</v>
      </c>
    </row>
    <row r="1120" hidden="1" outlineLevel="2">
      <c r="A1120" s="428" t="s">
        <v>13</v>
      </c>
      <c r="B1120" s="453">
        <v>58.0</v>
      </c>
      <c r="C1120" s="453">
        <v>57.0</v>
      </c>
      <c r="D1120" s="410">
        <f t="shared" si="297"/>
        <v>1</v>
      </c>
      <c r="E1120" s="411">
        <f t="shared" si="298"/>
        <v>0.9827586207</v>
      </c>
      <c r="F1120" s="454">
        <v>0.0031944444444444446</v>
      </c>
      <c r="G1120" s="240">
        <f t="shared" si="299"/>
        <v>5</v>
      </c>
      <c r="H1120" s="240">
        <f t="shared" si="300"/>
        <v>5</v>
      </c>
    </row>
    <row r="1121" hidden="1" outlineLevel="2">
      <c r="A1121" s="283" t="s">
        <v>428</v>
      </c>
      <c r="B1121" s="455">
        <v>101.0</v>
      </c>
      <c r="C1121" s="455">
        <v>100.0</v>
      </c>
      <c r="D1121" s="136">
        <f t="shared" si="297"/>
        <v>1</v>
      </c>
      <c r="E1121" s="408">
        <f t="shared" si="298"/>
        <v>0.9900990099</v>
      </c>
      <c r="F1121" s="456">
        <v>0.00443287037037037</v>
      </c>
      <c r="G1121" s="240">
        <f t="shared" si="299"/>
        <v>5</v>
      </c>
      <c r="H1121" s="240">
        <f t="shared" si="300"/>
        <v>4.31</v>
      </c>
    </row>
    <row r="1122" hidden="1" outlineLevel="2"/>
    <row r="1123" hidden="1" outlineLevel="2">
      <c r="A1123" s="195" t="s">
        <v>239</v>
      </c>
    </row>
    <row r="1124" hidden="1" outlineLevel="2">
      <c r="A1124" s="260" t="s">
        <v>240</v>
      </c>
      <c r="B1124" s="262" t="s">
        <v>241</v>
      </c>
      <c r="C1124" s="264" t="s">
        <v>242</v>
      </c>
      <c r="D1124" s="264" t="s">
        <v>243</v>
      </c>
      <c r="E1124" s="265" t="s">
        <v>244</v>
      </c>
      <c r="F1124" s="267" t="s">
        <v>247</v>
      </c>
      <c r="G1124" s="268"/>
    </row>
    <row r="1125" hidden="1" outlineLevel="2">
      <c r="A1125" s="275" t="s">
        <v>25</v>
      </c>
      <c r="B1125" s="276">
        <f t="shared" ref="B1125:B1132" si="301">(C1125*0.3)+(D1125*0.1)</f>
        <v>0.4</v>
      </c>
      <c r="C1125" s="436">
        <v>1.0</v>
      </c>
      <c r="D1125" s="272">
        <f>Dan!D34</f>
        <v>1</v>
      </c>
      <c r="E1125" s="277">
        <f t="shared" ref="E1125:E1132" si="302">(L1102+G1114+H1114)/15*0.3</f>
        <v>0.3</v>
      </c>
      <c r="F1125" s="274">
        <f t="shared" ref="F1125:F1132" si="303">(E1125/30%)*10</f>
        <v>10</v>
      </c>
      <c r="G1125" s="268"/>
      <c r="H1125" s="268"/>
      <c r="I1125" s="268"/>
      <c r="J1125" s="268"/>
    </row>
    <row r="1126" hidden="1" outlineLevel="2">
      <c r="A1126" s="278" t="s">
        <v>4</v>
      </c>
      <c r="B1126" s="279" t="str">
        <f t="shared" si="301"/>
        <v>#REF!</v>
      </c>
      <c r="C1126" s="436">
        <v>1.0</v>
      </c>
      <c r="D1126" s="272" t="str">
        <f>#REF!</f>
        <v>#REF!</v>
      </c>
      <c r="E1126" s="281">
        <f t="shared" si="302"/>
        <v>0.2656</v>
      </c>
      <c r="F1126" s="274">
        <f t="shared" si="303"/>
        <v>8.853333333</v>
      </c>
      <c r="G1126" s="268"/>
      <c r="H1126" s="268"/>
      <c r="I1126" s="268"/>
      <c r="J1126" s="268"/>
    </row>
    <row r="1127" hidden="1" outlineLevel="2">
      <c r="A1127" s="275" t="s">
        <v>19</v>
      </c>
      <c r="B1127" s="276">
        <f t="shared" si="301"/>
        <v>0.34</v>
      </c>
      <c r="C1127" s="436">
        <v>0.8</v>
      </c>
      <c r="D1127" s="272">
        <v>1.0</v>
      </c>
      <c r="E1127" s="277">
        <f t="shared" si="302"/>
        <v>0.2778</v>
      </c>
      <c r="F1127" s="274">
        <f t="shared" si="303"/>
        <v>9.26</v>
      </c>
      <c r="G1127" s="268"/>
      <c r="H1127" s="268"/>
      <c r="I1127" s="268"/>
      <c r="J1127" s="268"/>
    </row>
    <row r="1128" hidden="1" outlineLevel="2">
      <c r="A1128" s="278" t="s">
        <v>30</v>
      </c>
      <c r="B1128" s="279" t="str">
        <f t="shared" si="301"/>
        <v>#REF!</v>
      </c>
      <c r="C1128" s="436">
        <v>1.0</v>
      </c>
      <c r="D1128" s="272" t="str">
        <f>#REF!</f>
        <v>#REF!</v>
      </c>
      <c r="E1128" s="281">
        <f t="shared" si="302"/>
        <v>0.2574</v>
      </c>
      <c r="F1128" s="274">
        <f t="shared" si="303"/>
        <v>8.58</v>
      </c>
      <c r="G1128" s="268"/>
      <c r="H1128" s="268"/>
      <c r="I1128" s="268"/>
      <c r="J1128" s="268"/>
    </row>
    <row r="1129" hidden="1" outlineLevel="2">
      <c r="A1129" s="301" t="s">
        <v>31</v>
      </c>
      <c r="B1129" s="276">
        <f t="shared" si="301"/>
        <v>0.4</v>
      </c>
      <c r="C1129" s="436">
        <v>1.0</v>
      </c>
      <c r="D1129" s="272">
        <v>1.0</v>
      </c>
      <c r="E1129" s="277">
        <f t="shared" si="302"/>
        <v>0.29</v>
      </c>
      <c r="F1129" s="274">
        <f t="shared" si="303"/>
        <v>9.666666667</v>
      </c>
      <c r="G1129" s="268"/>
      <c r="H1129" s="268"/>
      <c r="I1129" s="268"/>
      <c r="J1129" s="268"/>
    </row>
    <row r="1130" hidden="1" outlineLevel="2">
      <c r="A1130" s="284" t="s">
        <v>129</v>
      </c>
      <c r="B1130" s="279">
        <f t="shared" si="301"/>
        <v>0.4</v>
      </c>
      <c r="C1130" s="436">
        <v>1.0</v>
      </c>
      <c r="D1130" s="272">
        <v>1.0</v>
      </c>
      <c r="E1130" s="281">
        <f t="shared" si="302"/>
        <v>0.2698</v>
      </c>
      <c r="F1130" s="274">
        <f t="shared" si="303"/>
        <v>8.993333333</v>
      </c>
      <c r="G1130" s="268"/>
      <c r="H1130" s="268"/>
      <c r="I1130" s="268"/>
      <c r="J1130" s="268"/>
    </row>
    <row r="1131" hidden="1" outlineLevel="2">
      <c r="A1131" s="283" t="s">
        <v>13</v>
      </c>
      <c r="B1131" s="276">
        <f t="shared" si="301"/>
        <v>0.4</v>
      </c>
      <c r="C1131" s="436">
        <v>1.0</v>
      </c>
      <c r="D1131" s="272">
        <v>1.0</v>
      </c>
      <c r="E1131" s="277">
        <f t="shared" si="302"/>
        <v>0.22</v>
      </c>
      <c r="F1131" s="274">
        <f t="shared" si="303"/>
        <v>7.333333333</v>
      </c>
      <c r="G1131" s="268"/>
      <c r="H1131" s="268"/>
      <c r="I1131" s="268"/>
      <c r="J1131" s="268"/>
    </row>
    <row r="1132" hidden="1" outlineLevel="2">
      <c r="A1132" s="284" t="s">
        <v>428</v>
      </c>
      <c r="B1132" s="279">
        <f t="shared" si="301"/>
        <v>0.4</v>
      </c>
      <c r="C1132" s="436">
        <v>1.0</v>
      </c>
      <c r="D1132" s="272">
        <v>1.0</v>
      </c>
      <c r="E1132" s="281">
        <f t="shared" si="302"/>
        <v>0.2862</v>
      </c>
      <c r="F1132" s="274">
        <f t="shared" si="303"/>
        <v>9.54</v>
      </c>
      <c r="G1132" s="268"/>
      <c r="H1132" s="268"/>
      <c r="I1132" s="268"/>
      <c r="J1132" s="268"/>
    </row>
    <row r="1133" hidden="1" outlineLevel="2">
      <c r="A1133" s="286"/>
      <c r="B1133" s="286"/>
      <c r="C1133" s="287"/>
      <c r="D1133" s="288"/>
      <c r="E1133" s="289"/>
      <c r="F1133" s="268"/>
      <c r="G1133" s="268"/>
      <c r="H1133" s="268"/>
      <c r="I1133" s="268"/>
      <c r="J1133" s="268"/>
    </row>
    <row r="1134" hidden="1" outlineLevel="2">
      <c r="A1134" s="195" t="s">
        <v>269</v>
      </c>
      <c r="B1134" s="286"/>
      <c r="C1134" s="287"/>
      <c r="D1134" s="288"/>
      <c r="E1134" s="289"/>
      <c r="F1134" s="268"/>
      <c r="G1134" s="268"/>
      <c r="H1134" s="268"/>
      <c r="I1134" s="268"/>
      <c r="J1134" s="268"/>
    </row>
    <row r="1135" hidden="1" outlineLevel="2">
      <c r="A1135" s="290" t="s">
        <v>240</v>
      </c>
      <c r="B1135" s="291" t="s">
        <v>270</v>
      </c>
      <c r="C1135" s="198">
        <v>46153.0</v>
      </c>
      <c r="D1135" s="198">
        <v>46154.0</v>
      </c>
      <c r="E1135" s="198">
        <v>46155.0</v>
      </c>
      <c r="F1135" s="198">
        <v>46156.0</v>
      </c>
      <c r="G1135" s="198">
        <v>46157.0</v>
      </c>
      <c r="H1135" s="198">
        <v>46158.0</v>
      </c>
      <c r="I1135" s="198">
        <v>46159.0</v>
      </c>
      <c r="J1135" s="268"/>
    </row>
    <row r="1136" hidden="1" outlineLevel="2">
      <c r="A1136" s="292"/>
      <c r="B1136" s="292"/>
      <c r="C1136" s="205" t="s">
        <v>192</v>
      </c>
      <c r="D1136" s="205" t="s">
        <v>272</v>
      </c>
      <c r="E1136" s="205" t="s">
        <v>273</v>
      </c>
      <c r="F1136" s="205" t="s">
        <v>274</v>
      </c>
      <c r="G1136" s="205" t="s">
        <v>275</v>
      </c>
      <c r="H1136" s="205" t="s">
        <v>276</v>
      </c>
      <c r="I1136" s="205" t="s">
        <v>277</v>
      </c>
    </row>
    <row r="1137" hidden="1" outlineLevel="2">
      <c r="A1137" s="275" t="s">
        <v>25</v>
      </c>
      <c r="B1137" s="293">
        <f t="shared" ref="B1137:B1144" si="304">Sum(C1137:I1137)</f>
        <v>0</v>
      </c>
      <c r="C1137" s="295"/>
      <c r="D1137" s="294"/>
      <c r="E1137" s="294"/>
      <c r="F1137" s="294"/>
      <c r="G1137" s="295"/>
      <c r="H1137" s="295"/>
      <c r="I1137" s="295"/>
    </row>
    <row r="1138" hidden="1" outlineLevel="2">
      <c r="A1138" s="278" t="s">
        <v>4</v>
      </c>
      <c r="B1138" s="293">
        <f t="shared" si="304"/>
        <v>0</v>
      </c>
      <c r="C1138" s="296"/>
      <c r="D1138" s="296"/>
      <c r="E1138" s="296"/>
      <c r="F1138" s="296"/>
      <c r="G1138" s="296"/>
      <c r="H1138" s="297"/>
      <c r="I1138" s="296"/>
    </row>
    <row r="1139" hidden="1" outlineLevel="2">
      <c r="A1139" s="275" t="s">
        <v>19</v>
      </c>
      <c r="B1139" s="293">
        <f t="shared" si="304"/>
        <v>0</v>
      </c>
      <c r="C1139" s="295"/>
      <c r="D1139" s="294"/>
      <c r="E1139" s="295"/>
      <c r="F1139" s="295"/>
      <c r="G1139" s="295"/>
      <c r="H1139" s="295"/>
      <c r="I1139" s="294"/>
    </row>
    <row r="1140" hidden="1" outlineLevel="2">
      <c r="A1140" s="278" t="s">
        <v>30</v>
      </c>
      <c r="B1140" s="293">
        <f t="shared" si="304"/>
        <v>0</v>
      </c>
      <c r="C1140" s="296"/>
      <c r="D1140" s="296"/>
      <c r="E1140" s="296"/>
      <c r="F1140" s="296"/>
      <c r="G1140" s="296"/>
      <c r="H1140" s="296"/>
      <c r="I1140" s="297"/>
    </row>
    <row r="1141" hidden="1" outlineLevel="2">
      <c r="A1141" s="301" t="s">
        <v>31</v>
      </c>
      <c r="B1141" s="293">
        <f t="shared" si="304"/>
        <v>0</v>
      </c>
      <c r="C1141" s="295"/>
      <c r="D1141" s="295"/>
      <c r="E1141" s="295"/>
      <c r="F1141" s="295"/>
      <c r="G1141" s="295"/>
      <c r="H1141" s="295"/>
      <c r="I1141" s="294"/>
    </row>
    <row r="1142" ht="16.5" hidden="1" customHeight="1" outlineLevel="2">
      <c r="A1142" s="284" t="s">
        <v>129</v>
      </c>
      <c r="B1142" s="293">
        <f t="shared" si="304"/>
        <v>0</v>
      </c>
      <c r="C1142" s="296"/>
      <c r="D1142" s="296"/>
      <c r="E1142" s="296"/>
      <c r="F1142" s="296"/>
      <c r="G1142" s="296"/>
      <c r="H1142" s="296"/>
      <c r="I1142" s="296"/>
    </row>
    <row r="1143" hidden="1" outlineLevel="2">
      <c r="A1143" s="283" t="s">
        <v>13</v>
      </c>
      <c r="B1143" s="293">
        <f t="shared" si="304"/>
        <v>0</v>
      </c>
      <c r="C1143" s="294"/>
      <c r="D1143" s="294"/>
      <c r="E1143" s="295"/>
      <c r="F1143" s="295"/>
      <c r="G1143" s="295"/>
      <c r="H1143" s="295"/>
      <c r="I1143" s="294"/>
    </row>
    <row r="1144" hidden="1" outlineLevel="2">
      <c r="A1144" s="284" t="s">
        <v>64</v>
      </c>
      <c r="B1144" s="293">
        <f t="shared" si="304"/>
        <v>0</v>
      </c>
      <c r="C1144" s="297"/>
      <c r="D1144" s="297"/>
      <c r="E1144" s="296"/>
      <c r="F1144" s="297"/>
      <c r="G1144" s="296"/>
      <c r="H1144" s="296"/>
      <c r="I1144" s="297"/>
    </row>
    <row r="1145" hidden="1" outlineLevel="1" collapsed="1">
      <c r="A1145" s="192" t="s">
        <v>1357</v>
      </c>
    </row>
    <row r="1146" hidden="1" outlineLevel="2">
      <c r="A1146" s="195" t="s">
        <v>186</v>
      </c>
    </row>
    <row r="1147" hidden="1" outlineLevel="2">
      <c r="A1147" s="196" t="s">
        <v>187</v>
      </c>
      <c r="B1147" s="197" t="s">
        <v>77</v>
      </c>
      <c r="C1147" s="197" t="s">
        <v>189</v>
      </c>
      <c r="D1147" s="198">
        <v>46223.0</v>
      </c>
      <c r="E1147" s="198">
        <v>46224.0</v>
      </c>
      <c r="F1147" s="198">
        <v>46225.0</v>
      </c>
      <c r="G1147" s="198">
        <v>46226.0</v>
      </c>
      <c r="H1147" s="198">
        <v>46227.0</v>
      </c>
      <c r="I1147" s="198">
        <v>46228.0</v>
      </c>
      <c r="J1147" s="198">
        <v>46229.0</v>
      </c>
      <c r="K1147" s="199" t="s">
        <v>190</v>
      </c>
      <c r="L1147" s="201" t="s">
        <v>191</v>
      </c>
    </row>
    <row r="1148" hidden="1" outlineLevel="2">
      <c r="A1148" s="399"/>
      <c r="B1148" s="292"/>
      <c r="C1148" s="292"/>
      <c r="D1148" s="205" t="s">
        <v>192</v>
      </c>
      <c r="E1148" s="205" t="str">
        <f t="shared" ref="E1148:J1148" si="305">text(E1147,"ddd")</f>
        <v>Tue</v>
      </c>
      <c r="F1148" s="205" t="str">
        <f t="shared" si="305"/>
        <v>Wed</v>
      </c>
      <c r="G1148" s="205" t="str">
        <f t="shared" si="305"/>
        <v>Thu</v>
      </c>
      <c r="H1148" s="205" t="str">
        <f t="shared" si="305"/>
        <v>Fri</v>
      </c>
      <c r="I1148" s="205" t="str">
        <f t="shared" si="305"/>
        <v>Sat</v>
      </c>
      <c r="J1148" s="205" t="str">
        <f t="shared" si="305"/>
        <v>Sun</v>
      </c>
      <c r="K1148" s="206"/>
      <c r="L1148" s="203"/>
    </row>
    <row r="1149" hidden="1" outlineLevel="2">
      <c r="A1149" s="400" t="s">
        <v>194</v>
      </c>
      <c r="B1149" s="401">
        <f>25*5+15</f>
        <v>140</v>
      </c>
      <c r="C1149" s="401">
        <f t="shared" ref="C1149:C1156" si="306">SUM(D1149:J1149)</f>
        <v>143</v>
      </c>
      <c r="D1149" s="402">
        <v>19.0</v>
      </c>
      <c r="E1149" s="402">
        <v>21.0</v>
      </c>
      <c r="F1149" s="402">
        <v>27.0</v>
      </c>
      <c r="G1149" s="402">
        <v>39.0</v>
      </c>
      <c r="H1149" s="402">
        <v>25.0</v>
      </c>
      <c r="I1149" s="402">
        <v>12.0</v>
      </c>
      <c r="J1149" s="211" t="s">
        <v>92</v>
      </c>
      <c r="K1149" s="214">
        <f t="shared" ref="K1149:K1156" si="307">iferror(C1149/B1149,"-")</f>
        <v>1.021428571</v>
      </c>
      <c r="L1149" s="219">
        <f t="shared" ref="L1149:L1156" si="308">(IF(K1149="",(0),IF(K1149&gt;=1,(5),IF(K1149&gt;=0.9,(4),IF(K1149&gt;=0.8,(3),IF(K1149&gt;=0.69,(2),IF(K1149&lt;=0.69,(1))))))))</f>
        <v>5</v>
      </c>
    </row>
    <row r="1150" hidden="1" outlineLevel="2">
      <c r="A1150" s="403" t="s">
        <v>118</v>
      </c>
      <c r="B1150" s="404">
        <f>30*5+5</f>
        <v>155</v>
      </c>
      <c r="C1150" s="404">
        <f t="shared" si="306"/>
        <v>112</v>
      </c>
      <c r="D1150" s="405">
        <v>29.0</v>
      </c>
      <c r="E1150" s="405">
        <v>27.0</v>
      </c>
      <c r="F1150" s="405">
        <v>17.0</v>
      </c>
      <c r="G1150" s="405">
        <v>22.0</v>
      </c>
      <c r="H1150" s="405">
        <v>13.0</v>
      </c>
      <c r="I1150" s="405" t="s">
        <v>92</v>
      </c>
      <c r="J1150" s="211">
        <v>4.0</v>
      </c>
      <c r="K1150" s="214">
        <f t="shared" si="307"/>
        <v>0.7225806452</v>
      </c>
      <c r="L1150" s="219">
        <f t="shared" si="308"/>
        <v>2</v>
      </c>
    </row>
    <row r="1151" hidden="1" outlineLevel="2">
      <c r="A1151" s="400" t="s">
        <v>19</v>
      </c>
      <c r="B1151" s="401">
        <f>35*5+5</f>
        <v>180</v>
      </c>
      <c r="C1151" s="401">
        <f t="shared" si="306"/>
        <v>170</v>
      </c>
      <c r="D1151" s="402">
        <v>31.0</v>
      </c>
      <c r="E1151" s="417">
        <v>35.0</v>
      </c>
      <c r="F1151" s="402" t="s">
        <v>92</v>
      </c>
      <c r="G1151" s="402">
        <v>26.0</v>
      </c>
      <c r="H1151" s="402">
        <v>30.0</v>
      </c>
      <c r="I1151" s="402">
        <v>42.0</v>
      </c>
      <c r="J1151" s="211">
        <v>6.0</v>
      </c>
      <c r="K1151" s="214">
        <f t="shared" si="307"/>
        <v>0.9444444444</v>
      </c>
      <c r="L1151" s="219">
        <f t="shared" si="308"/>
        <v>4</v>
      </c>
    </row>
    <row r="1152" hidden="1" outlineLevel="2">
      <c r="A1152" s="403" t="s">
        <v>120</v>
      </c>
      <c r="B1152" s="404">
        <f>20*5</f>
        <v>100</v>
      </c>
      <c r="C1152" s="404">
        <f t="shared" si="306"/>
        <v>91</v>
      </c>
      <c r="D1152" s="405">
        <v>12.0</v>
      </c>
      <c r="E1152" s="405">
        <v>29.0</v>
      </c>
      <c r="F1152" s="405">
        <v>11.0</v>
      </c>
      <c r="G1152" s="405">
        <v>24.0</v>
      </c>
      <c r="H1152" s="405" t="s">
        <v>92</v>
      </c>
      <c r="I1152" s="405" t="s">
        <v>92</v>
      </c>
      <c r="J1152" s="211">
        <v>15.0</v>
      </c>
      <c r="K1152" s="214">
        <f t="shared" si="307"/>
        <v>0.91</v>
      </c>
      <c r="L1152" s="219">
        <f t="shared" si="308"/>
        <v>4</v>
      </c>
    </row>
    <row r="1153" hidden="1" outlineLevel="2">
      <c r="A1153" s="301" t="s">
        <v>22</v>
      </c>
      <c r="B1153" s="401">
        <f>25*5</f>
        <v>125</v>
      </c>
      <c r="C1153" s="401">
        <f t="shared" si="306"/>
        <v>116</v>
      </c>
      <c r="D1153" s="402">
        <v>23.0</v>
      </c>
      <c r="E1153" s="402">
        <v>27.0</v>
      </c>
      <c r="F1153" s="402">
        <v>33.0</v>
      </c>
      <c r="G1153" s="402" t="s">
        <v>92</v>
      </c>
      <c r="H1153" s="402" t="s">
        <v>92</v>
      </c>
      <c r="I1153" s="402">
        <v>15.0</v>
      </c>
      <c r="J1153" s="211">
        <v>18.0</v>
      </c>
      <c r="K1153" s="214">
        <f t="shared" si="307"/>
        <v>0.928</v>
      </c>
      <c r="L1153" s="219">
        <f t="shared" si="308"/>
        <v>4</v>
      </c>
    </row>
    <row r="1154" hidden="1" outlineLevel="2">
      <c r="A1154" s="284" t="s">
        <v>129</v>
      </c>
      <c r="B1154" s="404">
        <f>30*5+10</f>
        <v>160</v>
      </c>
      <c r="C1154" s="404">
        <f t="shared" si="306"/>
        <v>158</v>
      </c>
      <c r="D1154" s="405">
        <v>33.0</v>
      </c>
      <c r="E1154" s="405">
        <v>33.0</v>
      </c>
      <c r="F1154" s="405">
        <v>27.0</v>
      </c>
      <c r="G1154" s="405">
        <v>28.0</v>
      </c>
      <c r="H1154" s="405">
        <v>27.0</v>
      </c>
      <c r="I1154" s="405">
        <v>10.0</v>
      </c>
      <c r="J1154" s="211" t="s">
        <v>92</v>
      </c>
      <c r="K1154" s="214">
        <f t="shared" si="307"/>
        <v>0.9875</v>
      </c>
      <c r="L1154" s="219">
        <f t="shared" si="308"/>
        <v>4</v>
      </c>
    </row>
    <row r="1155" hidden="1" outlineLevel="2">
      <c r="A1155" s="283" t="s">
        <v>13</v>
      </c>
      <c r="B1155" s="406">
        <f>25*5+15</f>
        <v>140</v>
      </c>
      <c r="C1155" s="401">
        <f t="shared" si="306"/>
        <v>135</v>
      </c>
      <c r="D1155" s="402">
        <v>17.0</v>
      </c>
      <c r="E1155" s="402">
        <v>32.0</v>
      </c>
      <c r="F1155" s="402">
        <v>32.0</v>
      </c>
      <c r="G1155" s="402">
        <v>11.0</v>
      </c>
      <c r="H1155" s="402">
        <v>31.0</v>
      </c>
      <c r="I1155" s="402">
        <v>12.0</v>
      </c>
      <c r="J1155" s="211" t="s">
        <v>92</v>
      </c>
      <c r="K1155" s="214">
        <f t="shared" si="307"/>
        <v>0.9642857143</v>
      </c>
      <c r="L1155" s="219">
        <f t="shared" si="308"/>
        <v>4</v>
      </c>
    </row>
    <row r="1156" hidden="1" outlineLevel="2">
      <c r="A1156" s="284" t="s">
        <v>428</v>
      </c>
      <c r="B1156" s="407">
        <f>25*4+20</f>
        <v>120</v>
      </c>
      <c r="C1156" s="404">
        <f t="shared" si="306"/>
        <v>97</v>
      </c>
      <c r="D1156" s="405">
        <v>17.0</v>
      </c>
      <c r="E1156" s="405" t="s">
        <v>92</v>
      </c>
      <c r="F1156" s="405" t="s">
        <v>92</v>
      </c>
      <c r="G1156" s="405">
        <v>24.0</v>
      </c>
      <c r="H1156" s="405">
        <v>17.0</v>
      </c>
      <c r="I1156" s="405">
        <v>20.0</v>
      </c>
      <c r="J1156" s="211">
        <v>19.0</v>
      </c>
      <c r="K1156" s="214">
        <f t="shared" si="307"/>
        <v>0.8083333333</v>
      </c>
      <c r="L1156" s="219">
        <f t="shared" si="308"/>
        <v>3</v>
      </c>
    </row>
    <row r="1157" hidden="1" outlineLevel="2"/>
    <row r="1158" hidden="1" outlineLevel="2">
      <c r="A1158" s="195" t="s">
        <v>135</v>
      </c>
      <c r="I1158" s="195"/>
    </row>
    <row r="1159" hidden="1" outlineLevel="2">
      <c r="A1159" s="196" t="s">
        <v>187</v>
      </c>
      <c r="B1159" s="225" t="s">
        <v>218</v>
      </c>
      <c r="C1159" s="225" t="s">
        <v>219</v>
      </c>
      <c r="D1159" s="225" t="s">
        <v>139</v>
      </c>
      <c r="E1159" s="225" t="s">
        <v>140</v>
      </c>
      <c r="F1159" s="225" t="s">
        <v>141</v>
      </c>
      <c r="G1159" s="226" t="s">
        <v>143</v>
      </c>
      <c r="H1159" s="226" t="s">
        <v>221</v>
      </c>
    </row>
    <row r="1160" hidden="1" outlineLevel="2">
      <c r="A1160" s="399"/>
      <c r="B1160" s="292"/>
      <c r="C1160" s="292"/>
      <c r="D1160" s="292"/>
      <c r="E1160" s="292"/>
      <c r="F1160" s="292"/>
      <c r="G1160" s="292"/>
      <c r="H1160" s="292"/>
    </row>
    <row r="1161" hidden="1" outlineLevel="2">
      <c r="A1161" s="400" t="s">
        <v>194</v>
      </c>
      <c r="B1161" s="402">
        <v>150.0</v>
      </c>
      <c r="C1161" s="402">
        <v>143.0</v>
      </c>
      <c r="D1161" s="136">
        <f t="shared" ref="D1161:D1168" si="309">B1161-C1161</f>
        <v>7</v>
      </c>
      <c r="E1161" s="408">
        <f t="shared" ref="E1161:E1168" si="310">IFERROR(C1161/B1161,"")</f>
        <v>0.9533333333</v>
      </c>
      <c r="F1161" s="409">
        <v>0.002476851851851852</v>
      </c>
      <c r="G1161" s="240">
        <f t="shared" ref="G1161:G1168" si="311">IFERROR((IF(E1161="",(0),IF(E1161&gt;=0.98,(5),IF(E1161&gt;=0.95,(4.5),IF(E1161&gt;=0.9,(4),IF(E1161&gt;=0.8,(3),IF(E1161&lt;=0.69,(1)))))))),"")</f>
        <v>4.5</v>
      </c>
      <c r="H1161" s="240">
        <f>ROUND(
IF(F1161="",
0,
MAX(1, 5 - MAX(0, (F1161 - TIME(0,4,0)) / TIME(0,1,0) * 0.5))
),
2
)
</f>
        <v>5</v>
      </c>
    </row>
    <row r="1162" hidden="1" outlineLevel="2">
      <c r="A1162" s="403" t="s">
        <v>118</v>
      </c>
      <c r="B1162" s="405">
        <v>112.0</v>
      </c>
      <c r="C1162" s="405">
        <v>112.0</v>
      </c>
      <c r="D1162" s="410">
        <f t="shared" si="309"/>
        <v>0</v>
      </c>
      <c r="E1162" s="411">
        <f t="shared" si="310"/>
        <v>1</v>
      </c>
      <c r="F1162" s="412">
        <v>0.0038078703703703703</v>
      </c>
      <c r="G1162" s="240">
        <f t="shared" si="311"/>
        <v>5</v>
      </c>
      <c r="H1162" s="240">
        <f>ROUND(
IF(F1162="",
0,
MAX(1, 5 - MAX(0, (F1162 - TIME(0,5,0)) / TIME(0,1,0) * 0.5))
),
2
)
</f>
        <v>4.76</v>
      </c>
    </row>
    <row r="1163" hidden="1" outlineLevel="2">
      <c r="A1163" s="400" t="s">
        <v>19</v>
      </c>
      <c r="B1163" s="402">
        <v>175.0</v>
      </c>
      <c r="C1163" s="402">
        <v>170.0</v>
      </c>
      <c r="D1163" s="136">
        <f t="shared" si="309"/>
        <v>5</v>
      </c>
      <c r="E1163" s="408">
        <f t="shared" si="310"/>
        <v>0.9714285714</v>
      </c>
      <c r="F1163" s="409">
        <v>0.003726851851851852</v>
      </c>
      <c r="G1163" s="240">
        <f t="shared" si="311"/>
        <v>4.5</v>
      </c>
      <c r="H1163" s="240">
        <f>ROUND(
IF(F1163="",
0,
MAX(1, 5 - MAX(0, (F1163 - TIME(0,4,0)) / TIME(0,1,0) * 0.5))
),
2
)
</f>
        <v>4.32</v>
      </c>
    </row>
    <row r="1164" hidden="1" outlineLevel="2">
      <c r="A1164" s="433" t="s">
        <v>120</v>
      </c>
      <c r="B1164" s="405">
        <v>92.0</v>
      </c>
      <c r="C1164" s="405">
        <v>88.0</v>
      </c>
      <c r="D1164" s="410">
        <f t="shared" si="309"/>
        <v>4</v>
      </c>
      <c r="E1164" s="411">
        <f t="shared" si="310"/>
        <v>0.9565217391</v>
      </c>
      <c r="F1164" s="412">
        <v>0.00318287037037037</v>
      </c>
      <c r="G1164" s="240">
        <f t="shared" si="311"/>
        <v>4.5</v>
      </c>
      <c r="H1164" s="240">
        <f>ROUND(
IF(F1164="",
0,
MAX(1, 5 - MAX(0, (F1164 - TIME(0,5,0)) / TIME(0,1,0) * 0.5))
),
2
)
</f>
        <v>5</v>
      </c>
    </row>
    <row r="1165" hidden="1" outlineLevel="2">
      <c r="A1165" s="434" t="s">
        <v>22</v>
      </c>
      <c r="B1165" s="402">
        <v>119.0</v>
      </c>
      <c r="C1165" s="402">
        <v>116.0</v>
      </c>
      <c r="D1165" s="136">
        <f t="shared" si="309"/>
        <v>3</v>
      </c>
      <c r="E1165" s="408">
        <f t="shared" si="310"/>
        <v>0.974789916</v>
      </c>
      <c r="F1165" s="409">
        <v>0.002349537037037037</v>
      </c>
      <c r="G1165" s="240">
        <f t="shared" si="311"/>
        <v>4.5</v>
      </c>
      <c r="H1165" s="240">
        <f>ROUND(
IF(F1165="",
0,
MAX(1, 5 - MAX(0, (F1165 - TIME(0,4,0)) / TIME(0,1,0) * 0.5))
),
2
)
</f>
        <v>5</v>
      </c>
    </row>
    <row r="1166" hidden="1" outlineLevel="2">
      <c r="A1166" s="284" t="s">
        <v>129</v>
      </c>
      <c r="B1166" s="405">
        <v>161.0</v>
      </c>
      <c r="C1166" s="405">
        <v>158.0</v>
      </c>
      <c r="D1166" s="410">
        <f t="shared" si="309"/>
        <v>3</v>
      </c>
      <c r="E1166" s="411">
        <f t="shared" si="310"/>
        <v>0.9813664596</v>
      </c>
      <c r="F1166" s="412">
        <v>0.004641203703703704</v>
      </c>
      <c r="G1166" s="240">
        <f t="shared" si="311"/>
        <v>5</v>
      </c>
      <c r="H1166" s="240">
        <f t="shared" ref="H1166:H1168" si="312">ROUND(
IF(F1166="",
0,
MAX(1, 5 - MAX(0, (F1166 - TIME(0,5,0)) / TIME(0,1,0) * 0.5))
),
2
)
</f>
        <v>4.16</v>
      </c>
    </row>
    <row r="1167" hidden="1" outlineLevel="2">
      <c r="A1167" s="435" t="s">
        <v>13</v>
      </c>
      <c r="B1167" s="402">
        <v>137.0</v>
      </c>
      <c r="C1167" s="402">
        <v>134.0</v>
      </c>
      <c r="D1167" s="136">
        <f t="shared" si="309"/>
        <v>3</v>
      </c>
      <c r="E1167" s="408">
        <f t="shared" si="310"/>
        <v>0.9781021898</v>
      </c>
      <c r="F1167" s="409">
        <v>0.003576388888888889</v>
      </c>
      <c r="G1167" s="240">
        <f t="shared" si="311"/>
        <v>4.5</v>
      </c>
      <c r="H1167" s="240">
        <f t="shared" si="312"/>
        <v>4.93</v>
      </c>
    </row>
    <row r="1168" hidden="1" outlineLevel="2">
      <c r="A1168" s="284" t="s">
        <v>428</v>
      </c>
      <c r="B1168" s="405">
        <v>98.0</v>
      </c>
      <c r="C1168" s="405">
        <v>97.0</v>
      </c>
      <c r="D1168" s="410">
        <f t="shared" si="309"/>
        <v>1</v>
      </c>
      <c r="E1168" s="411">
        <f t="shared" si="310"/>
        <v>0.9897959184</v>
      </c>
      <c r="F1168" s="412">
        <v>0.004270833333333333</v>
      </c>
      <c r="G1168" s="240">
        <f t="shared" si="311"/>
        <v>5</v>
      </c>
      <c r="H1168" s="240">
        <f t="shared" si="312"/>
        <v>4.43</v>
      </c>
    </row>
    <row r="1169" hidden="1" outlineLevel="2"/>
    <row r="1170" hidden="1" outlineLevel="2">
      <c r="A1170" s="195" t="s">
        <v>239</v>
      </c>
    </row>
    <row r="1171" hidden="1" outlineLevel="2">
      <c r="A1171" s="260" t="s">
        <v>240</v>
      </c>
      <c r="B1171" s="262" t="s">
        <v>241</v>
      </c>
      <c r="C1171" s="264" t="s">
        <v>242</v>
      </c>
      <c r="D1171" s="264" t="s">
        <v>243</v>
      </c>
      <c r="E1171" s="265" t="s">
        <v>244</v>
      </c>
      <c r="F1171" s="267" t="s">
        <v>247</v>
      </c>
      <c r="G1171" s="268"/>
    </row>
    <row r="1172" hidden="1" outlineLevel="2">
      <c r="A1172" s="278" t="s">
        <v>25</v>
      </c>
      <c r="B1172" s="279">
        <f t="shared" ref="B1172:B1179" si="313">(C1172*0.3)+(D1172*0.1)</f>
        <v>0.4</v>
      </c>
      <c r="C1172" s="272">
        <v>1.0</v>
      </c>
      <c r="D1172" s="272">
        <v>1.0</v>
      </c>
      <c r="E1172" s="281">
        <f t="shared" ref="E1172:E1179" si="314">(L1149+G1161+H1161)/15*0.3</f>
        <v>0.29</v>
      </c>
      <c r="F1172" s="274">
        <f t="shared" ref="F1172:F1179" si="315">(E1172/30%)*10</f>
        <v>9.666666667</v>
      </c>
      <c r="G1172" s="268"/>
      <c r="H1172" s="268"/>
      <c r="I1172" s="268"/>
      <c r="J1172" s="268"/>
    </row>
    <row r="1173" hidden="1" outlineLevel="2">
      <c r="A1173" s="275" t="s">
        <v>4</v>
      </c>
      <c r="B1173" s="276">
        <f t="shared" si="313"/>
        <v>0.4</v>
      </c>
      <c r="C1173" s="272">
        <v>1.0</v>
      </c>
      <c r="D1173" s="272">
        <v>1.0</v>
      </c>
      <c r="E1173" s="277">
        <f t="shared" si="314"/>
        <v>0.2352</v>
      </c>
      <c r="F1173" s="274">
        <f t="shared" si="315"/>
        <v>7.84</v>
      </c>
      <c r="G1173" s="268"/>
      <c r="H1173" s="268"/>
      <c r="I1173" s="268"/>
      <c r="J1173" s="268"/>
    </row>
    <row r="1174" hidden="1" outlineLevel="2">
      <c r="A1174" s="278" t="s">
        <v>19</v>
      </c>
      <c r="B1174" s="279">
        <f t="shared" si="313"/>
        <v>0.355</v>
      </c>
      <c r="C1174" s="272">
        <v>0.85</v>
      </c>
      <c r="D1174" s="272">
        <v>1.0</v>
      </c>
      <c r="E1174" s="281">
        <f t="shared" si="314"/>
        <v>0.2564</v>
      </c>
      <c r="F1174" s="274">
        <f t="shared" si="315"/>
        <v>8.546666667</v>
      </c>
      <c r="G1174" s="268"/>
      <c r="H1174" s="268"/>
      <c r="I1174" s="268"/>
      <c r="J1174" s="268"/>
    </row>
    <row r="1175" hidden="1" outlineLevel="2">
      <c r="A1175" s="275" t="s">
        <v>30</v>
      </c>
      <c r="B1175" s="276">
        <f t="shared" si="313"/>
        <v>0.4</v>
      </c>
      <c r="C1175" s="272">
        <v>1.0</v>
      </c>
      <c r="D1175" s="272">
        <v>1.0</v>
      </c>
      <c r="E1175" s="277">
        <f t="shared" si="314"/>
        <v>0.27</v>
      </c>
      <c r="F1175" s="274">
        <f t="shared" si="315"/>
        <v>9</v>
      </c>
      <c r="G1175" s="268"/>
      <c r="H1175" s="268"/>
      <c r="I1175" s="268"/>
      <c r="J1175" s="268"/>
    </row>
    <row r="1176" hidden="1" outlineLevel="2">
      <c r="A1176" s="282" t="s">
        <v>31</v>
      </c>
      <c r="B1176" s="279">
        <f t="shared" si="313"/>
        <v>0.31</v>
      </c>
      <c r="C1176" s="272">
        <v>0.7</v>
      </c>
      <c r="D1176" s="272">
        <v>1.0</v>
      </c>
      <c r="E1176" s="281">
        <f t="shared" si="314"/>
        <v>0.27</v>
      </c>
      <c r="F1176" s="274">
        <f t="shared" si="315"/>
        <v>9</v>
      </c>
      <c r="G1176" s="268"/>
      <c r="H1176" s="268"/>
      <c r="I1176" s="268"/>
      <c r="J1176" s="268"/>
    </row>
    <row r="1177" hidden="1" outlineLevel="2">
      <c r="A1177" s="283" t="s">
        <v>129</v>
      </c>
      <c r="B1177" s="276">
        <f t="shared" si="313"/>
        <v>0.4</v>
      </c>
      <c r="C1177" s="272">
        <v>1.0</v>
      </c>
      <c r="D1177" s="272">
        <v>1.0</v>
      </c>
      <c r="E1177" s="277">
        <f t="shared" si="314"/>
        <v>0.2632</v>
      </c>
      <c r="F1177" s="274">
        <f t="shared" si="315"/>
        <v>8.773333333</v>
      </c>
      <c r="G1177" s="268"/>
      <c r="H1177" s="268"/>
      <c r="I1177" s="268"/>
      <c r="J1177" s="268"/>
    </row>
    <row r="1178" hidden="1" outlineLevel="2">
      <c r="A1178" s="284" t="s">
        <v>13</v>
      </c>
      <c r="B1178" s="279">
        <f t="shared" si="313"/>
        <v>0.4</v>
      </c>
      <c r="C1178" s="272">
        <v>1.0</v>
      </c>
      <c r="D1178" s="272">
        <v>1.0</v>
      </c>
      <c r="E1178" s="281">
        <f t="shared" si="314"/>
        <v>0.2686</v>
      </c>
      <c r="F1178" s="274">
        <f t="shared" si="315"/>
        <v>8.953333333</v>
      </c>
      <c r="G1178" s="268"/>
      <c r="H1178" s="268"/>
      <c r="I1178" s="268"/>
      <c r="J1178" s="268"/>
    </row>
    <row r="1179" hidden="1" outlineLevel="2">
      <c r="A1179" s="283" t="s">
        <v>428</v>
      </c>
      <c r="B1179" s="276">
        <f t="shared" si="313"/>
        <v>0.4</v>
      </c>
      <c r="C1179" s="272">
        <v>1.0</v>
      </c>
      <c r="D1179" s="272">
        <v>1.0</v>
      </c>
      <c r="E1179" s="277">
        <f t="shared" si="314"/>
        <v>0.2486</v>
      </c>
      <c r="F1179" s="274">
        <f t="shared" si="315"/>
        <v>8.286666667</v>
      </c>
      <c r="G1179" s="268"/>
      <c r="H1179" s="268"/>
      <c r="I1179" s="268"/>
      <c r="J1179" s="268"/>
    </row>
    <row r="1180" hidden="1" outlineLevel="2">
      <c r="A1180" s="286"/>
      <c r="B1180" s="286"/>
      <c r="C1180" s="287"/>
      <c r="D1180" s="288"/>
      <c r="E1180" s="289"/>
      <c r="F1180" s="268"/>
      <c r="G1180" s="268"/>
      <c r="H1180" s="268"/>
      <c r="I1180" s="268"/>
      <c r="J1180" s="268"/>
    </row>
    <row r="1181" hidden="1" outlineLevel="2">
      <c r="A1181" s="195" t="s">
        <v>269</v>
      </c>
      <c r="B1181" s="286"/>
      <c r="C1181" s="287"/>
      <c r="D1181" s="288"/>
      <c r="E1181" s="289"/>
      <c r="F1181" s="268"/>
      <c r="G1181" s="268"/>
      <c r="H1181" s="268"/>
      <c r="I1181" s="268"/>
      <c r="J1181" s="268"/>
    </row>
    <row r="1182" hidden="1" outlineLevel="2">
      <c r="A1182" s="290" t="s">
        <v>240</v>
      </c>
      <c r="B1182" s="291" t="s">
        <v>270</v>
      </c>
      <c r="C1182" s="198">
        <v>46153.0</v>
      </c>
      <c r="D1182" s="198">
        <v>46154.0</v>
      </c>
      <c r="E1182" s="198">
        <v>46155.0</v>
      </c>
      <c r="F1182" s="198">
        <v>46156.0</v>
      </c>
      <c r="G1182" s="198">
        <v>46157.0</v>
      </c>
      <c r="H1182" s="198">
        <v>46158.0</v>
      </c>
      <c r="I1182" s="198">
        <v>46159.0</v>
      </c>
      <c r="J1182" s="268"/>
    </row>
    <row r="1183" hidden="1" outlineLevel="2">
      <c r="A1183" s="325"/>
      <c r="B1183" s="325"/>
      <c r="C1183" s="205" t="s">
        <v>192</v>
      </c>
      <c r="D1183" s="205" t="s">
        <v>272</v>
      </c>
      <c r="E1183" s="205" t="s">
        <v>273</v>
      </c>
      <c r="F1183" s="205" t="s">
        <v>274</v>
      </c>
      <c r="G1183" s="205" t="s">
        <v>275</v>
      </c>
      <c r="H1183" s="205" t="s">
        <v>276</v>
      </c>
      <c r="I1183" s="205" t="s">
        <v>277</v>
      </c>
    </row>
    <row r="1184" hidden="1" outlineLevel="2">
      <c r="A1184" s="278" t="s">
        <v>25</v>
      </c>
      <c r="B1184" s="293">
        <f t="shared" ref="B1184:B1191" si="316">Sum(C1184:I1184)</f>
        <v>0</v>
      </c>
      <c r="C1184" s="296"/>
      <c r="D1184" s="297"/>
      <c r="E1184" s="297"/>
      <c r="F1184" s="297"/>
      <c r="G1184" s="296"/>
      <c r="H1184" s="296"/>
      <c r="I1184" s="296"/>
    </row>
    <row r="1185" hidden="1" outlineLevel="2">
      <c r="A1185" s="275" t="s">
        <v>4</v>
      </c>
      <c r="B1185" s="293">
        <f t="shared" si="316"/>
        <v>0</v>
      </c>
      <c r="C1185" s="295"/>
      <c r="D1185" s="295"/>
      <c r="E1185" s="295"/>
      <c r="F1185" s="295"/>
      <c r="G1185" s="295"/>
      <c r="H1185" s="294"/>
      <c r="I1185" s="295"/>
    </row>
    <row r="1186" hidden="1" outlineLevel="2">
      <c r="A1186" s="278" t="s">
        <v>19</v>
      </c>
      <c r="B1186" s="293">
        <f t="shared" si="316"/>
        <v>0</v>
      </c>
      <c r="C1186" s="296"/>
      <c r="D1186" s="297"/>
      <c r="E1186" s="296"/>
      <c r="F1186" s="296"/>
      <c r="G1186" s="296"/>
      <c r="H1186" s="296"/>
      <c r="I1186" s="297"/>
    </row>
    <row r="1187" hidden="1" outlineLevel="2">
      <c r="A1187" s="275" t="s">
        <v>30</v>
      </c>
      <c r="B1187" s="293">
        <f t="shared" si="316"/>
        <v>0</v>
      </c>
      <c r="C1187" s="295"/>
      <c r="D1187" s="295"/>
      <c r="E1187" s="295"/>
      <c r="F1187" s="295"/>
      <c r="G1187" s="295"/>
      <c r="H1187" s="295"/>
      <c r="I1187" s="294"/>
    </row>
    <row r="1188" hidden="1" outlineLevel="2">
      <c r="A1188" s="282" t="s">
        <v>31</v>
      </c>
      <c r="B1188" s="293">
        <f t="shared" si="316"/>
        <v>0</v>
      </c>
      <c r="C1188" s="296"/>
      <c r="D1188" s="296"/>
      <c r="E1188" s="296"/>
      <c r="F1188" s="296"/>
      <c r="G1188" s="296"/>
      <c r="H1188" s="296"/>
      <c r="I1188" s="297"/>
    </row>
    <row r="1189" ht="16.5" hidden="1" customHeight="1" outlineLevel="2">
      <c r="A1189" s="283" t="s">
        <v>129</v>
      </c>
      <c r="B1189" s="293">
        <f t="shared" si="316"/>
        <v>0</v>
      </c>
      <c r="C1189" s="295"/>
      <c r="D1189" s="295"/>
      <c r="E1189" s="295"/>
      <c r="F1189" s="295"/>
      <c r="G1189" s="295"/>
      <c r="H1189" s="295"/>
      <c r="I1189" s="295"/>
    </row>
    <row r="1190" hidden="1" outlineLevel="2">
      <c r="A1190" s="284" t="s">
        <v>13</v>
      </c>
      <c r="B1190" s="293">
        <f t="shared" si="316"/>
        <v>0</v>
      </c>
      <c r="C1190" s="297"/>
      <c r="D1190" s="297"/>
      <c r="E1190" s="296"/>
      <c r="F1190" s="296"/>
      <c r="G1190" s="296"/>
      <c r="H1190" s="296"/>
      <c r="I1190" s="297"/>
    </row>
    <row r="1191" hidden="1" outlineLevel="2">
      <c r="A1191" s="283" t="s">
        <v>64</v>
      </c>
      <c r="B1191" s="293">
        <f t="shared" si="316"/>
        <v>0</v>
      </c>
      <c r="C1191" s="294"/>
      <c r="D1191" s="294"/>
      <c r="E1191" s="295"/>
      <c r="F1191" s="294"/>
      <c r="G1191" s="295"/>
      <c r="H1191" s="295"/>
      <c r="I1191" s="294"/>
    </row>
    <row r="1192" hidden="1" outlineLevel="1">
      <c r="A1192" s="192" t="s">
        <v>1385</v>
      </c>
    </row>
    <row r="1193" hidden="1" outlineLevel="1">
      <c r="A1193" s="195" t="s">
        <v>186</v>
      </c>
    </row>
    <row r="1194" hidden="1" outlineLevel="1">
      <c r="A1194" s="196" t="s">
        <v>187</v>
      </c>
      <c r="B1194" s="197" t="s">
        <v>77</v>
      </c>
      <c r="C1194" s="197" t="s">
        <v>189</v>
      </c>
      <c r="D1194" s="198">
        <v>46230.0</v>
      </c>
      <c r="E1194" s="198">
        <v>46231.0</v>
      </c>
      <c r="F1194" s="198">
        <v>46232.0</v>
      </c>
      <c r="G1194" s="198">
        <v>46233.0</v>
      </c>
      <c r="H1194" s="198">
        <v>46234.0</v>
      </c>
      <c r="I1194" s="198">
        <v>46235.0</v>
      </c>
      <c r="J1194" s="198">
        <v>46236.0</v>
      </c>
      <c r="K1194" s="199" t="s">
        <v>190</v>
      </c>
      <c r="L1194" s="201" t="s">
        <v>191</v>
      </c>
    </row>
    <row r="1195" hidden="1" outlineLevel="1">
      <c r="A1195" s="415"/>
      <c r="B1195" s="325"/>
      <c r="C1195" s="325"/>
      <c r="D1195" s="205" t="s">
        <v>192</v>
      </c>
      <c r="E1195" s="205" t="str">
        <f t="shared" ref="E1195:J1195" si="317">text(E1194,"ddd")</f>
        <v>Tue</v>
      </c>
      <c r="F1195" s="205" t="str">
        <f t="shared" si="317"/>
        <v>Wed</v>
      </c>
      <c r="G1195" s="205" t="str">
        <f t="shared" si="317"/>
        <v>Thu</v>
      </c>
      <c r="H1195" s="205" t="str">
        <f t="shared" si="317"/>
        <v>Fri</v>
      </c>
      <c r="I1195" s="205" t="str">
        <f t="shared" si="317"/>
        <v>Sat</v>
      </c>
      <c r="J1195" s="205" t="str">
        <f t="shared" si="317"/>
        <v>Sun</v>
      </c>
      <c r="K1195" s="206"/>
      <c r="L1195" s="203"/>
    </row>
    <row r="1196" hidden="1" outlineLevel="1">
      <c r="A1196" s="403" t="s">
        <v>194</v>
      </c>
      <c r="B1196" s="404">
        <f>30*5</f>
        <v>150</v>
      </c>
      <c r="C1196" s="404">
        <f t="shared" ref="C1196:C1203" si="318">SUM(D1196:J1196)</f>
        <v>149</v>
      </c>
      <c r="D1196" s="405">
        <v>17.0</v>
      </c>
      <c r="E1196" s="405">
        <v>24.0</v>
      </c>
      <c r="F1196" s="405">
        <v>21.0</v>
      </c>
      <c r="G1196" s="405">
        <v>39.0</v>
      </c>
      <c r="H1196" s="405">
        <v>30.0</v>
      </c>
      <c r="I1196" s="405">
        <v>18.0</v>
      </c>
      <c r="J1196" s="211" t="s">
        <v>92</v>
      </c>
      <c r="K1196" s="214">
        <f t="shared" ref="K1196:K1203" si="319">iferror(C1196/B1196,"-")</f>
        <v>0.9933333333</v>
      </c>
      <c r="L1196" s="219">
        <f t="shared" ref="L1196:L1203" si="320">(IF(K1196="",(0),IF(K1196&gt;=1,(5),IF(K1196&gt;=0.9,(4),IF(K1196&gt;=0.8,(3),IF(K1196&gt;=0.69,(2),IF(K1196&lt;=0.69,(1))))))))</f>
        <v>4</v>
      </c>
    </row>
    <row r="1197" hidden="1" outlineLevel="1">
      <c r="A1197" s="400" t="s">
        <v>118</v>
      </c>
      <c r="B1197" s="401">
        <f>30*3+15</f>
        <v>105</v>
      </c>
      <c r="C1197" s="401">
        <f t="shared" si="318"/>
        <v>91</v>
      </c>
      <c r="D1197" s="402">
        <v>21.0</v>
      </c>
      <c r="E1197" s="402">
        <v>26.0</v>
      </c>
      <c r="F1197" s="402">
        <v>14.0</v>
      </c>
      <c r="G1197" s="402">
        <v>24.0</v>
      </c>
      <c r="H1197" s="402" t="s">
        <v>197</v>
      </c>
      <c r="I1197" s="402" t="s">
        <v>92</v>
      </c>
      <c r="J1197" s="211">
        <v>6.0</v>
      </c>
      <c r="K1197" s="214">
        <f t="shared" si="319"/>
        <v>0.8666666667</v>
      </c>
      <c r="L1197" s="219">
        <f t="shared" si="320"/>
        <v>3</v>
      </c>
    </row>
    <row r="1198" hidden="1" outlineLevel="1">
      <c r="A1198" s="403" t="s">
        <v>19</v>
      </c>
      <c r="B1198" s="404">
        <f>30*6</f>
        <v>180</v>
      </c>
      <c r="C1198" s="404">
        <f t="shared" si="318"/>
        <v>188</v>
      </c>
      <c r="D1198" s="405">
        <v>45.0</v>
      </c>
      <c r="E1198" s="432">
        <v>34.0</v>
      </c>
      <c r="F1198" s="405" t="s">
        <v>92</v>
      </c>
      <c r="G1198" s="405">
        <v>30.0</v>
      </c>
      <c r="H1198" s="405">
        <v>34.0</v>
      </c>
      <c r="I1198" s="405">
        <v>36.0</v>
      </c>
      <c r="J1198" s="211">
        <v>9.0</v>
      </c>
      <c r="K1198" s="214">
        <f t="shared" si="319"/>
        <v>1.044444444</v>
      </c>
      <c r="L1198" s="219">
        <f t="shared" si="320"/>
        <v>5</v>
      </c>
    </row>
    <row r="1199" hidden="1" outlineLevel="1">
      <c r="A1199" s="400" t="s">
        <v>120</v>
      </c>
      <c r="B1199" s="401">
        <f t="shared" ref="B1199:B1200" si="321">26*5</f>
        <v>130</v>
      </c>
      <c r="C1199" s="401">
        <f t="shared" si="318"/>
        <v>106</v>
      </c>
      <c r="D1199" s="402">
        <v>17.0</v>
      </c>
      <c r="E1199" s="402">
        <v>26.0</v>
      </c>
      <c r="F1199" s="402">
        <v>25.0</v>
      </c>
      <c r="G1199" s="402">
        <v>4.0</v>
      </c>
      <c r="H1199" s="402" t="s">
        <v>92</v>
      </c>
      <c r="I1199" s="402">
        <v>17.0</v>
      </c>
      <c r="J1199" s="211">
        <v>17.0</v>
      </c>
      <c r="K1199" s="214">
        <f t="shared" si="319"/>
        <v>0.8153846154</v>
      </c>
      <c r="L1199" s="219">
        <f t="shared" si="320"/>
        <v>3</v>
      </c>
    </row>
    <row r="1200" hidden="1" outlineLevel="1">
      <c r="A1200" s="282" t="s">
        <v>22</v>
      </c>
      <c r="B1200" s="404">
        <f t="shared" si="321"/>
        <v>130</v>
      </c>
      <c r="C1200" s="404">
        <f t="shared" si="318"/>
        <v>130</v>
      </c>
      <c r="D1200" s="405">
        <v>28.0</v>
      </c>
      <c r="E1200" s="405">
        <v>21.0</v>
      </c>
      <c r="F1200" s="405">
        <v>30.0</v>
      </c>
      <c r="G1200" s="405" t="s">
        <v>92</v>
      </c>
      <c r="H1200" s="405">
        <v>7.0</v>
      </c>
      <c r="I1200" s="405">
        <v>25.0</v>
      </c>
      <c r="J1200" s="211">
        <v>19.0</v>
      </c>
      <c r="K1200" s="214">
        <f t="shared" si="319"/>
        <v>1</v>
      </c>
      <c r="L1200" s="219">
        <f t="shared" si="320"/>
        <v>5</v>
      </c>
    </row>
    <row r="1201" hidden="1" outlineLevel="1">
      <c r="A1201" s="283" t="s">
        <v>129</v>
      </c>
      <c r="B1201" s="401">
        <f t="shared" ref="B1201:B1202" si="322">30*5</f>
        <v>150</v>
      </c>
      <c r="C1201" s="401">
        <f t="shared" si="318"/>
        <v>151</v>
      </c>
      <c r="D1201" s="402">
        <v>29.0</v>
      </c>
      <c r="E1201" s="402">
        <v>28.0</v>
      </c>
      <c r="F1201" s="402">
        <v>32.0</v>
      </c>
      <c r="G1201" s="402">
        <v>26.0</v>
      </c>
      <c r="H1201" s="402">
        <v>36.0</v>
      </c>
      <c r="I1201" s="402" t="s">
        <v>92</v>
      </c>
      <c r="J1201" s="211" t="s">
        <v>92</v>
      </c>
      <c r="K1201" s="214">
        <f t="shared" si="319"/>
        <v>1.006666667</v>
      </c>
      <c r="L1201" s="219">
        <f t="shared" si="320"/>
        <v>5</v>
      </c>
    </row>
    <row r="1202" hidden="1" outlineLevel="1">
      <c r="A1202" s="284" t="s">
        <v>13</v>
      </c>
      <c r="B1202" s="404">
        <f t="shared" si="322"/>
        <v>150</v>
      </c>
      <c r="C1202" s="404">
        <f t="shared" si="318"/>
        <v>147</v>
      </c>
      <c r="D1202" s="405">
        <v>38.0</v>
      </c>
      <c r="E1202" s="405">
        <v>31.0</v>
      </c>
      <c r="F1202" s="405">
        <v>37.0</v>
      </c>
      <c r="G1202" s="405">
        <v>29.0</v>
      </c>
      <c r="H1202" s="405">
        <v>12.0</v>
      </c>
      <c r="I1202" s="405" t="s">
        <v>92</v>
      </c>
      <c r="J1202" s="211" t="s">
        <v>92</v>
      </c>
      <c r="K1202" s="214">
        <f t="shared" si="319"/>
        <v>0.98</v>
      </c>
      <c r="L1202" s="219">
        <f t="shared" si="320"/>
        <v>4</v>
      </c>
    </row>
    <row r="1203" hidden="1" outlineLevel="1">
      <c r="A1203" s="283" t="s">
        <v>428</v>
      </c>
      <c r="B1203" s="401">
        <f>30*3+15+15</f>
        <v>120</v>
      </c>
      <c r="C1203" s="401">
        <f t="shared" si="318"/>
        <v>100</v>
      </c>
      <c r="D1203" s="402">
        <v>27.0</v>
      </c>
      <c r="E1203" s="402" t="s">
        <v>92</v>
      </c>
      <c r="F1203" s="402" t="s">
        <v>92</v>
      </c>
      <c r="G1203" s="402">
        <v>19.0</v>
      </c>
      <c r="H1203" s="402">
        <v>29.0</v>
      </c>
      <c r="I1203" s="402">
        <v>14.0</v>
      </c>
      <c r="J1203" s="211">
        <v>11.0</v>
      </c>
      <c r="K1203" s="214">
        <f t="shared" si="319"/>
        <v>0.8333333333</v>
      </c>
      <c r="L1203" s="219">
        <f t="shared" si="320"/>
        <v>3</v>
      </c>
    </row>
    <row r="1204" hidden="1" outlineLevel="1"/>
    <row r="1205" hidden="1" outlineLevel="1">
      <c r="A1205" s="195" t="s">
        <v>135</v>
      </c>
      <c r="I1205" s="195"/>
    </row>
    <row r="1206" hidden="1" outlineLevel="1">
      <c r="A1206" s="196" t="s">
        <v>187</v>
      </c>
      <c r="B1206" s="225" t="s">
        <v>218</v>
      </c>
      <c r="C1206" s="225" t="s">
        <v>219</v>
      </c>
      <c r="D1206" s="225" t="s">
        <v>139</v>
      </c>
      <c r="E1206" s="225" t="s">
        <v>140</v>
      </c>
      <c r="F1206" s="225" t="s">
        <v>141</v>
      </c>
      <c r="G1206" s="226" t="s">
        <v>143</v>
      </c>
      <c r="H1206" s="226" t="s">
        <v>221</v>
      </c>
    </row>
    <row r="1207" hidden="1" outlineLevel="1">
      <c r="A1207" s="415"/>
      <c r="B1207" s="325"/>
      <c r="C1207" s="325"/>
      <c r="D1207" s="325"/>
      <c r="E1207" s="325"/>
      <c r="F1207" s="325"/>
      <c r="G1207" s="325"/>
      <c r="H1207" s="325"/>
    </row>
    <row r="1208" hidden="1" outlineLevel="1">
      <c r="A1208" s="403" t="s">
        <v>194</v>
      </c>
      <c r="B1208" s="405">
        <v>153.0</v>
      </c>
      <c r="C1208" s="405">
        <v>149.0</v>
      </c>
      <c r="D1208" s="410">
        <f t="shared" ref="D1208:D1215" si="323">B1208-C1208</f>
        <v>4</v>
      </c>
      <c r="E1208" s="411">
        <f t="shared" ref="E1208:E1215" si="324">IFERROR(C1208/B1208,"")</f>
        <v>0.9738562092</v>
      </c>
      <c r="F1208" s="412">
        <v>0.0019444444444444444</v>
      </c>
      <c r="G1208" s="240">
        <f t="shared" ref="G1208:G1215" si="325">IFERROR((IF(E1208="",(0),IF(E1208&gt;=0.98,(5),IF(E1208&gt;=0.95,(4.5),IF(E1208&gt;=0.9,(4),IF(E1208&gt;=0.8,(3),IF(E1208&lt;=0.69,(1)))))))),"")</f>
        <v>4.5</v>
      </c>
      <c r="H1208" s="240">
        <f>ROUND(
IF(F1208="",
0,
MAX(1, 5 - MAX(0, (F1208 - TIME(0,4,0)) / TIME(0,1,0) * 0.5))
),
2
)
</f>
        <v>5</v>
      </c>
    </row>
    <row r="1209" hidden="1" outlineLevel="1">
      <c r="A1209" s="400" t="s">
        <v>118</v>
      </c>
      <c r="B1209" s="402">
        <v>94.0</v>
      </c>
      <c r="C1209" s="402">
        <v>91.0</v>
      </c>
      <c r="D1209" s="136">
        <f t="shared" si="323"/>
        <v>3</v>
      </c>
      <c r="E1209" s="408">
        <f t="shared" si="324"/>
        <v>0.9680851064</v>
      </c>
      <c r="F1209" s="409">
        <v>0.003611111111111111</v>
      </c>
      <c r="G1209" s="240">
        <f t="shared" si="325"/>
        <v>4.5</v>
      </c>
      <c r="H1209" s="240">
        <f>ROUND(
IF(F1209="",
0,
MAX(1, 5 - MAX(0, (F1209 - TIME(0,5,0)) / TIME(0,1,0) * 0.5))
),
2
)
</f>
        <v>4.9</v>
      </c>
    </row>
    <row r="1210" hidden="1" outlineLevel="1">
      <c r="A1210" s="403" t="s">
        <v>19</v>
      </c>
      <c r="B1210" s="405">
        <v>196.0</v>
      </c>
      <c r="C1210" s="405">
        <v>188.0</v>
      </c>
      <c r="D1210" s="410">
        <f t="shared" si="323"/>
        <v>8</v>
      </c>
      <c r="E1210" s="411">
        <f t="shared" si="324"/>
        <v>0.9591836735</v>
      </c>
      <c r="F1210" s="412">
        <v>0.003449074074074074</v>
      </c>
      <c r="G1210" s="240">
        <f t="shared" si="325"/>
        <v>4.5</v>
      </c>
      <c r="H1210" s="240">
        <f>ROUND(
IF(F1210="",
0,
MAX(1, 5 - MAX(0, (F1210 - TIME(0,4,0)) / TIME(0,1,0) * 0.5))
),
2
)
</f>
        <v>4.52</v>
      </c>
    </row>
    <row r="1211" hidden="1" outlineLevel="1">
      <c r="A1211" s="423" t="s">
        <v>120</v>
      </c>
      <c r="B1211" s="402">
        <v>110.0</v>
      </c>
      <c r="C1211" s="402">
        <v>106.0</v>
      </c>
      <c r="D1211" s="136">
        <f t="shared" si="323"/>
        <v>4</v>
      </c>
      <c r="E1211" s="408">
        <f t="shared" si="324"/>
        <v>0.9636363636</v>
      </c>
      <c r="F1211" s="409">
        <v>0.0033912037037037036</v>
      </c>
      <c r="G1211" s="240">
        <f t="shared" si="325"/>
        <v>4.5</v>
      </c>
      <c r="H1211" s="240">
        <f>ROUND(
IF(F1211="",
0,
MAX(1, 5 - MAX(0, (F1211 - TIME(0,5,0)) / TIME(0,1,0) * 0.5))
),
2
)
</f>
        <v>5</v>
      </c>
    </row>
    <row r="1212" hidden="1" outlineLevel="1">
      <c r="A1212" s="424" t="s">
        <v>22</v>
      </c>
      <c r="B1212" s="405">
        <v>136.0</v>
      </c>
      <c r="C1212" s="405">
        <v>130.0</v>
      </c>
      <c r="D1212" s="410">
        <f t="shared" si="323"/>
        <v>6</v>
      </c>
      <c r="E1212" s="411">
        <f t="shared" si="324"/>
        <v>0.9558823529</v>
      </c>
      <c r="F1212" s="412">
        <v>0.002523148148148148</v>
      </c>
      <c r="G1212" s="240">
        <f t="shared" si="325"/>
        <v>4.5</v>
      </c>
      <c r="H1212" s="240">
        <f>ROUND(
IF(F1212="",
0,
MAX(1, 5 - MAX(0, (F1212 - TIME(0,4,0)) / TIME(0,1,0) * 0.5))
),
2
)
</f>
        <v>5</v>
      </c>
    </row>
    <row r="1213" hidden="1" outlineLevel="1">
      <c r="A1213" s="283" t="s">
        <v>129</v>
      </c>
      <c r="B1213" s="402">
        <v>195.0</v>
      </c>
      <c r="C1213" s="402">
        <v>158.0</v>
      </c>
      <c r="D1213" s="136">
        <f t="shared" si="323"/>
        <v>37</v>
      </c>
      <c r="E1213" s="408">
        <f t="shared" si="324"/>
        <v>0.8102564103</v>
      </c>
      <c r="F1213" s="409">
        <v>0.0043287037037037035</v>
      </c>
      <c r="G1213" s="240">
        <f t="shared" si="325"/>
        <v>3</v>
      </c>
      <c r="H1213" s="240">
        <f t="shared" ref="H1213:H1215" si="326">ROUND(
IF(F1213="",
0,
MAX(1, 5 - MAX(0, (F1213 - TIME(0,5,0)) / TIME(0,1,0) * 0.5))
),
2
)
</f>
        <v>4.38</v>
      </c>
    </row>
    <row r="1214" hidden="1" outlineLevel="1">
      <c r="A1214" s="428" t="s">
        <v>13</v>
      </c>
      <c r="B1214" s="405">
        <v>151.0</v>
      </c>
      <c r="C1214" s="405">
        <v>147.0</v>
      </c>
      <c r="D1214" s="410">
        <f t="shared" si="323"/>
        <v>4</v>
      </c>
      <c r="E1214" s="411">
        <f t="shared" si="324"/>
        <v>0.9735099338</v>
      </c>
      <c r="F1214" s="412">
        <v>0.003703703703703704</v>
      </c>
      <c r="G1214" s="240">
        <f t="shared" si="325"/>
        <v>4.5</v>
      </c>
      <c r="H1214" s="240">
        <f t="shared" si="326"/>
        <v>4.83</v>
      </c>
    </row>
    <row r="1215" hidden="1" outlineLevel="1">
      <c r="A1215" s="283" t="s">
        <v>428</v>
      </c>
      <c r="B1215" s="402">
        <v>101.0</v>
      </c>
      <c r="C1215" s="402">
        <v>100.0</v>
      </c>
      <c r="D1215" s="136">
        <f t="shared" si="323"/>
        <v>1</v>
      </c>
      <c r="E1215" s="408">
        <f t="shared" si="324"/>
        <v>0.9900990099</v>
      </c>
      <c r="F1215" s="409">
        <v>0.004363425925925926</v>
      </c>
      <c r="G1215" s="240">
        <f t="shared" si="325"/>
        <v>5</v>
      </c>
      <c r="H1215" s="240">
        <f t="shared" si="326"/>
        <v>4.36</v>
      </c>
    </row>
    <row r="1216" hidden="1" outlineLevel="1"/>
    <row r="1217" hidden="1" outlineLevel="1">
      <c r="A1217" s="195" t="s">
        <v>239</v>
      </c>
    </row>
    <row r="1218" hidden="1" outlineLevel="1">
      <c r="A1218" s="260" t="s">
        <v>240</v>
      </c>
      <c r="B1218" s="262" t="s">
        <v>241</v>
      </c>
      <c r="C1218" s="264" t="s">
        <v>242</v>
      </c>
      <c r="D1218" s="264" t="s">
        <v>243</v>
      </c>
      <c r="E1218" s="265" t="s">
        <v>244</v>
      </c>
      <c r="F1218" s="267" t="s">
        <v>247</v>
      </c>
      <c r="G1218" s="268"/>
    </row>
    <row r="1219" hidden="1" outlineLevel="1">
      <c r="A1219" s="275" t="s">
        <v>25</v>
      </c>
      <c r="B1219" s="276">
        <f t="shared" ref="B1219:B1226" si="327">(C1219*0.3)+(D1219*0.1)</f>
        <v>0.4</v>
      </c>
      <c r="C1219" s="272">
        <v>1.0</v>
      </c>
      <c r="D1219" s="272">
        <v>1.0</v>
      </c>
      <c r="E1219" s="277">
        <f t="shared" ref="E1219:E1226" si="328">(L1196+G1208+H1208)/15*0.3</f>
        <v>0.27</v>
      </c>
      <c r="F1219" s="274">
        <f t="shared" ref="F1219:F1226" si="329">(E1219/30%)*10</f>
        <v>9</v>
      </c>
      <c r="G1219" s="268"/>
      <c r="H1219" s="268"/>
      <c r="I1219" s="268"/>
      <c r="J1219" s="268"/>
    </row>
    <row r="1220" hidden="1" outlineLevel="1">
      <c r="A1220" s="278" t="s">
        <v>4</v>
      </c>
      <c r="B1220" s="279">
        <f t="shared" si="327"/>
        <v>0.4</v>
      </c>
      <c r="C1220" s="272">
        <v>1.0</v>
      </c>
      <c r="D1220" s="272">
        <v>1.0</v>
      </c>
      <c r="E1220" s="281">
        <f t="shared" si="328"/>
        <v>0.248</v>
      </c>
      <c r="F1220" s="274">
        <f t="shared" si="329"/>
        <v>8.266666667</v>
      </c>
      <c r="G1220" s="268"/>
      <c r="H1220" s="268"/>
      <c r="I1220" s="268"/>
      <c r="J1220" s="268"/>
    </row>
    <row r="1221" hidden="1" outlineLevel="1">
      <c r="A1221" s="275" t="s">
        <v>19</v>
      </c>
      <c r="B1221" s="276">
        <f t="shared" si="327"/>
        <v>0.4</v>
      </c>
      <c r="C1221" s="272">
        <v>1.0</v>
      </c>
      <c r="D1221" s="272">
        <v>1.0</v>
      </c>
      <c r="E1221" s="277">
        <f t="shared" si="328"/>
        <v>0.2804</v>
      </c>
      <c r="F1221" s="274">
        <f t="shared" si="329"/>
        <v>9.346666667</v>
      </c>
      <c r="G1221" s="268"/>
      <c r="H1221" s="268"/>
      <c r="I1221" s="268"/>
      <c r="J1221" s="268"/>
    </row>
    <row r="1222" hidden="1" outlineLevel="1">
      <c r="A1222" s="278" t="s">
        <v>30</v>
      </c>
      <c r="B1222" s="279">
        <f t="shared" si="327"/>
        <v>0.39633</v>
      </c>
      <c r="C1222" s="272">
        <v>1.0</v>
      </c>
      <c r="D1222" s="272">
        <v>0.9633</v>
      </c>
      <c r="E1222" s="281">
        <f t="shared" si="328"/>
        <v>0.25</v>
      </c>
      <c r="F1222" s="274">
        <f t="shared" si="329"/>
        <v>8.333333333</v>
      </c>
      <c r="G1222" s="268"/>
      <c r="H1222" s="268"/>
      <c r="I1222" s="268"/>
      <c r="J1222" s="268"/>
    </row>
    <row r="1223" hidden="1" outlineLevel="1">
      <c r="A1223" s="301" t="s">
        <v>31</v>
      </c>
      <c r="B1223" s="276">
        <f t="shared" si="327"/>
        <v>0.31</v>
      </c>
      <c r="C1223" s="272">
        <v>0.7</v>
      </c>
      <c r="D1223" s="272">
        <v>1.0</v>
      </c>
      <c r="E1223" s="277">
        <f t="shared" si="328"/>
        <v>0.29</v>
      </c>
      <c r="F1223" s="274">
        <f t="shared" si="329"/>
        <v>9.666666667</v>
      </c>
      <c r="G1223" s="268"/>
      <c r="H1223" s="268"/>
      <c r="I1223" s="268"/>
      <c r="J1223" s="268"/>
    </row>
    <row r="1224" hidden="1" outlineLevel="1">
      <c r="A1224" s="284" t="s">
        <v>129</v>
      </c>
      <c r="B1224" s="279">
        <f t="shared" si="327"/>
        <v>0.4</v>
      </c>
      <c r="C1224" s="272">
        <v>1.0</v>
      </c>
      <c r="D1224" s="272">
        <v>1.0</v>
      </c>
      <c r="E1224" s="281">
        <f t="shared" si="328"/>
        <v>0.2476</v>
      </c>
      <c r="F1224" s="274">
        <f t="shared" si="329"/>
        <v>8.253333333</v>
      </c>
      <c r="G1224" s="268"/>
      <c r="H1224" s="268"/>
      <c r="I1224" s="268"/>
      <c r="J1224" s="268"/>
    </row>
    <row r="1225" hidden="1" outlineLevel="1">
      <c r="A1225" s="283" t="s">
        <v>13</v>
      </c>
      <c r="B1225" s="276">
        <f t="shared" si="327"/>
        <v>0.4</v>
      </c>
      <c r="C1225" s="272">
        <v>1.0</v>
      </c>
      <c r="D1225" s="272">
        <v>1.0</v>
      </c>
      <c r="E1225" s="277">
        <f t="shared" si="328"/>
        <v>0.2666</v>
      </c>
      <c r="F1225" s="274">
        <f t="shared" si="329"/>
        <v>8.886666667</v>
      </c>
      <c r="G1225" s="268"/>
      <c r="H1225" s="268"/>
      <c r="I1225" s="268"/>
      <c r="J1225" s="268"/>
    </row>
    <row r="1226" hidden="1" outlineLevel="1">
      <c r="A1226" s="284" t="s">
        <v>428</v>
      </c>
      <c r="B1226" s="279">
        <f t="shared" si="327"/>
        <v>0.4</v>
      </c>
      <c r="C1226" s="272">
        <v>1.0</v>
      </c>
      <c r="D1226" s="272">
        <v>1.0</v>
      </c>
      <c r="E1226" s="281">
        <f t="shared" si="328"/>
        <v>0.2472</v>
      </c>
      <c r="F1226" s="274">
        <f t="shared" si="329"/>
        <v>8.24</v>
      </c>
      <c r="G1226" s="268"/>
      <c r="H1226" s="268"/>
      <c r="I1226" s="268"/>
      <c r="J1226" s="268"/>
    </row>
    <row r="1227" hidden="1" outlineLevel="1">
      <c r="A1227" s="286"/>
      <c r="B1227" s="286"/>
      <c r="C1227" s="287"/>
      <c r="D1227" s="288"/>
      <c r="E1227" s="289"/>
      <c r="F1227" s="268"/>
      <c r="G1227" s="268"/>
      <c r="H1227" s="268"/>
      <c r="I1227" s="268"/>
      <c r="J1227" s="268"/>
    </row>
    <row r="1228">
      <c r="A1228" s="192" t="s">
        <v>1432</v>
      </c>
    </row>
    <row r="1229" outlineLevel="1">
      <c r="A1229" s="195" t="s">
        <v>186</v>
      </c>
    </row>
    <row r="1230" outlineLevel="1">
      <c r="A1230" s="196" t="s">
        <v>187</v>
      </c>
      <c r="B1230" s="197" t="s">
        <v>77</v>
      </c>
      <c r="C1230" s="197" t="s">
        <v>189</v>
      </c>
      <c r="D1230" s="198">
        <v>46237.0</v>
      </c>
      <c r="E1230" s="198">
        <v>46238.0</v>
      </c>
      <c r="F1230" s="198">
        <v>46239.0</v>
      </c>
      <c r="G1230" s="198">
        <v>46240.0</v>
      </c>
      <c r="H1230" s="198">
        <v>46241.0</v>
      </c>
      <c r="I1230" s="198">
        <v>46242.0</v>
      </c>
      <c r="J1230" s="198">
        <v>46243.0</v>
      </c>
      <c r="K1230" s="199" t="s">
        <v>190</v>
      </c>
      <c r="L1230" s="201" t="s">
        <v>191</v>
      </c>
    </row>
    <row r="1231" outlineLevel="1">
      <c r="A1231" s="415"/>
      <c r="B1231" s="325"/>
      <c r="C1231" s="325"/>
      <c r="D1231" s="205" t="s">
        <v>192</v>
      </c>
      <c r="E1231" s="205" t="str">
        <f t="shared" ref="E1231:J1231" si="330">text(E1230,"ddd")</f>
        <v>Tue</v>
      </c>
      <c r="F1231" s="205" t="str">
        <f t="shared" si="330"/>
        <v>Wed</v>
      </c>
      <c r="G1231" s="205" t="str">
        <f t="shared" si="330"/>
        <v>Thu</v>
      </c>
      <c r="H1231" s="205" t="str">
        <f t="shared" si="330"/>
        <v>Fri</v>
      </c>
      <c r="I1231" s="205" t="str">
        <f t="shared" si="330"/>
        <v>Sat</v>
      </c>
      <c r="J1231" s="205" t="str">
        <f t="shared" si="330"/>
        <v>Sun</v>
      </c>
      <c r="K1231" s="206"/>
      <c r="L1231" s="203"/>
    </row>
    <row r="1232" outlineLevel="1">
      <c r="A1232" s="403" t="s">
        <v>194</v>
      </c>
      <c r="B1232" s="404">
        <f>30*5</f>
        <v>150</v>
      </c>
      <c r="C1232" s="404">
        <f t="shared" ref="C1232:C1239" si="331">SUM(D1232:J1232)</f>
        <v>152</v>
      </c>
      <c r="D1232" s="405">
        <v>24.0</v>
      </c>
      <c r="E1232" s="405">
        <v>31.0</v>
      </c>
      <c r="F1232" s="405">
        <v>28.0</v>
      </c>
      <c r="G1232" s="405">
        <v>25.0</v>
      </c>
      <c r="H1232" s="405">
        <v>44.0</v>
      </c>
      <c r="I1232" s="405" t="s">
        <v>92</v>
      </c>
      <c r="J1232" s="211" t="s">
        <v>92</v>
      </c>
      <c r="K1232" s="214">
        <f t="shared" ref="K1232:K1239" si="332">iferror(C1232/B1232,"-")</f>
        <v>1.013333333</v>
      </c>
      <c r="L1232" s="219">
        <f t="shared" ref="L1232:L1239" si="333">(IF(K1232="",(0),IF(K1232&gt;=1,(5),IF(K1232&gt;=0.9,(4),IF(K1232&gt;=0.8,(3),IF(K1232&gt;=0.69,(2),IF(K1232&lt;=0.69,(1))))))))</f>
        <v>5</v>
      </c>
    </row>
    <row r="1233" outlineLevel="1">
      <c r="A1233" s="400" t="s">
        <v>118</v>
      </c>
      <c r="B1233" s="401">
        <f>30*3+15</f>
        <v>105</v>
      </c>
      <c r="C1233" s="401">
        <f t="shared" si="331"/>
        <v>116</v>
      </c>
      <c r="D1233" s="402">
        <v>29.0</v>
      </c>
      <c r="E1233" s="402">
        <v>21.0</v>
      </c>
      <c r="F1233" s="402">
        <v>24.0</v>
      </c>
      <c r="G1233" s="402">
        <v>14.0</v>
      </c>
      <c r="H1233" s="402">
        <v>28.0</v>
      </c>
      <c r="I1233" s="402" t="s">
        <v>92</v>
      </c>
      <c r="J1233" s="211" t="s">
        <v>92</v>
      </c>
      <c r="K1233" s="214">
        <f t="shared" si="332"/>
        <v>1.104761905</v>
      </c>
      <c r="L1233" s="219">
        <f t="shared" si="333"/>
        <v>5</v>
      </c>
    </row>
    <row r="1234" outlineLevel="1">
      <c r="A1234" s="403" t="s">
        <v>19</v>
      </c>
      <c r="B1234" s="404">
        <f>30*6</f>
        <v>180</v>
      </c>
      <c r="C1234" s="404">
        <f t="shared" si="331"/>
        <v>135</v>
      </c>
      <c r="D1234" s="405">
        <v>33.0</v>
      </c>
      <c r="E1234" s="432">
        <v>28.0</v>
      </c>
      <c r="F1234" s="405" t="s">
        <v>92</v>
      </c>
      <c r="G1234" s="405">
        <v>36.0</v>
      </c>
      <c r="H1234" s="405">
        <v>38.0</v>
      </c>
      <c r="I1234" s="405"/>
      <c r="J1234" s="211" t="s">
        <v>92</v>
      </c>
      <c r="K1234" s="214">
        <f t="shared" si="332"/>
        <v>0.75</v>
      </c>
      <c r="L1234" s="219">
        <f t="shared" si="333"/>
        <v>2</v>
      </c>
    </row>
    <row r="1235" outlineLevel="1">
      <c r="A1235" s="400" t="s">
        <v>120</v>
      </c>
      <c r="B1235" s="401">
        <f t="shared" ref="B1235:B1236" si="334">26*5</f>
        <v>130</v>
      </c>
      <c r="C1235" s="401">
        <f t="shared" si="331"/>
        <v>80</v>
      </c>
      <c r="D1235" s="402">
        <v>26.0</v>
      </c>
      <c r="E1235" s="402">
        <v>23.0</v>
      </c>
      <c r="F1235" s="402">
        <v>18.0</v>
      </c>
      <c r="G1235" s="402">
        <v>13.0</v>
      </c>
      <c r="H1235" s="402" t="s">
        <v>92</v>
      </c>
      <c r="I1235" s="402"/>
      <c r="J1235" s="211"/>
      <c r="K1235" s="214">
        <f t="shared" si="332"/>
        <v>0.6153846154</v>
      </c>
      <c r="L1235" s="219">
        <f t="shared" si="333"/>
        <v>1</v>
      </c>
    </row>
    <row r="1236" outlineLevel="1">
      <c r="A1236" s="282" t="s">
        <v>22</v>
      </c>
      <c r="B1236" s="404">
        <f t="shared" si="334"/>
        <v>130</v>
      </c>
      <c r="C1236" s="404">
        <f t="shared" si="331"/>
        <v>93</v>
      </c>
      <c r="D1236" s="405">
        <v>34.0</v>
      </c>
      <c r="E1236" s="405">
        <v>24.0</v>
      </c>
      <c r="F1236" s="405">
        <v>27.0</v>
      </c>
      <c r="G1236" s="405">
        <v>8.0</v>
      </c>
      <c r="H1236" s="405" t="s">
        <v>92</v>
      </c>
      <c r="I1236" s="405"/>
      <c r="J1236" s="211"/>
      <c r="K1236" s="214">
        <f t="shared" si="332"/>
        <v>0.7153846154</v>
      </c>
      <c r="L1236" s="219">
        <f t="shared" si="333"/>
        <v>2</v>
      </c>
    </row>
    <row r="1237" outlineLevel="1">
      <c r="A1237" s="283" t="s">
        <v>129</v>
      </c>
      <c r="B1237" s="401">
        <f t="shared" ref="B1237:B1238" si="335">30*5</f>
        <v>150</v>
      </c>
      <c r="C1237" s="401">
        <f t="shared" si="331"/>
        <v>169</v>
      </c>
      <c r="D1237" s="402">
        <v>33.0</v>
      </c>
      <c r="E1237" s="402">
        <v>36.0</v>
      </c>
      <c r="F1237" s="402">
        <v>32.0</v>
      </c>
      <c r="G1237" s="402">
        <v>41.0</v>
      </c>
      <c r="H1237" s="402">
        <v>27.0</v>
      </c>
      <c r="I1237" s="402" t="s">
        <v>92</v>
      </c>
      <c r="J1237" s="211" t="s">
        <v>92</v>
      </c>
      <c r="K1237" s="214">
        <f t="shared" si="332"/>
        <v>1.126666667</v>
      </c>
      <c r="L1237" s="219">
        <f t="shared" si="333"/>
        <v>5</v>
      </c>
    </row>
    <row r="1238" outlineLevel="1">
      <c r="A1238" s="284" t="s">
        <v>13</v>
      </c>
      <c r="B1238" s="404">
        <f t="shared" si="335"/>
        <v>150</v>
      </c>
      <c r="C1238" s="404">
        <f t="shared" si="331"/>
        <v>162</v>
      </c>
      <c r="D1238" s="405">
        <v>39.0</v>
      </c>
      <c r="E1238" s="405">
        <v>27.0</v>
      </c>
      <c r="F1238" s="405">
        <v>42.0</v>
      </c>
      <c r="G1238" s="405">
        <v>28.0</v>
      </c>
      <c r="H1238" s="405">
        <v>26.0</v>
      </c>
      <c r="I1238" s="405" t="s">
        <v>92</v>
      </c>
      <c r="J1238" s="211" t="s">
        <v>92</v>
      </c>
      <c r="K1238" s="214">
        <f t="shared" si="332"/>
        <v>1.08</v>
      </c>
      <c r="L1238" s="219">
        <f t="shared" si="333"/>
        <v>5</v>
      </c>
    </row>
    <row r="1239" outlineLevel="1">
      <c r="A1239" s="283" t="s">
        <v>428</v>
      </c>
      <c r="B1239" s="401">
        <f>30*3+15+15</f>
        <v>120</v>
      </c>
      <c r="C1239" s="401">
        <f t="shared" si="331"/>
        <v>87</v>
      </c>
      <c r="D1239" s="402">
        <v>18.0</v>
      </c>
      <c r="E1239" s="402">
        <v>14.0</v>
      </c>
      <c r="F1239" s="402" t="s">
        <v>92</v>
      </c>
      <c r="G1239" s="402">
        <v>26.0</v>
      </c>
      <c r="H1239" s="402">
        <v>29.0</v>
      </c>
      <c r="I1239" s="402"/>
      <c r="J1239" s="211"/>
      <c r="K1239" s="214">
        <f t="shared" si="332"/>
        <v>0.725</v>
      </c>
      <c r="L1239" s="219">
        <f t="shared" si="333"/>
        <v>2</v>
      </c>
    </row>
    <row r="1240" outlineLevel="1"/>
    <row r="1241" outlineLevel="1">
      <c r="A1241" s="195" t="s">
        <v>135</v>
      </c>
      <c r="I1241" s="195"/>
    </row>
    <row r="1242" outlineLevel="1">
      <c r="A1242" s="196" t="s">
        <v>187</v>
      </c>
      <c r="B1242" s="225" t="s">
        <v>218</v>
      </c>
      <c r="C1242" s="225" t="s">
        <v>219</v>
      </c>
      <c r="D1242" s="225" t="s">
        <v>139</v>
      </c>
      <c r="E1242" s="225" t="s">
        <v>140</v>
      </c>
      <c r="F1242" s="225" t="s">
        <v>141</v>
      </c>
      <c r="G1242" s="226" t="s">
        <v>143</v>
      </c>
      <c r="H1242" s="226" t="s">
        <v>221</v>
      </c>
    </row>
    <row r="1243" outlineLevel="1">
      <c r="A1243" s="415"/>
      <c r="B1243" s="325"/>
      <c r="C1243" s="325"/>
      <c r="D1243" s="325"/>
      <c r="E1243" s="325"/>
      <c r="F1243" s="325"/>
      <c r="G1243" s="325"/>
      <c r="H1243" s="325"/>
    </row>
    <row r="1244" outlineLevel="1">
      <c r="A1244" s="403" t="s">
        <v>194</v>
      </c>
      <c r="B1244" s="405">
        <v>153.0</v>
      </c>
      <c r="C1244" s="405">
        <v>149.0</v>
      </c>
      <c r="D1244" s="410">
        <f t="shared" ref="D1244:D1251" si="336">B1244-C1244</f>
        <v>4</v>
      </c>
      <c r="E1244" s="411">
        <f t="shared" ref="E1244:E1251" si="337">IFERROR(C1244/B1244,"")</f>
        <v>0.9738562092</v>
      </c>
      <c r="F1244" s="412">
        <v>0.0019444444444444444</v>
      </c>
      <c r="G1244" s="240">
        <f t="shared" ref="G1244:G1251" si="338">IFERROR((IF(E1244="",(0),IF(E1244&gt;=0.98,(5),IF(E1244&gt;=0.95,(4.5),IF(E1244&gt;=0.9,(4),IF(E1244&gt;=0.8,(3),IF(E1244&lt;=0.69,(1)))))))),"")</f>
        <v>4.5</v>
      </c>
      <c r="H1244" s="240">
        <f>ROUND(
IF(F1244="",
0,
MAX(1, 5 - MAX(0, (F1244 - TIME(0,4,0)) / TIME(0,1,0) * 0.5))
),
2
)
</f>
        <v>5</v>
      </c>
    </row>
    <row r="1245" outlineLevel="1">
      <c r="A1245" s="400" t="s">
        <v>118</v>
      </c>
      <c r="B1245" s="402">
        <v>94.0</v>
      </c>
      <c r="C1245" s="402">
        <v>91.0</v>
      </c>
      <c r="D1245" s="136">
        <f t="shared" si="336"/>
        <v>3</v>
      </c>
      <c r="E1245" s="408">
        <f t="shared" si="337"/>
        <v>0.9680851064</v>
      </c>
      <c r="F1245" s="409">
        <v>0.003611111111111111</v>
      </c>
      <c r="G1245" s="240">
        <f t="shared" si="338"/>
        <v>4.5</v>
      </c>
      <c r="H1245" s="240">
        <f>ROUND(
IF(F1245="",
0,
MAX(1, 5 - MAX(0, (F1245 - TIME(0,5,0)) / TIME(0,1,0) * 0.5))
),
2
)
</f>
        <v>4.9</v>
      </c>
    </row>
    <row r="1246" outlineLevel="1">
      <c r="A1246" s="403" t="s">
        <v>19</v>
      </c>
      <c r="B1246" s="405">
        <v>196.0</v>
      </c>
      <c r="C1246" s="405">
        <v>188.0</v>
      </c>
      <c r="D1246" s="410">
        <f t="shared" si="336"/>
        <v>8</v>
      </c>
      <c r="E1246" s="411">
        <f t="shared" si="337"/>
        <v>0.9591836735</v>
      </c>
      <c r="F1246" s="412">
        <v>0.003449074074074074</v>
      </c>
      <c r="G1246" s="240">
        <f t="shared" si="338"/>
        <v>4.5</v>
      </c>
      <c r="H1246" s="240">
        <f>ROUND(
IF(F1246="",
0,
MAX(1, 5 - MAX(0, (F1246 - TIME(0,4,0)) / TIME(0,1,0) * 0.5))
),
2
)
</f>
        <v>4.52</v>
      </c>
    </row>
    <row r="1247" outlineLevel="1">
      <c r="A1247" s="423" t="s">
        <v>120</v>
      </c>
      <c r="B1247" s="402">
        <v>110.0</v>
      </c>
      <c r="C1247" s="402">
        <v>106.0</v>
      </c>
      <c r="D1247" s="136">
        <f t="shared" si="336"/>
        <v>4</v>
      </c>
      <c r="E1247" s="408">
        <f t="shared" si="337"/>
        <v>0.9636363636</v>
      </c>
      <c r="F1247" s="409">
        <v>0.0033912037037037036</v>
      </c>
      <c r="G1247" s="240">
        <f t="shared" si="338"/>
        <v>4.5</v>
      </c>
      <c r="H1247" s="240">
        <f>ROUND(
IF(F1247="",
0,
MAX(1, 5 - MAX(0, (F1247 - TIME(0,5,0)) / TIME(0,1,0) * 0.5))
),
2
)
</f>
        <v>5</v>
      </c>
    </row>
    <row r="1248" outlineLevel="1">
      <c r="A1248" s="424" t="s">
        <v>22</v>
      </c>
      <c r="B1248" s="405">
        <v>136.0</v>
      </c>
      <c r="C1248" s="405">
        <v>130.0</v>
      </c>
      <c r="D1248" s="410">
        <f t="shared" si="336"/>
        <v>6</v>
      </c>
      <c r="E1248" s="411">
        <f t="shared" si="337"/>
        <v>0.9558823529</v>
      </c>
      <c r="F1248" s="412">
        <v>0.002523148148148148</v>
      </c>
      <c r="G1248" s="240">
        <f t="shared" si="338"/>
        <v>4.5</v>
      </c>
      <c r="H1248" s="240">
        <f>ROUND(
IF(F1248="",
0,
MAX(1, 5 - MAX(0, (F1248 - TIME(0,4,0)) / TIME(0,1,0) * 0.5))
),
2
)
</f>
        <v>5</v>
      </c>
    </row>
    <row r="1249" outlineLevel="1">
      <c r="A1249" s="283" t="s">
        <v>129</v>
      </c>
      <c r="B1249" s="402">
        <v>195.0</v>
      </c>
      <c r="C1249" s="402">
        <v>158.0</v>
      </c>
      <c r="D1249" s="136">
        <f t="shared" si="336"/>
        <v>37</v>
      </c>
      <c r="E1249" s="408">
        <f t="shared" si="337"/>
        <v>0.8102564103</v>
      </c>
      <c r="F1249" s="409">
        <v>0.0043287037037037035</v>
      </c>
      <c r="G1249" s="240">
        <f t="shared" si="338"/>
        <v>3</v>
      </c>
      <c r="H1249" s="240">
        <f t="shared" ref="H1249:H1251" si="339">ROUND(
IF(F1249="",
0,
MAX(1, 5 - MAX(0, (F1249 - TIME(0,5,0)) / TIME(0,1,0) * 0.5))
),
2
)
</f>
        <v>4.38</v>
      </c>
    </row>
    <row r="1250" outlineLevel="1">
      <c r="A1250" s="428" t="s">
        <v>13</v>
      </c>
      <c r="B1250" s="405">
        <v>151.0</v>
      </c>
      <c r="C1250" s="405">
        <v>147.0</v>
      </c>
      <c r="D1250" s="410">
        <f t="shared" si="336"/>
        <v>4</v>
      </c>
      <c r="E1250" s="411">
        <f t="shared" si="337"/>
        <v>0.9735099338</v>
      </c>
      <c r="F1250" s="412">
        <v>0.003703703703703704</v>
      </c>
      <c r="G1250" s="240">
        <f t="shared" si="338"/>
        <v>4.5</v>
      </c>
      <c r="H1250" s="240">
        <f t="shared" si="339"/>
        <v>4.83</v>
      </c>
    </row>
    <row r="1251" outlineLevel="1">
      <c r="A1251" s="283" t="s">
        <v>428</v>
      </c>
      <c r="B1251" s="402">
        <v>101.0</v>
      </c>
      <c r="C1251" s="402">
        <v>100.0</v>
      </c>
      <c r="D1251" s="136">
        <f t="shared" si="336"/>
        <v>1</v>
      </c>
      <c r="E1251" s="408">
        <f t="shared" si="337"/>
        <v>0.9900990099</v>
      </c>
      <c r="F1251" s="409">
        <v>0.004363425925925926</v>
      </c>
      <c r="G1251" s="240">
        <f t="shared" si="338"/>
        <v>5</v>
      </c>
      <c r="H1251" s="240">
        <f t="shared" si="339"/>
        <v>4.36</v>
      </c>
    </row>
    <row r="1252" outlineLevel="1"/>
    <row r="1253" outlineLevel="1">
      <c r="A1253" s="195" t="s">
        <v>239</v>
      </c>
    </row>
    <row r="1254" outlineLevel="1">
      <c r="A1254" s="260" t="s">
        <v>240</v>
      </c>
      <c r="B1254" s="262" t="s">
        <v>241</v>
      </c>
      <c r="C1254" s="264" t="s">
        <v>242</v>
      </c>
      <c r="D1254" s="264" t="s">
        <v>243</v>
      </c>
      <c r="E1254" s="265" t="s">
        <v>244</v>
      </c>
      <c r="F1254" s="267" t="s">
        <v>247</v>
      </c>
      <c r="G1254" s="268"/>
    </row>
    <row r="1255" outlineLevel="1">
      <c r="A1255" s="275" t="s">
        <v>25</v>
      </c>
      <c r="B1255" s="276">
        <f t="shared" ref="B1255:B1262" si="340">(C1255*0.3)+(D1255*0.1)</f>
        <v>0.4</v>
      </c>
      <c r="C1255" s="272">
        <v>1.0</v>
      </c>
      <c r="D1255" s="272">
        <v>1.0</v>
      </c>
      <c r="E1255" s="277">
        <f t="shared" ref="E1255:E1262" si="341">(L1232+G1244+H1244)/15*0.3</f>
        <v>0.29</v>
      </c>
      <c r="F1255" s="274">
        <f t="shared" ref="F1255:F1262" si="342">(E1255/30%)*10</f>
        <v>9.666666667</v>
      </c>
      <c r="G1255" s="268"/>
      <c r="H1255" s="268"/>
      <c r="I1255" s="268"/>
      <c r="J1255" s="268"/>
    </row>
    <row r="1256" outlineLevel="1">
      <c r="A1256" s="278" t="s">
        <v>4</v>
      </c>
      <c r="B1256" s="279">
        <f t="shared" si="340"/>
        <v>0.4</v>
      </c>
      <c r="C1256" s="272">
        <v>1.0</v>
      </c>
      <c r="D1256" s="272">
        <v>1.0</v>
      </c>
      <c r="E1256" s="281">
        <f t="shared" si="341"/>
        <v>0.288</v>
      </c>
      <c r="F1256" s="274">
        <f t="shared" si="342"/>
        <v>9.6</v>
      </c>
      <c r="G1256" s="268"/>
      <c r="H1256" s="268"/>
      <c r="I1256" s="268"/>
      <c r="J1256" s="268"/>
    </row>
    <row r="1257" outlineLevel="1">
      <c r="A1257" s="275" t="s">
        <v>19</v>
      </c>
      <c r="B1257" s="276">
        <f t="shared" si="340"/>
        <v>0.4</v>
      </c>
      <c r="C1257" s="272">
        <v>1.0</v>
      </c>
      <c r="D1257" s="272">
        <v>1.0</v>
      </c>
      <c r="E1257" s="277">
        <f t="shared" si="341"/>
        <v>0.2204</v>
      </c>
      <c r="F1257" s="274">
        <f t="shared" si="342"/>
        <v>7.346666667</v>
      </c>
      <c r="G1257" s="268"/>
      <c r="H1257" s="268"/>
      <c r="I1257" s="268"/>
      <c r="J1257" s="268"/>
    </row>
    <row r="1258" outlineLevel="1">
      <c r="A1258" s="278" t="s">
        <v>30</v>
      </c>
      <c r="B1258" s="279">
        <f t="shared" si="340"/>
        <v>0.39633</v>
      </c>
      <c r="C1258" s="272">
        <v>1.0</v>
      </c>
      <c r="D1258" s="272">
        <v>0.9633</v>
      </c>
      <c r="E1258" s="281">
        <f t="shared" si="341"/>
        <v>0.21</v>
      </c>
      <c r="F1258" s="274">
        <f t="shared" si="342"/>
        <v>7</v>
      </c>
      <c r="G1258" s="268"/>
      <c r="H1258" s="268"/>
      <c r="I1258" s="268"/>
      <c r="J1258" s="268"/>
    </row>
    <row r="1259" outlineLevel="1">
      <c r="A1259" s="301" t="s">
        <v>31</v>
      </c>
      <c r="B1259" s="276">
        <f t="shared" si="340"/>
        <v>0.31</v>
      </c>
      <c r="C1259" s="272">
        <v>0.7</v>
      </c>
      <c r="D1259" s="272">
        <v>1.0</v>
      </c>
      <c r="E1259" s="277">
        <f t="shared" si="341"/>
        <v>0.23</v>
      </c>
      <c r="F1259" s="274">
        <f t="shared" si="342"/>
        <v>7.666666667</v>
      </c>
      <c r="G1259" s="268"/>
      <c r="H1259" s="268"/>
      <c r="I1259" s="268"/>
      <c r="J1259" s="268"/>
    </row>
    <row r="1260" outlineLevel="1">
      <c r="A1260" s="284" t="s">
        <v>129</v>
      </c>
      <c r="B1260" s="279">
        <f t="shared" si="340"/>
        <v>0.4</v>
      </c>
      <c r="C1260" s="272">
        <v>1.0</v>
      </c>
      <c r="D1260" s="272">
        <v>1.0</v>
      </c>
      <c r="E1260" s="281">
        <f t="shared" si="341"/>
        <v>0.2476</v>
      </c>
      <c r="F1260" s="274">
        <f t="shared" si="342"/>
        <v>8.253333333</v>
      </c>
      <c r="G1260" s="268"/>
      <c r="H1260" s="268"/>
      <c r="I1260" s="268"/>
      <c r="J1260" s="268"/>
    </row>
    <row r="1261" outlineLevel="1">
      <c r="A1261" s="283" t="s">
        <v>13</v>
      </c>
      <c r="B1261" s="276">
        <f t="shared" si="340"/>
        <v>0.4</v>
      </c>
      <c r="C1261" s="272">
        <v>1.0</v>
      </c>
      <c r="D1261" s="272">
        <v>1.0</v>
      </c>
      <c r="E1261" s="277">
        <f t="shared" si="341"/>
        <v>0.2866</v>
      </c>
      <c r="F1261" s="274">
        <f t="shared" si="342"/>
        <v>9.553333333</v>
      </c>
      <c r="G1261" s="268"/>
      <c r="H1261" s="268"/>
      <c r="I1261" s="268"/>
      <c r="J1261" s="268"/>
    </row>
    <row r="1262" outlineLevel="1">
      <c r="A1262" s="284" t="s">
        <v>428</v>
      </c>
      <c r="B1262" s="279">
        <f t="shared" si="340"/>
        <v>0.4</v>
      </c>
      <c r="C1262" s="272">
        <v>1.0</v>
      </c>
      <c r="D1262" s="272">
        <v>1.0</v>
      </c>
      <c r="E1262" s="281">
        <f t="shared" si="341"/>
        <v>0.2272</v>
      </c>
      <c r="F1262" s="274">
        <f t="shared" si="342"/>
        <v>7.573333333</v>
      </c>
      <c r="G1262" s="268"/>
      <c r="H1262" s="268"/>
      <c r="I1262" s="268"/>
      <c r="J1262" s="268"/>
    </row>
    <row r="1263" outlineLevel="1">
      <c r="A1263" s="286"/>
      <c r="B1263" s="286"/>
      <c r="C1263" s="287"/>
      <c r="D1263" s="288"/>
      <c r="E1263" s="289"/>
      <c r="F1263" s="268"/>
      <c r="G1263" s="268"/>
      <c r="H1263" s="268"/>
      <c r="I1263" s="268"/>
      <c r="J1263" s="268"/>
    </row>
    <row r="1264">
      <c r="A1264" s="324"/>
      <c r="B1264" s="326"/>
      <c r="C1264" s="475"/>
      <c r="D1264" s="475"/>
      <c r="E1264" s="477"/>
      <c r="F1264" s="475"/>
      <c r="G1264" s="477"/>
      <c r="H1264" s="477"/>
      <c r="I1264" s="475"/>
    </row>
    <row r="1265">
      <c r="A1265" s="285"/>
      <c r="B1265" s="326"/>
      <c r="C1265" s="327"/>
      <c r="D1265" s="327"/>
      <c r="E1265" s="328"/>
      <c r="F1265" s="327"/>
      <c r="G1265" s="328"/>
      <c r="H1265" s="328"/>
      <c r="I1265" s="327"/>
    </row>
    <row r="1266">
      <c r="A1266" s="324"/>
      <c r="B1266" s="326"/>
      <c r="C1266" s="475"/>
      <c r="D1266" s="475"/>
      <c r="E1266" s="477"/>
      <c r="F1266" s="475"/>
      <c r="G1266" s="477"/>
      <c r="H1266" s="477"/>
      <c r="I1266" s="475"/>
    </row>
    <row r="1267">
      <c r="A1267" s="285"/>
      <c r="B1267" s="326"/>
      <c r="C1267" s="327"/>
      <c r="D1267" s="327"/>
      <c r="E1267" s="328"/>
      <c r="F1267" s="327"/>
      <c r="G1267" s="328"/>
      <c r="H1267" s="328"/>
      <c r="I1267" s="327"/>
    </row>
    <row r="1268">
      <c r="A1268" s="324"/>
      <c r="B1268" s="326"/>
      <c r="C1268" s="475"/>
      <c r="D1268" s="475"/>
      <c r="E1268" s="477"/>
      <c r="F1268" s="475"/>
      <c r="G1268" s="477"/>
      <c r="H1268" s="477"/>
      <c r="I1268" s="475"/>
    </row>
    <row r="1269">
      <c r="A1269" s="285"/>
      <c r="B1269" s="326"/>
      <c r="C1269" s="327"/>
      <c r="D1269" s="327"/>
      <c r="E1269" s="328"/>
      <c r="F1269" s="327"/>
      <c r="G1269" s="328"/>
      <c r="H1269" s="328"/>
      <c r="I1269" s="327"/>
    </row>
    <row r="1270">
      <c r="A1270" s="324"/>
      <c r="B1270" s="326"/>
      <c r="C1270" s="475"/>
      <c r="D1270" s="475"/>
      <c r="E1270" s="477"/>
      <c r="F1270" s="475"/>
      <c r="G1270" s="477"/>
      <c r="H1270" s="477"/>
      <c r="I1270" s="475"/>
    </row>
    <row r="1271">
      <c r="A1271" s="285"/>
      <c r="B1271" s="326"/>
      <c r="C1271" s="327"/>
      <c r="D1271" s="327"/>
      <c r="E1271" s="328"/>
      <c r="F1271" s="327"/>
      <c r="G1271" s="328"/>
      <c r="H1271" s="328"/>
      <c r="I1271" s="327"/>
    </row>
    <row r="1272">
      <c r="A1272" s="324"/>
      <c r="B1272" s="326"/>
      <c r="C1272" s="475"/>
      <c r="D1272" s="475"/>
      <c r="E1272" s="477"/>
      <c r="F1272" s="475"/>
      <c r="G1272" s="477"/>
      <c r="H1272" s="477"/>
      <c r="I1272" s="475"/>
    </row>
    <row r="1273">
      <c r="A1273" s="285"/>
      <c r="B1273" s="326"/>
      <c r="C1273" s="327"/>
      <c r="D1273" s="327"/>
      <c r="E1273" s="328"/>
      <c r="F1273" s="327"/>
      <c r="G1273" s="328"/>
      <c r="H1273" s="328"/>
      <c r="I1273" s="327"/>
    </row>
    <row r="1274">
      <c r="A1274" s="324"/>
      <c r="B1274" s="326"/>
      <c r="C1274" s="475"/>
      <c r="D1274" s="475"/>
      <c r="E1274" s="477"/>
      <c r="F1274" s="475"/>
      <c r="G1274" s="477"/>
      <c r="H1274" s="477"/>
      <c r="I1274" s="475"/>
    </row>
    <row r="1275">
      <c r="A1275" s="285"/>
      <c r="B1275" s="326"/>
      <c r="C1275" s="327"/>
      <c r="D1275" s="327"/>
      <c r="E1275" s="328"/>
      <c r="F1275" s="327"/>
      <c r="G1275" s="328"/>
      <c r="H1275" s="328"/>
      <c r="I1275" s="327"/>
    </row>
    <row r="1276">
      <c r="A1276" s="324"/>
      <c r="B1276" s="326"/>
      <c r="C1276" s="475"/>
      <c r="D1276" s="475"/>
      <c r="E1276" s="477"/>
      <c r="F1276" s="475"/>
      <c r="G1276" s="477"/>
      <c r="H1276" s="477"/>
      <c r="I1276" s="475"/>
    </row>
    <row r="1277">
      <c r="A1277" s="285"/>
      <c r="B1277" s="326"/>
      <c r="C1277" s="327"/>
      <c r="D1277" s="327"/>
      <c r="E1277" s="328"/>
      <c r="F1277" s="327"/>
      <c r="G1277" s="328"/>
      <c r="H1277" s="328"/>
      <c r="I1277" s="327"/>
    </row>
    <row r="1278">
      <c r="A1278" s="324"/>
      <c r="B1278" s="326"/>
      <c r="C1278" s="475"/>
      <c r="D1278" s="475"/>
      <c r="E1278" s="477"/>
      <c r="F1278" s="475"/>
      <c r="G1278" s="477"/>
      <c r="H1278" s="477"/>
      <c r="I1278" s="475"/>
    </row>
    <row r="1279">
      <c r="A1279" s="285"/>
      <c r="B1279" s="326"/>
      <c r="C1279" s="327"/>
      <c r="D1279" s="327"/>
      <c r="E1279" s="328"/>
      <c r="F1279" s="327"/>
      <c r="G1279" s="328"/>
      <c r="H1279" s="328"/>
      <c r="I1279" s="327"/>
    </row>
    <row r="1280">
      <c r="A1280" s="324"/>
      <c r="B1280" s="326"/>
      <c r="C1280" s="475"/>
      <c r="D1280" s="475"/>
      <c r="E1280" s="477"/>
      <c r="F1280" s="475"/>
      <c r="G1280" s="477"/>
      <c r="H1280" s="477"/>
      <c r="I1280" s="475"/>
    </row>
    <row r="1281">
      <c r="A1281" s="285"/>
      <c r="B1281" s="326"/>
      <c r="C1281" s="327"/>
      <c r="D1281" s="327"/>
      <c r="E1281" s="328"/>
      <c r="F1281" s="327"/>
      <c r="G1281" s="328"/>
      <c r="H1281" s="328"/>
      <c r="I1281" s="327"/>
    </row>
    <row r="1282">
      <c r="A1282" s="324"/>
      <c r="B1282" s="326"/>
      <c r="C1282" s="475"/>
      <c r="D1282" s="475"/>
      <c r="E1282" s="477"/>
      <c r="F1282" s="475"/>
      <c r="G1282" s="477"/>
      <c r="H1282" s="477"/>
      <c r="I1282" s="475"/>
    </row>
    <row r="1283">
      <c r="A1283" s="285"/>
      <c r="B1283" s="326"/>
      <c r="C1283" s="327"/>
      <c r="D1283" s="327"/>
      <c r="E1283" s="328"/>
      <c r="F1283" s="327"/>
      <c r="G1283" s="328"/>
      <c r="H1283" s="328"/>
      <c r="I1283" s="327"/>
    </row>
    <row r="1284">
      <c r="A1284" s="324"/>
      <c r="B1284" s="326"/>
      <c r="C1284" s="475"/>
      <c r="D1284" s="475"/>
      <c r="E1284" s="477"/>
      <c r="F1284" s="475"/>
      <c r="G1284" s="477"/>
      <c r="H1284" s="477"/>
      <c r="I1284" s="475"/>
    </row>
    <row r="1285">
      <c r="A1285" s="285"/>
      <c r="B1285" s="326"/>
      <c r="C1285" s="327"/>
      <c r="D1285" s="327"/>
      <c r="E1285" s="328"/>
      <c r="F1285" s="327"/>
      <c r="G1285" s="328"/>
      <c r="H1285" s="328"/>
      <c r="I1285" s="327"/>
    </row>
    <row r="1286">
      <c r="A1286" s="324"/>
      <c r="B1286" s="326"/>
      <c r="C1286" s="475"/>
      <c r="D1286" s="475"/>
      <c r="E1286" s="477"/>
      <c r="F1286" s="475"/>
      <c r="G1286" s="477"/>
      <c r="H1286" s="477"/>
      <c r="I1286" s="475"/>
    </row>
    <row r="1287">
      <c r="A1287" s="285"/>
      <c r="B1287" s="326"/>
      <c r="C1287" s="327"/>
      <c r="D1287" s="327"/>
      <c r="E1287" s="328"/>
      <c r="F1287" s="327"/>
      <c r="G1287" s="328"/>
      <c r="H1287" s="328"/>
      <c r="I1287" s="327"/>
    </row>
    <row r="1288">
      <c r="A1288" s="324"/>
      <c r="B1288" s="326"/>
      <c r="C1288" s="475"/>
      <c r="D1288" s="475"/>
      <c r="E1288" s="477"/>
      <c r="F1288" s="475"/>
      <c r="G1288" s="477"/>
      <c r="H1288" s="477"/>
      <c r="I1288" s="475"/>
    </row>
    <row r="1289">
      <c r="A1289" s="285"/>
      <c r="B1289" s="326"/>
      <c r="C1289" s="327"/>
      <c r="D1289" s="327"/>
      <c r="E1289" s="328"/>
      <c r="F1289" s="327"/>
      <c r="G1289" s="328"/>
      <c r="H1289" s="328"/>
      <c r="I1289" s="327"/>
    </row>
    <row r="1290">
      <c r="A1290" s="324"/>
      <c r="B1290" s="326"/>
      <c r="C1290" s="475"/>
      <c r="D1290" s="475"/>
      <c r="E1290" s="477"/>
      <c r="F1290" s="475"/>
      <c r="G1290" s="477"/>
      <c r="H1290" s="477"/>
      <c r="I1290" s="475"/>
    </row>
    <row r="1291">
      <c r="A1291" s="285"/>
      <c r="B1291" s="326"/>
      <c r="C1291" s="327"/>
      <c r="D1291" s="327"/>
      <c r="E1291" s="328"/>
      <c r="F1291" s="327"/>
      <c r="G1291" s="328"/>
      <c r="H1291" s="328"/>
      <c r="I1291" s="327"/>
    </row>
    <row r="1292">
      <c r="A1292" s="324"/>
      <c r="B1292" s="326"/>
      <c r="C1292" s="475"/>
      <c r="D1292" s="475"/>
      <c r="E1292" s="477"/>
      <c r="F1292" s="475"/>
      <c r="G1292" s="477"/>
      <c r="H1292" s="477"/>
      <c r="I1292" s="475"/>
    </row>
    <row r="1293">
      <c r="A1293" s="285"/>
      <c r="B1293" s="326"/>
      <c r="C1293" s="327"/>
      <c r="D1293" s="327"/>
      <c r="E1293" s="328"/>
      <c r="F1293" s="327"/>
      <c r="G1293" s="328"/>
      <c r="H1293" s="328"/>
      <c r="I1293" s="327"/>
    </row>
    <row r="1294">
      <c r="A1294" s="324"/>
      <c r="B1294" s="326"/>
      <c r="C1294" s="475"/>
      <c r="D1294" s="475"/>
      <c r="E1294" s="477"/>
      <c r="F1294" s="475"/>
      <c r="G1294" s="477"/>
      <c r="H1294" s="477"/>
      <c r="I1294" s="475"/>
    </row>
    <row r="1295">
      <c r="A1295" s="285"/>
      <c r="B1295" s="326"/>
      <c r="C1295" s="327"/>
      <c r="D1295" s="327"/>
      <c r="E1295" s="328"/>
      <c r="F1295" s="327"/>
      <c r="G1295" s="328"/>
      <c r="H1295" s="328"/>
      <c r="I1295" s="327"/>
    </row>
    <row r="1296">
      <c r="A1296" s="324"/>
      <c r="B1296" s="326"/>
      <c r="C1296" s="475"/>
      <c r="D1296" s="475"/>
      <c r="E1296" s="477"/>
      <c r="F1296" s="475"/>
      <c r="G1296" s="477"/>
      <c r="H1296" s="477"/>
      <c r="I1296" s="475"/>
    </row>
    <row r="1297">
      <c r="A1297" s="285"/>
      <c r="B1297" s="326"/>
      <c r="C1297" s="327"/>
      <c r="D1297" s="327"/>
      <c r="E1297" s="328"/>
      <c r="F1297" s="327"/>
      <c r="G1297" s="328"/>
      <c r="H1297" s="328"/>
      <c r="I1297" s="327"/>
    </row>
    <row r="1298">
      <c r="A1298" s="324"/>
      <c r="B1298" s="326"/>
      <c r="C1298" s="475"/>
      <c r="D1298" s="475"/>
      <c r="E1298" s="477"/>
      <c r="F1298" s="475"/>
      <c r="G1298" s="477"/>
      <c r="H1298" s="477"/>
      <c r="I1298" s="475"/>
    </row>
    <row r="1299">
      <c r="A1299" s="285"/>
      <c r="B1299" s="326"/>
      <c r="C1299" s="327"/>
      <c r="D1299" s="327"/>
      <c r="E1299" s="328"/>
      <c r="F1299" s="327"/>
      <c r="G1299" s="328"/>
      <c r="H1299" s="328"/>
      <c r="I1299" s="327"/>
    </row>
    <row r="1300">
      <c r="A1300" s="324"/>
      <c r="B1300" s="326"/>
      <c r="C1300" s="475"/>
      <c r="D1300" s="475"/>
      <c r="E1300" s="477"/>
      <c r="F1300" s="475"/>
      <c r="G1300" s="477"/>
      <c r="H1300" s="477"/>
      <c r="I1300" s="475"/>
    </row>
    <row r="1301">
      <c r="A1301" s="285"/>
      <c r="B1301" s="326"/>
      <c r="C1301" s="327"/>
      <c r="D1301" s="327"/>
      <c r="E1301" s="328"/>
      <c r="F1301" s="327"/>
      <c r="G1301" s="328"/>
      <c r="H1301" s="328"/>
      <c r="I1301" s="327"/>
    </row>
    <row r="1302">
      <c r="A1302" s="324"/>
      <c r="B1302" s="326"/>
      <c r="C1302" s="475"/>
      <c r="D1302" s="475"/>
      <c r="E1302" s="477"/>
      <c r="F1302" s="475"/>
      <c r="G1302" s="477"/>
      <c r="H1302" s="477"/>
      <c r="I1302" s="475"/>
    </row>
    <row r="1303">
      <c r="A1303" s="285"/>
      <c r="B1303" s="326"/>
      <c r="C1303" s="327"/>
      <c r="D1303" s="327"/>
      <c r="E1303" s="328"/>
      <c r="F1303" s="327"/>
      <c r="G1303" s="328"/>
      <c r="H1303" s="328"/>
      <c r="I1303" s="327"/>
    </row>
    <row r="1304">
      <c r="A1304" s="324"/>
      <c r="B1304" s="326"/>
      <c r="C1304" s="475"/>
      <c r="D1304" s="475"/>
      <c r="E1304" s="477"/>
      <c r="F1304" s="475"/>
      <c r="G1304" s="477"/>
      <c r="H1304" s="477"/>
      <c r="I1304" s="475"/>
    </row>
    <row r="1305">
      <c r="A1305" s="285"/>
      <c r="B1305" s="326"/>
      <c r="C1305" s="327"/>
      <c r="D1305" s="327"/>
      <c r="E1305" s="328"/>
      <c r="F1305" s="327"/>
      <c r="G1305" s="328"/>
      <c r="H1305" s="328"/>
      <c r="I1305" s="327"/>
    </row>
    <row r="1306">
      <c r="A1306" s="324"/>
      <c r="B1306" s="326"/>
      <c r="C1306" s="475"/>
      <c r="D1306" s="475"/>
      <c r="E1306" s="477"/>
      <c r="F1306" s="475"/>
      <c r="G1306" s="477"/>
      <c r="H1306" s="477"/>
      <c r="I1306" s="475"/>
    </row>
    <row r="1307">
      <c r="A1307" s="285"/>
      <c r="B1307" s="326"/>
      <c r="C1307" s="327"/>
      <c r="D1307" s="327"/>
      <c r="E1307" s="328"/>
      <c r="F1307" s="327"/>
      <c r="G1307" s="328"/>
      <c r="H1307" s="328"/>
      <c r="I1307" s="327"/>
    </row>
    <row r="1308">
      <c r="A1308" s="324"/>
      <c r="B1308" s="326"/>
      <c r="C1308" s="475"/>
      <c r="D1308" s="475"/>
      <c r="E1308" s="477"/>
      <c r="F1308" s="475"/>
      <c r="G1308" s="477"/>
      <c r="H1308" s="477"/>
      <c r="I1308" s="475"/>
    </row>
    <row r="1309">
      <c r="A1309" s="285"/>
      <c r="B1309" s="326"/>
      <c r="C1309" s="327"/>
      <c r="D1309" s="327"/>
      <c r="E1309" s="328"/>
      <c r="F1309" s="327"/>
      <c r="G1309" s="328"/>
      <c r="H1309" s="328"/>
      <c r="I1309" s="327"/>
    </row>
    <row r="1310">
      <c r="A1310" s="324"/>
      <c r="B1310" s="326"/>
      <c r="C1310" s="475"/>
      <c r="D1310" s="475"/>
      <c r="E1310" s="477"/>
      <c r="F1310" s="475"/>
      <c r="G1310" s="477"/>
      <c r="H1310" s="477"/>
      <c r="I1310" s="475"/>
    </row>
    <row r="1311">
      <c r="A1311" s="285"/>
      <c r="B1311" s="326"/>
      <c r="C1311" s="327"/>
      <c r="D1311" s="327"/>
      <c r="E1311" s="328"/>
      <c r="F1311" s="327"/>
      <c r="G1311" s="328"/>
      <c r="H1311" s="328"/>
      <c r="I1311" s="327"/>
    </row>
    <row r="1312">
      <c r="A1312" s="324"/>
      <c r="B1312" s="326"/>
      <c r="C1312" s="475"/>
      <c r="D1312" s="475"/>
      <c r="E1312" s="477"/>
      <c r="F1312" s="475"/>
      <c r="G1312" s="477"/>
      <c r="H1312" s="477"/>
      <c r="I1312" s="475"/>
    </row>
    <row r="1313">
      <c r="A1313" s="285"/>
      <c r="B1313" s="326"/>
      <c r="C1313" s="327"/>
      <c r="D1313" s="327"/>
      <c r="E1313" s="328"/>
      <c r="F1313" s="327"/>
      <c r="G1313" s="328"/>
      <c r="H1313" s="328"/>
      <c r="I1313" s="327"/>
    </row>
    <row r="1314">
      <c r="A1314" s="324"/>
      <c r="B1314" s="326"/>
      <c r="C1314" s="475"/>
      <c r="D1314" s="475"/>
      <c r="E1314" s="477"/>
      <c r="F1314" s="475"/>
      <c r="G1314" s="477"/>
      <c r="H1314" s="477"/>
      <c r="I1314" s="475"/>
    </row>
    <row r="1315">
      <c r="A1315" s="285"/>
      <c r="B1315" s="326"/>
      <c r="C1315" s="327"/>
      <c r="D1315" s="327"/>
      <c r="E1315" s="328"/>
      <c r="F1315" s="327"/>
      <c r="G1315" s="328"/>
      <c r="H1315" s="328"/>
      <c r="I1315" s="327"/>
    </row>
    <row r="1316">
      <c r="A1316" s="324"/>
      <c r="B1316" s="326"/>
      <c r="C1316" s="475"/>
      <c r="D1316" s="475"/>
      <c r="E1316" s="477"/>
      <c r="F1316" s="475"/>
      <c r="G1316" s="477"/>
      <c r="H1316" s="477"/>
      <c r="I1316" s="475"/>
    </row>
    <row r="1317">
      <c r="A1317" s="285"/>
      <c r="B1317" s="326"/>
      <c r="C1317" s="327"/>
      <c r="D1317" s="327"/>
      <c r="E1317" s="328"/>
      <c r="F1317" s="327"/>
      <c r="G1317" s="328"/>
      <c r="H1317" s="328"/>
      <c r="I1317" s="327"/>
    </row>
    <row r="1318">
      <c r="A1318" s="324"/>
      <c r="B1318" s="326"/>
      <c r="C1318" s="475"/>
      <c r="D1318" s="475"/>
      <c r="E1318" s="477"/>
      <c r="F1318" s="475"/>
      <c r="G1318" s="477"/>
      <c r="H1318" s="477"/>
      <c r="I1318" s="475"/>
    </row>
    <row r="1319">
      <c r="A1319" s="285"/>
      <c r="B1319" s="326"/>
      <c r="C1319" s="327"/>
      <c r="D1319" s="327"/>
      <c r="E1319" s="328"/>
      <c r="F1319" s="327"/>
      <c r="G1319" s="328"/>
      <c r="H1319" s="328"/>
      <c r="I1319" s="327"/>
    </row>
    <row r="1320">
      <c r="A1320" s="324"/>
      <c r="B1320" s="326"/>
      <c r="C1320" s="475"/>
      <c r="D1320" s="475"/>
      <c r="E1320" s="477"/>
      <c r="F1320" s="475"/>
      <c r="G1320" s="477"/>
      <c r="H1320" s="477"/>
      <c r="I1320" s="475"/>
    </row>
    <row r="1321">
      <c r="A1321" s="285"/>
      <c r="B1321" s="326"/>
      <c r="C1321" s="327"/>
      <c r="D1321" s="327"/>
      <c r="E1321" s="328"/>
      <c r="F1321" s="327"/>
      <c r="G1321" s="328"/>
      <c r="H1321" s="328"/>
      <c r="I1321" s="327"/>
    </row>
    <row r="1322">
      <c r="A1322" s="324"/>
      <c r="B1322" s="326"/>
      <c r="C1322" s="475"/>
      <c r="D1322" s="475"/>
      <c r="E1322" s="477"/>
      <c r="F1322" s="475"/>
      <c r="G1322" s="477"/>
      <c r="H1322" s="477"/>
      <c r="I1322" s="475"/>
    </row>
    <row r="1323">
      <c r="A1323" s="285"/>
      <c r="B1323" s="326"/>
      <c r="C1323" s="327"/>
      <c r="D1323" s="327"/>
      <c r="E1323" s="328"/>
      <c r="F1323" s="327"/>
      <c r="G1323" s="328"/>
      <c r="H1323" s="328"/>
      <c r="I1323" s="327"/>
    </row>
    <row r="1324">
      <c r="A1324" s="324"/>
      <c r="B1324" s="326"/>
      <c r="C1324" s="475"/>
      <c r="D1324" s="475"/>
      <c r="E1324" s="477"/>
      <c r="F1324" s="475"/>
      <c r="G1324" s="477"/>
      <c r="H1324" s="477"/>
      <c r="I1324" s="475"/>
    </row>
    <row r="1325">
      <c r="A1325" s="285"/>
      <c r="B1325" s="326"/>
      <c r="C1325" s="327"/>
      <c r="D1325" s="327"/>
      <c r="E1325" s="328"/>
      <c r="F1325" s="327"/>
      <c r="G1325" s="328"/>
      <c r="H1325" s="328"/>
      <c r="I1325" s="327"/>
    </row>
    <row r="1326">
      <c r="A1326" s="324"/>
      <c r="B1326" s="326"/>
      <c r="C1326" s="475"/>
      <c r="D1326" s="475"/>
      <c r="E1326" s="477"/>
      <c r="F1326" s="475"/>
      <c r="G1326" s="477"/>
      <c r="H1326" s="477"/>
      <c r="I1326" s="475"/>
    </row>
    <row r="1327">
      <c r="A1327" s="285"/>
      <c r="B1327" s="326"/>
      <c r="C1327" s="327"/>
      <c r="D1327" s="327"/>
      <c r="E1327" s="328"/>
      <c r="F1327" s="327"/>
      <c r="G1327" s="328"/>
      <c r="H1327" s="328"/>
      <c r="I1327" s="327"/>
    </row>
    <row r="1328">
      <c r="A1328" s="324"/>
      <c r="B1328" s="326"/>
      <c r="C1328" s="475"/>
      <c r="D1328" s="475"/>
      <c r="E1328" s="477"/>
      <c r="F1328" s="475"/>
      <c r="G1328" s="477"/>
      <c r="H1328" s="477"/>
      <c r="I1328" s="475"/>
    </row>
    <row r="1329">
      <c r="A1329" s="285"/>
      <c r="B1329" s="326"/>
      <c r="C1329" s="327"/>
      <c r="D1329" s="327"/>
      <c r="E1329" s="328"/>
      <c r="F1329" s="327"/>
      <c r="G1329" s="328"/>
      <c r="H1329" s="328"/>
      <c r="I1329" s="327"/>
    </row>
    <row r="1330">
      <c r="A1330" s="324"/>
      <c r="B1330" s="326"/>
      <c r="C1330" s="475"/>
      <c r="D1330" s="475"/>
      <c r="E1330" s="477"/>
      <c r="F1330" s="475"/>
      <c r="G1330" s="477"/>
      <c r="H1330" s="477"/>
      <c r="I1330" s="475"/>
    </row>
    <row r="1331">
      <c r="A1331" s="285"/>
      <c r="B1331" s="326"/>
      <c r="C1331" s="327"/>
      <c r="D1331" s="327"/>
      <c r="E1331" s="328"/>
      <c r="F1331" s="327"/>
      <c r="G1331" s="328"/>
      <c r="H1331" s="328"/>
      <c r="I1331" s="327"/>
    </row>
    <row r="1332">
      <c r="A1332" s="324"/>
      <c r="B1332" s="326"/>
      <c r="C1332" s="475"/>
      <c r="D1332" s="475"/>
      <c r="E1332" s="477"/>
      <c r="F1332" s="475"/>
      <c r="G1332" s="477"/>
      <c r="H1332" s="477"/>
      <c r="I1332" s="475"/>
    </row>
    <row r="1333">
      <c r="A1333" s="285"/>
      <c r="B1333" s="326"/>
      <c r="C1333" s="327"/>
      <c r="D1333" s="327"/>
      <c r="E1333" s="328"/>
      <c r="F1333" s="327"/>
      <c r="G1333" s="328"/>
      <c r="H1333" s="328"/>
      <c r="I1333" s="327"/>
    </row>
    <row r="1334">
      <c r="A1334" s="324"/>
      <c r="B1334" s="326"/>
      <c r="C1334" s="475"/>
      <c r="D1334" s="475"/>
      <c r="E1334" s="477"/>
      <c r="F1334" s="475"/>
      <c r="G1334" s="477"/>
      <c r="H1334" s="477"/>
      <c r="I1334" s="475"/>
    </row>
    <row r="1335">
      <c r="A1335" s="285"/>
      <c r="B1335" s="326"/>
      <c r="C1335" s="327"/>
      <c r="D1335" s="327"/>
      <c r="E1335" s="328"/>
      <c r="F1335" s="327"/>
      <c r="G1335" s="328"/>
      <c r="H1335" s="328"/>
      <c r="I1335" s="327"/>
    </row>
    <row r="1336">
      <c r="A1336" s="324"/>
      <c r="B1336" s="326"/>
      <c r="C1336" s="475"/>
      <c r="D1336" s="475"/>
      <c r="E1336" s="477"/>
      <c r="F1336" s="475"/>
      <c r="G1336" s="477"/>
      <c r="H1336" s="477"/>
      <c r="I1336" s="475"/>
    </row>
    <row r="1337">
      <c r="A1337" s="285"/>
      <c r="B1337" s="326"/>
      <c r="C1337" s="327"/>
      <c r="D1337" s="327"/>
      <c r="E1337" s="328"/>
      <c r="F1337" s="327"/>
      <c r="G1337" s="328"/>
      <c r="H1337" s="328"/>
      <c r="I1337" s="327"/>
    </row>
    <row r="1338">
      <c r="A1338" s="324"/>
      <c r="B1338" s="326"/>
      <c r="C1338" s="475"/>
      <c r="D1338" s="475"/>
      <c r="E1338" s="477"/>
      <c r="F1338" s="475"/>
      <c r="G1338" s="477"/>
      <c r="H1338" s="477"/>
      <c r="I1338" s="475"/>
    </row>
    <row r="1339">
      <c r="A1339" s="285"/>
      <c r="B1339" s="326"/>
      <c r="C1339" s="327"/>
      <c r="D1339" s="327"/>
      <c r="E1339" s="328"/>
      <c r="F1339" s="327"/>
      <c r="G1339" s="328"/>
      <c r="H1339" s="328"/>
      <c r="I1339" s="327"/>
    </row>
    <row r="1340">
      <c r="A1340" s="324"/>
      <c r="B1340" s="326"/>
      <c r="C1340" s="475"/>
      <c r="D1340" s="475"/>
      <c r="E1340" s="477"/>
      <c r="F1340" s="475"/>
      <c r="G1340" s="477"/>
      <c r="H1340" s="477"/>
      <c r="I1340" s="475"/>
    </row>
    <row r="1341">
      <c r="A1341" s="285"/>
      <c r="B1341" s="326"/>
      <c r="C1341" s="327"/>
      <c r="D1341" s="327"/>
      <c r="E1341" s="328"/>
      <c r="F1341" s="327"/>
      <c r="G1341" s="328"/>
      <c r="H1341" s="328"/>
      <c r="I1341" s="327"/>
    </row>
    <row r="1342">
      <c r="A1342" s="324"/>
      <c r="B1342" s="326"/>
      <c r="C1342" s="475"/>
      <c r="D1342" s="475"/>
      <c r="E1342" s="477"/>
      <c r="F1342" s="475"/>
      <c r="G1342" s="477"/>
      <c r="H1342" s="477"/>
      <c r="I1342" s="475"/>
    </row>
    <row r="1343">
      <c r="A1343" s="285"/>
      <c r="B1343" s="326"/>
      <c r="C1343" s="327"/>
      <c r="D1343" s="327"/>
      <c r="E1343" s="328"/>
      <c r="F1343" s="327"/>
      <c r="G1343" s="328"/>
      <c r="H1343" s="328"/>
      <c r="I1343" s="327"/>
    </row>
    <row r="1344">
      <c r="A1344" s="324"/>
      <c r="B1344" s="326"/>
      <c r="C1344" s="475"/>
      <c r="D1344" s="475"/>
      <c r="E1344" s="477"/>
      <c r="F1344" s="475"/>
      <c r="G1344" s="477"/>
      <c r="H1344" s="477"/>
      <c r="I1344" s="475"/>
    </row>
    <row r="1345">
      <c r="A1345" s="285"/>
      <c r="B1345" s="326"/>
      <c r="C1345" s="327"/>
      <c r="D1345" s="327"/>
      <c r="E1345" s="328"/>
      <c r="F1345" s="327"/>
      <c r="G1345" s="328"/>
      <c r="H1345" s="328"/>
      <c r="I1345" s="327"/>
    </row>
    <row r="1346">
      <c r="A1346" s="324"/>
      <c r="B1346" s="326"/>
      <c r="C1346" s="475"/>
      <c r="D1346" s="475"/>
      <c r="E1346" s="477"/>
      <c r="F1346" s="475"/>
      <c r="G1346" s="477"/>
      <c r="H1346" s="477"/>
      <c r="I1346" s="475"/>
    </row>
    <row r="1347">
      <c r="A1347" s="285"/>
      <c r="B1347" s="326"/>
      <c r="C1347" s="327"/>
      <c r="D1347" s="327"/>
      <c r="E1347" s="328"/>
      <c r="F1347" s="327"/>
      <c r="G1347" s="328"/>
      <c r="H1347" s="328"/>
      <c r="I1347" s="327"/>
    </row>
    <row r="1348">
      <c r="A1348" s="324"/>
      <c r="B1348" s="326"/>
      <c r="C1348" s="475"/>
      <c r="D1348" s="475"/>
      <c r="E1348" s="477"/>
      <c r="F1348" s="475"/>
      <c r="G1348" s="477"/>
      <c r="H1348" s="477"/>
      <c r="I1348" s="475"/>
    </row>
    <row r="1349">
      <c r="A1349" s="285"/>
      <c r="B1349" s="326"/>
      <c r="C1349" s="327"/>
      <c r="D1349" s="327"/>
      <c r="E1349" s="328"/>
      <c r="F1349" s="327"/>
      <c r="G1349" s="328"/>
      <c r="H1349" s="328"/>
      <c r="I1349" s="327"/>
    </row>
    <row r="1350">
      <c r="A1350" s="324"/>
      <c r="B1350" s="326"/>
      <c r="C1350" s="475"/>
      <c r="D1350" s="475"/>
      <c r="E1350" s="477"/>
      <c r="F1350" s="475"/>
      <c r="G1350" s="477"/>
      <c r="H1350" s="477"/>
      <c r="I1350" s="475"/>
    </row>
    <row r="1351">
      <c r="A1351" s="285"/>
      <c r="B1351" s="326"/>
      <c r="C1351" s="327"/>
      <c r="D1351" s="327"/>
      <c r="E1351" s="328"/>
      <c r="F1351" s="327"/>
      <c r="G1351" s="328"/>
      <c r="H1351" s="328"/>
      <c r="I1351" s="327"/>
    </row>
    <row r="1352">
      <c r="A1352" s="324"/>
      <c r="B1352" s="326"/>
      <c r="C1352" s="475"/>
      <c r="D1352" s="475"/>
      <c r="E1352" s="477"/>
      <c r="F1352" s="475"/>
      <c r="G1352" s="477"/>
      <c r="H1352" s="477"/>
      <c r="I1352" s="475"/>
    </row>
    <row r="1353">
      <c r="A1353" s="285"/>
      <c r="B1353" s="326"/>
      <c r="C1353" s="327"/>
      <c r="D1353" s="327"/>
      <c r="E1353" s="328"/>
      <c r="F1353" s="327"/>
      <c r="G1353" s="328"/>
      <c r="H1353" s="328"/>
      <c r="I1353" s="327"/>
    </row>
    <row r="1354">
      <c r="A1354" s="324"/>
      <c r="B1354" s="326"/>
      <c r="C1354" s="475"/>
      <c r="D1354" s="475"/>
      <c r="E1354" s="477"/>
      <c r="F1354" s="475"/>
      <c r="G1354" s="477"/>
      <c r="H1354" s="477"/>
      <c r="I1354" s="475"/>
    </row>
    <row r="1355">
      <c r="A1355" s="285"/>
      <c r="B1355" s="326"/>
      <c r="C1355" s="327"/>
      <c r="D1355" s="327"/>
      <c r="E1355" s="328"/>
      <c r="F1355" s="327"/>
      <c r="G1355" s="328"/>
      <c r="H1355" s="328"/>
      <c r="I1355" s="327"/>
    </row>
    <row r="1356">
      <c r="A1356" s="324"/>
      <c r="B1356" s="326"/>
      <c r="C1356" s="475"/>
      <c r="D1356" s="475"/>
      <c r="E1356" s="477"/>
      <c r="F1356" s="475"/>
      <c r="G1356" s="477"/>
      <c r="H1356" s="477"/>
      <c r="I1356" s="475"/>
    </row>
    <row r="1357">
      <c r="A1357" s="285"/>
      <c r="B1357" s="326"/>
      <c r="C1357" s="327"/>
      <c r="D1357" s="327"/>
      <c r="E1357" s="328"/>
      <c r="F1357" s="327"/>
      <c r="G1357" s="328"/>
      <c r="H1357" s="328"/>
      <c r="I1357" s="327"/>
    </row>
    <row r="1358">
      <c r="A1358" s="324"/>
      <c r="B1358" s="326"/>
      <c r="C1358" s="475"/>
      <c r="D1358" s="475"/>
      <c r="E1358" s="477"/>
      <c r="F1358" s="475"/>
      <c r="G1358" s="477"/>
      <c r="H1358" s="477"/>
      <c r="I1358" s="475"/>
    </row>
    <row r="1359">
      <c r="A1359" s="285"/>
      <c r="B1359" s="326"/>
      <c r="C1359" s="327"/>
      <c r="D1359" s="327"/>
      <c r="E1359" s="328"/>
      <c r="F1359" s="327"/>
      <c r="G1359" s="328"/>
      <c r="H1359" s="328"/>
      <c r="I1359" s="327"/>
    </row>
    <row r="1360">
      <c r="A1360" s="324"/>
      <c r="B1360" s="326"/>
      <c r="C1360" s="475"/>
      <c r="D1360" s="475"/>
      <c r="E1360" s="477"/>
      <c r="F1360" s="475"/>
      <c r="G1360" s="477"/>
      <c r="H1360" s="477"/>
      <c r="I1360" s="475"/>
    </row>
    <row r="1361">
      <c r="A1361" s="285"/>
      <c r="B1361" s="326"/>
      <c r="C1361" s="327"/>
      <c r="D1361" s="327"/>
      <c r="E1361" s="328"/>
      <c r="F1361" s="327"/>
      <c r="G1361" s="328"/>
      <c r="H1361" s="328"/>
      <c r="I1361" s="327"/>
    </row>
    <row r="1362">
      <c r="A1362" s="324"/>
      <c r="B1362" s="326"/>
      <c r="C1362" s="475"/>
      <c r="D1362" s="475"/>
      <c r="E1362" s="477"/>
      <c r="F1362" s="475"/>
      <c r="G1362" s="477"/>
      <c r="H1362" s="477"/>
      <c r="I1362" s="475"/>
    </row>
    <row r="1363">
      <c r="A1363" s="285"/>
      <c r="B1363" s="326"/>
      <c r="C1363" s="327"/>
      <c r="D1363" s="327"/>
      <c r="E1363" s="328"/>
      <c r="F1363" s="327"/>
      <c r="G1363" s="328"/>
      <c r="H1363" s="328"/>
      <c r="I1363" s="327"/>
    </row>
    <row r="1364">
      <c r="A1364" s="324"/>
      <c r="B1364" s="326"/>
      <c r="C1364" s="475"/>
      <c r="D1364" s="475"/>
      <c r="E1364" s="477"/>
      <c r="F1364" s="475"/>
      <c r="G1364" s="477"/>
      <c r="H1364" s="477"/>
      <c r="I1364" s="475"/>
    </row>
    <row r="1365">
      <c r="A1365" s="285"/>
      <c r="B1365" s="326"/>
      <c r="C1365" s="327"/>
      <c r="D1365" s="327"/>
      <c r="E1365" s="328"/>
      <c r="F1365" s="327"/>
      <c r="G1365" s="328"/>
      <c r="H1365" s="328"/>
      <c r="I1365" s="327"/>
    </row>
    <row r="1366">
      <c r="A1366" s="324"/>
      <c r="B1366" s="326"/>
      <c r="C1366" s="475"/>
      <c r="D1366" s="475"/>
      <c r="E1366" s="477"/>
      <c r="F1366" s="475"/>
      <c r="G1366" s="477"/>
      <c r="H1366" s="477"/>
      <c r="I1366" s="475"/>
    </row>
    <row r="1367">
      <c r="A1367" s="285"/>
      <c r="B1367" s="326"/>
      <c r="C1367" s="327"/>
      <c r="D1367" s="327"/>
      <c r="E1367" s="328"/>
      <c r="F1367" s="327"/>
      <c r="G1367" s="328"/>
      <c r="H1367" s="328"/>
      <c r="I1367" s="327"/>
    </row>
    <row r="1368">
      <c r="A1368" s="324"/>
      <c r="B1368" s="326"/>
      <c r="C1368" s="475"/>
      <c r="D1368" s="475"/>
      <c r="E1368" s="477"/>
      <c r="F1368" s="475"/>
      <c r="G1368" s="477"/>
      <c r="H1368" s="477"/>
      <c r="I1368" s="475"/>
    </row>
    <row r="1369">
      <c r="A1369" s="285"/>
      <c r="B1369" s="326"/>
      <c r="C1369" s="327"/>
      <c r="D1369" s="327"/>
      <c r="E1369" s="328"/>
      <c r="F1369" s="327"/>
      <c r="G1369" s="328"/>
      <c r="H1369" s="328"/>
      <c r="I1369" s="327"/>
    </row>
    <row r="1370">
      <c r="A1370" s="324"/>
      <c r="B1370" s="326"/>
      <c r="C1370" s="475"/>
      <c r="D1370" s="475"/>
      <c r="E1370" s="477"/>
      <c r="F1370" s="475"/>
      <c r="G1370" s="477"/>
      <c r="H1370" s="477"/>
      <c r="I1370" s="475"/>
    </row>
    <row r="1371">
      <c r="A1371" s="285"/>
      <c r="B1371" s="326"/>
      <c r="C1371" s="327"/>
      <c r="D1371" s="327"/>
      <c r="E1371" s="328"/>
      <c r="F1371" s="327"/>
      <c r="G1371" s="328"/>
      <c r="H1371" s="328"/>
      <c r="I1371" s="327"/>
    </row>
    <row r="1372">
      <c r="A1372" s="324"/>
      <c r="B1372" s="326"/>
      <c r="C1372" s="475"/>
      <c r="D1372" s="475"/>
      <c r="E1372" s="477"/>
      <c r="F1372" s="475"/>
      <c r="G1372" s="477"/>
      <c r="H1372" s="477"/>
      <c r="I1372" s="475"/>
    </row>
    <row r="1373">
      <c r="A1373" s="285"/>
      <c r="B1373" s="326"/>
      <c r="C1373" s="327"/>
      <c r="D1373" s="327"/>
      <c r="E1373" s="328"/>
      <c r="F1373" s="327"/>
      <c r="G1373" s="328"/>
      <c r="H1373" s="328"/>
      <c r="I1373" s="327"/>
    </row>
    <row r="1374">
      <c r="A1374" s="324"/>
      <c r="B1374" s="326"/>
      <c r="C1374" s="475"/>
      <c r="D1374" s="475"/>
      <c r="E1374" s="477"/>
      <c r="F1374" s="475"/>
      <c r="G1374" s="477"/>
      <c r="H1374" s="477"/>
      <c r="I1374" s="475"/>
    </row>
    <row r="1375">
      <c r="A1375" s="285"/>
      <c r="B1375" s="326"/>
      <c r="C1375" s="327"/>
      <c r="D1375" s="327"/>
      <c r="E1375" s="328"/>
      <c r="F1375" s="327"/>
      <c r="G1375" s="328"/>
      <c r="H1375" s="328"/>
      <c r="I1375" s="327"/>
    </row>
    <row r="1376">
      <c r="A1376" s="324"/>
      <c r="B1376" s="326"/>
      <c r="C1376" s="475"/>
      <c r="D1376" s="475"/>
      <c r="E1376" s="477"/>
      <c r="F1376" s="475"/>
      <c r="G1376" s="477"/>
      <c r="H1376" s="477"/>
      <c r="I1376" s="475"/>
    </row>
    <row r="1377">
      <c r="A1377" s="285"/>
      <c r="B1377" s="326"/>
      <c r="C1377" s="327"/>
      <c r="D1377" s="327"/>
      <c r="E1377" s="328"/>
      <c r="F1377" s="327"/>
      <c r="G1377" s="328"/>
      <c r="H1377" s="328"/>
      <c r="I1377" s="327"/>
    </row>
    <row r="1378">
      <c r="A1378" s="324"/>
      <c r="B1378" s="326"/>
      <c r="C1378" s="475"/>
      <c r="D1378" s="475"/>
      <c r="E1378" s="477"/>
      <c r="F1378" s="475"/>
      <c r="G1378" s="477"/>
      <c r="H1378" s="477"/>
      <c r="I1378" s="475"/>
    </row>
    <row r="1379">
      <c r="A1379" s="285"/>
      <c r="B1379" s="326"/>
      <c r="C1379" s="327"/>
      <c r="D1379" s="327"/>
      <c r="E1379" s="328"/>
      <c r="F1379" s="327"/>
      <c r="G1379" s="328"/>
      <c r="H1379" s="328"/>
      <c r="I1379" s="327"/>
    </row>
    <row r="1380">
      <c r="A1380" s="324"/>
      <c r="B1380" s="326"/>
      <c r="C1380" s="475"/>
      <c r="D1380" s="475"/>
      <c r="E1380" s="477"/>
      <c r="F1380" s="475"/>
      <c r="G1380" s="477"/>
      <c r="H1380" s="477"/>
      <c r="I1380" s="475"/>
    </row>
    <row r="1381">
      <c r="A1381" s="285"/>
      <c r="B1381" s="326"/>
      <c r="C1381" s="327"/>
      <c r="D1381" s="327"/>
      <c r="E1381" s="328"/>
      <c r="F1381" s="327"/>
      <c r="G1381" s="328"/>
      <c r="H1381" s="328"/>
      <c r="I1381" s="327"/>
    </row>
    <row r="1382">
      <c r="A1382" s="324"/>
      <c r="B1382" s="326"/>
      <c r="C1382" s="475"/>
      <c r="D1382" s="475"/>
      <c r="E1382" s="477"/>
      <c r="F1382" s="475"/>
      <c r="G1382" s="477"/>
      <c r="H1382" s="477"/>
      <c r="I1382" s="475"/>
    </row>
    <row r="1383">
      <c r="A1383" s="285"/>
      <c r="B1383" s="326"/>
      <c r="C1383" s="327"/>
      <c r="D1383" s="327"/>
      <c r="E1383" s="328"/>
      <c r="F1383" s="327"/>
      <c r="G1383" s="328"/>
      <c r="H1383" s="328"/>
      <c r="I1383" s="327"/>
    </row>
    <row r="1384">
      <c r="A1384" s="324"/>
      <c r="B1384" s="326"/>
      <c r="C1384" s="475"/>
      <c r="D1384" s="475"/>
      <c r="E1384" s="477"/>
      <c r="F1384" s="475"/>
      <c r="G1384" s="477"/>
      <c r="H1384" s="477"/>
      <c r="I1384" s="475"/>
    </row>
    <row r="1385">
      <c r="A1385" s="285"/>
      <c r="B1385" s="326"/>
      <c r="C1385" s="327"/>
      <c r="D1385" s="327"/>
      <c r="E1385" s="328"/>
      <c r="F1385" s="327"/>
      <c r="G1385" s="328"/>
      <c r="H1385" s="328"/>
      <c r="I1385" s="327"/>
    </row>
    <row r="1386">
      <c r="A1386" s="324"/>
      <c r="B1386" s="326"/>
      <c r="C1386" s="475"/>
      <c r="D1386" s="475"/>
      <c r="E1386" s="477"/>
      <c r="F1386" s="475"/>
      <c r="G1386" s="477"/>
      <c r="H1386" s="477"/>
      <c r="I1386" s="475"/>
    </row>
    <row r="1387">
      <c r="A1387" s="285"/>
      <c r="B1387" s="326"/>
      <c r="C1387" s="327"/>
      <c r="D1387" s="327"/>
      <c r="E1387" s="328"/>
      <c r="F1387" s="327"/>
      <c r="G1387" s="328"/>
      <c r="H1387" s="328"/>
      <c r="I1387" s="327"/>
    </row>
    <row r="1388">
      <c r="A1388" s="324"/>
      <c r="B1388" s="326"/>
      <c r="C1388" s="475"/>
      <c r="D1388" s="475"/>
      <c r="E1388" s="477"/>
      <c r="F1388" s="475"/>
      <c r="G1388" s="477"/>
      <c r="H1388" s="477"/>
      <c r="I1388" s="475"/>
    </row>
    <row r="1389">
      <c r="A1389" s="285"/>
      <c r="B1389" s="326"/>
      <c r="C1389" s="327"/>
      <c r="D1389" s="327"/>
      <c r="E1389" s="328"/>
      <c r="F1389" s="327"/>
      <c r="G1389" s="328"/>
      <c r="H1389" s="328"/>
      <c r="I1389" s="327"/>
    </row>
    <row r="1390">
      <c r="A1390" s="324"/>
      <c r="B1390" s="326"/>
      <c r="C1390" s="475"/>
      <c r="D1390" s="475"/>
      <c r="E1390" s="477"/>
      <c r="F1390" s="475"/>
      <c r="G1390" s="477"/>
      <c r="H1390" s="477"/>
      <c r="I1390" s="475"/>
    </row>
    <row r="1391">
      <c r="A1391" s="285"/>
      <c r="B1391" s="326"/>
      <c r="C1391" s="327"/>
      <c r="D1391" s="327"/>
      <c r="E1391" s="328"/>
      <c r="F1391" s="327"/>
      <c r="G1391" s="328"/>
      <c r="H1391" s="328"/>
      <c r="I1391" s="327"/>
    </row>
    <row r="1392">
      <c r="A1392" s="324"/>
      <c r="B1392" s="326"/>
      <c r="C1392" s="475"/>
      <c r="D1392" s="475"/>
      <c r="E1392" s="477"/>
      <c r="F1392" s="475"/>
      <c r="G1392" s="477"/>
      <c r="H1392" s="477"/>
      <c r="I1392" s="475"/>
    </row>
    <row r="1393">
      <c r="A1393" s="285"/>
      <c r="B1393" s="326"/>
      <c r="C1393" s="327"/>
      <c r="D1393" s="327"/>
      <c r="E1393" s="328"/>
      <c r="F1393" s="327"/>
      <c r="G1393" s="328"/>
      <c r="H1393" s="328"/>
      <c r="I1393" s="327"/>
    </row>
    <row r="1394">
      <c r="A1394" s="324"/>
      <c r="B1394" s="326"/>
      <c r="C1394" s="475"/>
      <c r="D1394" s="475"/>
      <c r="E1394" s="477"/>
      <c r="F1394" s="475"/>
      <c r="G1394" s="477"/>
      <c r="H1394" s="477"/>
      <c r="I1394" s="475"/>
    </row>
    <row r="1395">
      <c r="A1395" s="285"/>
      <c r="B1395" s="326"/>
      <c r="C1395" s="327"/>
      <c r="D1395" s="327"/>
      <c r="E1395" s="328"/>
      <c r="F1395" s="327"/>
      <c r="G1395" s="328"/>
      <c r="H1395" s="328"/>
      <c r="I1395" s="327"/>
    </row>
    <row r="1396">
      <c r="A1396" s="324"/>
      <c r="B1396" s="326"/>
      <c r="C1396" s="475"/>
      <c r="D1396" s="475"/>
      <c r="E1396" s="477"/>
      <c r="F1396" s="475"/>
      <c r="G1396" s="477"/>
      <c r="H1396" s="477"/>
      <c r="I1396" s="475"/>
    </row>
    <row r="1397">
      <c r="A1397" s="285"/>
      <c r="B1397" s="326"/>
      <c r="C1397" s="327"/>
      <c r="D1397" s="327"/>
      <c r="E1397" s="328"/>
      <c r="F1397" s="327"/>
      <c r="G1397" s="328"/>
      <c r="H1397" s="328"/>
      <c r="I1397" s="327"/>
    </row>
    <row r="1398">
      <c r="A1398" s="324"/>
      <c r="B1398" s="326"/>
      <c r="C1398" s="475"/>
      <c r="D1398" s="475"/>
      <c r="E1398" s="477"/>
      <c r="F1398" s="475"/>
      <c r="G1398" s="477"/>
      <c r="H1398" s="477"/>
      <c r="I1398" s="475"/>
    </row>
    <row r="1399">
      <c r="A1399" s="285"/>
      <c r="B1399" s="326"/>
      <c r="C1399" s="327"/>
      <c r="D1399" s="327"/>
      <c r="E1399" s="328"/>
      <c r="F1399" s="327"/>
      <c r="G1399" s="328"/>
      <c r="H1399" s="328"/>
      <c r="I1399" s="327"/>
    </row>
    <row r="1400">
      <c r="A1400" s="324"/>
      <c r="B1400" s="326"/>
      <c r="C1400" s="475"/>
      <c r="D1400" s="475"/>
      <c r="E1400" s="477"/>
      <c r="F1400" s="475"/>
      <c r="G1400" s="477"/>
      <c r="H1400" s="477"/>
      <c r="I1400" s="475"/>
    </row>
    <row r="1401">
      <c r="A1401" s="285"/>
      <c r="B1401" s="326"/>
      <c r="C1401" s="327"/>
      <c r="D1401" s="327"/>
      <c r="E1401" s="328"/>
      <c r="F1401" s="327"/>
      <c r="G1401" s="328"/>
      <c r="H1401" s="328"/>
      <c r="I1401" s="327"/>
    </row>
    <row r="1402">
      <c r="A1402" s="324"/>
      <c r="B1402" s="326"/>
      <c r="C1402" s="475"/>
      <c r="D1402" s="475"/>
      <c r="E1402" s="477"/>
      <c r="F1402" s="475"/>
      <c r="G1402" s="477"/>
      <c r="H1402" s="477"/>
      <c r="I1402" s="475"/>
    </row>
    <row r="1403">
      <c r="A1403" s="285"/>
      <c r="B1403" s="326"/>
      <c r="C1403" s="327"/>
      <c r="D1403" s="327"/>
      <c r="E1403" s="328"/>
      <c r="F1403" s="327"/>
      <c r="G1403" s="328"/>
      <c r="H1403" s="328"/>
      <c r="I1403" s="327"/>
    </row>
    <row r="1404">
      <c r="A1404" s="324"/>
      <c r="B1404" s="326"/>
      <c r="C1404" s="475"/>
      <c r="D1404" s="475"/>
      <c r="E1404" s="477"/>
      <c r="F1404" s="475"/>
      <c r="G1404" s="477"/>
      <c r="H1404" s="477"/>
      <c r="I1404" s="475"/>
    </row>
    <row r="1405">
      <c r="A1405" s="285"/>
      <c r="B1405" s="326"/>
      <c r="C1405" s="327"/>
      <c r="D1405" s="327"/>
      <c r="E1405" s="328"/>
      <c r="F1405" s="327"/>
      <c r="G1405" s="328"/>
      <c r="H1405" s="328"/>
      <c r="I1405" s="327"/>
    </row>
    <row r="1406">
      <c r="A1406" s="324"/>
      <c r="B1406" s="326"/>
      <c r="C1406" s="475"/>
      <c r="D1406" s="475"/>
      <c r="E1406" s="477"/>
      <c r="F1406" s="475"/>
      <c r="G1406" s="477"/>
      <c r="H1406" s="477"/>
      <c r="I1406" s="475"/>
    </row>
    <row r="1407">
      <c r="A1407" s="285"/>
      <c r="B1407" s="326"/>
      <c r="C1407" s="327"/>
      <c r="D1407" s="327"/>
      <c r="E1407" s="328"/>
      <c r="F1407" s="327"/>
      <c r="G1407" s="328"/>
      <c r="H1407" s="328"/>
      <c r="I1407" s="327"/>
    </row>
    <row r="1408">
      <c r="A1408" s="324"/>
      <c r="B1408" s="326"/>
      <c r="C1408" s="475"/>
      <c r="D1408" s="475"/>
      <c r="E1408" s="477"/>
      <c r="F1408" s="475"/>
      <c r="G1408" s="477"/>
      <c r="H1408" s="477"/>
      <c r="I1408" s="475"/>
    </row>
    <row r="1409">
      <c r="A1409" s="285"/>
      <c r="B1409" s="326"/>
      <c r="C1409" s="327"/>
      <c r="D1409" s="327"/>
      <c r="E1409" s="328"/>
      <c r="F1409" s="327"/>
      <c r="G1409" s="328"/>
      <c r="H1409" s="328"/>
      <c r="I1409" s="327"/>
    </row>
    <row r="1410">
      <c r="A1410" s="324"/>
      <c r="B1410" s="326"/>
      <c r="C1410" s="475"/>
      <c r="D1410" s="475"/>
      <c r="E1410" s="477"/>
      <c r="F1410" s="475"/>
      <c r="G1410" s="477"/>
      <c r="H1410" s="477"/>
      <c r="I1410" s="475"/>
    </row>
    <row r="1411">
      <c r="A1411" s="285"/>
      <c r="B1411" s="326"/>
      <c r="C1411" s="327"/>
      <c r="D1411" s="327"/>
      <c r="E1411" s="328"/>
      <c r="F1411" s="327"/>
      <c r="G1411" s="328"/>
      <c r="H1411" s="328"/>
      <c r="I1411" s="327"/>
    </row>
    <row r="1412">
      <c r="A1412" s="324"/>
      <c r="B1412" s="326"/>
      <c r="C1412" s="475"/>
      <c r="D1412" s="475"/>
      <c r="E1412" s="477"/>
      <c r="F1412" s="475"/>
      <c r="G1412" s="477"/>
      <c r="H1412" s="477"/>
      <c r="I1412" s="475"/>
    </row>
    <row r="1413">
      <c r="A1413" s="285"/>
      <c r="B1413" s="326"/>
      <c r="C1413" s="327"/>
      <c r="D1413" s="327"/>
      <c r="E1413" s="328"/>
      <c r="F1413" s="327"/>
      <c r="G1413" s="328"/>
      <c r="H1413" s="328"/>
      <c r="I1413" s="327"/>
    </row>
    <row r="1414">
      <c r="A1414" s="324"/>
      <c r="B1414" s="326"/>
      <c r="C1414" s="475"/>
      <c r="D1414" s="475"/>
      <c r="E1414" s="477"/>
      <c r="F1414" s="475"/>
      <c r="G1414" s="477"/>
      <c r="H1414" s="477"/>
      <c r="I1414" s="475"/>
    </row>
    <row r="1415">
      <c r="A1415" s="285"/>
      <c r="B1415" s="326"/>
      <c r="C1415" s="327"/>
      <c r="D1415" s="327"/>
      <c r="E1415" s="328"/>
      <c r="F1415" s="327"/>
      <c r="G1415" s="328"/>
      <c r="H1415" s="328"/>
      <c r="I1415" s="327"/>
    </row>
    <row r="1416">
      <c r="A1416" s="324"/>
      <c r="B1416" s="326"/>
      <c r="C1416" s="475"/>
      <c r="D1416" s="475"/>
      <c r="E1416" s="477"/>
      <c r="F1416" s="475"/>
      <c r="G1416" s="477"/>
      <c r="H1416" s="477"/>
      <c r="I1416" s="475"/>
    </row>
    <row r="1417">
      <c r="A1417" s="285"/>
      <c r="B1417" s="326"/>
      <c r="C1417" s="327"/>
      <c r="D1417" s="327"/>
      <c r="E1417" s="328"/>
      <c r="F1417" s="327"/>
      <c r="G1417" s="328"/>
      <c r="H1417" s="328"/>
      <c r="I1417" s="327"/>
    </row>
    <row r="1418">
      <c r="A1418" s="324"/>
      <c r="B1418" s="326"/>
      <c r="C1418" s="475"/>
      <c r="D1418" s="475"/>
      <c r="E1418" s="477"/>
      <c r="F1418" s="475"/>
      <c r="G1418" s="477"/>
      <c r="H1418" s="477"/>
      <c r="I1418" s="475"/>
    </row>
    <row r="1419">
      <c r="A1419" s="285"/>
      <c r="B1419" s="326"/>
      <c r="C1419" s="327"/>
      <c r="D1419" s="327"/>
      <c r="E1419" s="328"/>
      <c r="F1419" s="327"/>
      <c r="G1419" s="328"/>
      <c r="H1419" s="328"/>
      <c r="I1419" s="327"/>
    </row>
    <row r="1420">
      <c r="A1420" s="324"/>
      <c r="B1420" s="326"/>
      <c r="C1420" s="475"/>
      <c r="D1420" s="475"/>
      <c r="E1420" s="477"/>
      <c r="F1420" s="475"/>
      <c r="G1420" s="477"/>
      <c r="H1420" s="477"/>
      <c r="I1420" s="475"/>
    </row>
    <row r="1421">
      <c r="A1421" s="285"/>
      <c r="B1421" s="326"/>
      <c r="C1421" s="327"/>
      <c r="D1421" s="327"/>
      <c r="E1421" s="328"/>
      <c r="F1421" s="327"/>
      <c r="G1421" s="328"/>
      <c r="H1421" s="328"/>
      <c r="I1421" s="327"/>
    </row>
    <row r="1422">
      <c r="A1422" s="324"/>
      <c r="B1422" s="326"/>
      <c r="C1422" s="475"/>
      <c r="D1422" s="475"/>
      <c r="E1422" s="477"/>
      <c r="F1422" s="475"/>
      <c r="G1422" s="477"/>
      <c r="H1422" s="477"/>
      <c r="I1422" s="475"/>
    </row>
    <row r="1423">
      <c r="A1423" s="285"/>
      <c r="B1423" s="326"/>
      <c r="C1423" s="327"/>
      <c r="D1423" s="327"/>
      <c r="E1423" s="328"/>
      <c r="F1423" s="327"/>
      <c r="G1423" s="328"/>
      <c r="H1423" s="328"/>
      <c r="I1423" s="327"/>
    </row>
    <row r="1424">
      <c r="A1424" s="324"/>
      <c r="B1424" s="326"/>
      <c r="C1424" s="475"/>
      <c r="D1424" s="475"/>
      <c r="E1424" s="477"/>
      <c r="F1424" s="475"/>
      <c r="G1424" s="477"/>
      <c r="H1424" s="477"/>
      <c r="I1424" s="475"/>
    </row>
    <row r="1425">
      <c r="A1425" s="285"/>
      <c r="B1425" s="326"/>
      <c r="C1425" s="327"/>
      <c r="D1425" s="327"/>
      <c r="E1425" s="328"/>
      <c r="F1425" s="327"/>
      <c r="G1425" s="328"/>
      <c r="H1425" s="328"/>
      <c r="I1425" s="327"/>
    </row>
    <row r="1426">
      <c r="A1426" s="324"/>
      <c r="B1426" s="326"/>
      <c r="C1426" s="475"/>
      <c r="D1426" s="475"/>
      <c r="E1426" s="477"/>
      <c r="F1426" s="475"/>
      <c r="G1426" s="477"/>
      <c r="H1426" s="477"/>
      <c r="I1426" s="475"/>
    </row>
    <row r="1427">
      <c r="A1427" s="285"/>
      <c r="B1427" s="326"/>
      <c r="C1427" s="327"/>
      <c r="D1427" s="327"/>
      <c r="E1427" s="328"/>
      <c r="F1427" s="327"/>
      <c r="G1427" s="328"/>
      <c r="H1427" s="328"/>
      <c r="I1427" s="327"/>
    </row>
    <row r="1428">
      <c r="A1428" s="324"/>
      <c r="B1428" s="326"/>
      <c r="C1428" s="475"/>
      <c r="D1428" s="475"/>
      <c r="E1428" s="477"/>
      <c r="F1428" s="475"/>
      <c r="G1428" s="477"/>
      <c r="H1428" s="477"/>
      <c r="I1428" s="475"/>
    </row>
    <row r="1429">
      <c r="A1429" s="285"/>
      <c r="B1429" s="326"/>
      <c r="C1429" s="327"/>
      <c r="D1429" s="327"/>
      <c r="E1429" s="328"/>
      <c r="F1429" s="327"/>
      <c r="G1429" s="328"/>
      <c r="H1429" s="328"/>
      <c r="I1429" s="327"/>
    </row>
    <row r="1430">
      <c r="A1430" s="324"/>
      <c r="B1430" s="326"/>
      <c r="C1430" s="475"/>
      <c r="D1430" s="475"/>
      <c r="E1430" s="477"/>
      <c r="F1430" s="475"/>
      <c r="G1430" s="477"/>
      <c r="H1430" s="477"/>
      <c r="I1430" s="475"/>
    </row>
    <row r="1431">
      <c r="A1431" s="285"/>
      <c r="B1431" s="326"/>
      <c r="C1431" s="327"/>
      <c r="D1431" s="327"/>
      <c r="E1431" s="328"/>
      <c r="F1431" s="327"/>
      <c r="G1431" s="328"/>
      <c r="H1431" s="328"/>
      <c r="I1431" s="327"/>
    </row>
    <row r="1432">
      <c r="A1432" s="324"/>
      <c r="B1432" s="326"/>
      <c r="C1432" s="475"/>
      <c r="D1432" s="475"/>
      <c r="E1432" s="477"/>
      <c r="F1432" s="475"/>
      <c r="G1432" s="477"/>
      <c r="H1432" s="477"/>
      <c r="I1432" s="475"/>
    </row>
    <row r="1433">
      <c r="A1433" s="285"/>
      <c r="B1433" s="326"/>
      <c r="C1433" s="327"/>
      <c r="D1433" s="327"/>
      <c r="E1433" s="328"/>
      <c r="F1433" s="327"/>
      <c r="G1433" s="328"/>
      <c r="H1433" s="328"/>
      <c r="I1433" s="327"/>
    </row>
    <row r="1434">
      <c r="A1434" s="324"/>
      <c r="B1434" s="326"/>
      <c r="C1434" s="475"/>
      <c r="D1434" s="475"/>
      <c r="E1434" s="477"/>
      <c r="F1434" s="475"/>
      <c r="G1434" s="477"/>
      <c r="H1434" s="477"/>
      <c r="I1434" s="475"/>
    </row>
    <row r="1435">
      <c r="A1435" s="285"/>
      <c r="B1435" s="326"/>
      <c r="C1435" s="327"/>
      <c r="D1435" s="327"/>
      <c r="E1435" s="328"/>
      <c r="F1435" s="327"/>
      <c r="G1435" s="328"/>
      <c r="H1435" s="328"/>
      <c r="I1435" s="327"/>
    </row>
    <row r="1436">
      <c r="A1436" s="324"/>
      <c r="B1436" s="326"/>
      <c r="C1436" s="475"/>
      <c r="D1436" s="475"/>
      <c r="E1436" s="477"/>
      <c r="F1436" s="475"/>
      <c r="G1436" s="477"/>
      <c r="H1436" s="477"/>
      <c r="I1436" s="475"/>
    </row>
    <row r="1437">
      <c r="A1437" s="285"/>
      <c r="B1437" s="326"/>
      <c r="C1437" s="327"/>
      <c r="D1437" s="327"/>
      <c r="E1437" s="328"/>
      <c r="F1437" s="327"/>
      <c r="G1437" s="328"/>
      <c r="H1437" s="328"/>
      <c r="I1437" s="327"/>
    </row>
    <row r="1438">
      <c r="A1438" s="324"/>
      <c r="B1438" s="326"/>
      <c r="C1438" s="475"/>
      <c r="D1438" s="475"/>
      <c r="E1438" s="477"/>
      <c r="F1438" s="475"/>
      <c r="G1438" s="477"/>
      <c r="H1438" s="477"/>
      <c r="I1438" s="475"/>
    </row>
    <row r="1439">
      <c r="A1439" s="285"/>
      <c r="B1439" s="326"/>
      <c r="C1439" s="327"/>
      <c r="D1439" s="327"/>
      <c r="E1439" s="328"/>
      <c r="F1439" s="327"/>
      <c r="G1439" s="328"/>
      <c r="H1439" s="328"/>
      <c r="I1439" s="327"/>
    </row>
    <row r="1440">
      <c r="A1440" s="324"/>
      <c r="B1440" s="326"/>
      <c r="C1440" s="475"/>
      <c r="D1440" s="475"/>
      <c r="E1440" s="477"/>
      <c r="F1440" s="475"/>
      <c r="G1440" s="477"/>
      <c r="H1440" s="477"/>
      <c r="I1440" s="475"/>
    </row>
    <row r="1441">
      <c r="A1441" s="285"/>
      <c r="B1441" s="326"/>
      <c r="C1441" s="327"/>
      <c r="D1441" s="327"/>
      <c r="E1441" s="328"/>
      <c r="F1441" s="327"/>
      <c r="G1441" s="328"/>
      <c r="H1441" s="328"/>
      <c r="I1441" s="327"/>
    </row>
    <row r="1442">
      <c r="A1442" s="324"/>
      <c r="B1442" s="326"/>
      <c r="C1442" s="475"/>
      <c r="D1442" s="475"/>
      <c r="E1442" s="477"/>
      <c r="F1442" s="475"/>
      <c r="G1442" s="477"/>
      <c r="H1442" s="477"/>
      <c r="I1442" s="475"/>
    </row>
    <row r="1443">
      <c r="A1443" s="285"/>
      <c r="B1443" s="326"/>
      <c r="C1443" s="327"/>
      <c r="D1443" s="327"/>
      <c r="E1443" s="328"/>
      <c r="F1443" s="327"/>
      <c r="G1443" s="328"/>
      <c r="H1443" s="328"/>
      <c r="I1443" s="327"/>
    </row>
    <row r="1444">
      <c r="A1444" s="324"/>
      <c r="B1444" s="326"/>
      <c r="C1444" s="475"/>
      <c r="D1444" s="475"/>
      <c r="E1444" s="477"/>
      <c r="F1444" s="475"/>
      <c r="G1444" s="477"/>
      <c r="H1444" s="477"/>
      <c r="I1444" s="475"/>
    </row>
    <row r="1445">
      <c r="A1445" s="285"/>
      <c r="B1445" s="326"/>
      <c r="C1445" s="327"/>
      <c r="D1445" s="327"/>
      <c r="E1445" s="328"/>
      <c r="F1445" s="327"/>
      <c r="G1445" s="328"/>
      <c r="H1445" s="328"/>
      <c r="I1445" s="327"/>
    </row>
    <row r="1446">
      <c r="A1446" s="324"/>
      <c r="B1446" s="326"/>
      <c r="C1446" s="475"/>
      <c r="D1446" s="475"/>
      <c r="E1446" s="477"/>
      <c r="F1446" s="475"/>
      <c r="G1446" s="477"/>
      <c r="H1446" s="477"/>
      <c r="I1446" s="475"/>
    </row>
    <row r="1447">
      <c r="A1447" s="285"/>
      <c r="B1447" s="326"/>
      <c r="C1447" s="327"/>
      <c r="D1447" s="327"/>
      <c r="E1447" s="328"/>
      <c r="F1447" s="327"/>
      <c r="G1447" s="328"/>
      <c r="H1447" s="328"/>
      <c r="I1447" s="327"/>
    </row>
    <row r="1448">
      <c r="A1448" s="324"/>
      <c r="B1448" s="326"/>
      <c r="C1448" s="475"/>
      <c r="D1448" s="475"/>
      <c r="E1448" s="477"/>
      <c r="F1448" s="475"/>
      <c r="G1448" s="477"/>
      <c r="H1448" s="477"/>
      <c r="I1448" s="475"/>
    </row>
    <row r="1449">
      <c r="A1449" s="285"/>
      <c r="B1449" s="326"/>
      <c r="C1449" s="327"/>
      <c r="D1449" s="327"/>
      <c r="E1449" s="328"/>
      <c r="F1449" s="327"/>
      <c r="G1449" s="328"/>
      <c r="H1449" s="328"/>
      <c r="I1449" s="327"/>
    </row>
    <row r="1450">
      <c r="A1450" s="324"/>
      <c r="B1450" s="326"/>
      <c r="C1450" s="475"/>
      <c r="D1450" s="475"/>
      <c r="E1450" s="477"/>
      <c r="F1450" s="475"/>
      <c r="G1450" s="477"/>
      <c r="H1450" s="477"/>
      <c r="I1450" s="475"/>
    </row>
    <row r="1451">
      <c r="A1451" s="285"/>
      <c r="B1451" s="326"/>
      <c r="C1451" s="327"/>
      <c r="D1451" s="327"/>
      <c r="E1451" s="328"/>
      <c r="F1451" s="327"/>
      <c r="G1451" s="328"/>
      <c r="H1451" s="328"/>
      <c r="I1451" s="327"/>
    </row>
    <row r="1452">
      <c r="A1452" s="324"/>
      <c r="B1452" s="326"/>
      <c r="C1452" s="475"/>
      <c r="D1452" s="475"/>
      <c r="E1452" s="477"/>
      <c r="F1452" s="475"/>
      <c r="G1452" s="477"/>
      <c r="H1452" s="477"/>
      <c r="I1452" s="475"/>
    </row>
    <row r="1453">
      <c r="A1453" s="285"/>
      <c r="B1453" s="326"/>
      <c r="C1453" s="327"/>
      <c r="D1453" s="327"/>
      <c r="E1453" s="328"/>
      <c r="F1453" s="327"/>
      <c r="G1453" s="328"/>
      <c r="H1453" s="328"/>
      <c r="I1453" s="327"/>
    </row>
    <row r="1454">
      <c r="A1454" s="324"/>
      <c r="B1454" s="326"/>
      <c r="C1454" s="475"/>
      <c r="D1454" s="475"/>
      <c r="E1454" s="477"/>
      <c r="F1454" s="475"/>
      <c r="G1454" s="477"/>
      <c r="H1454" s="477"/>
      <c r="I1454" s="475"/>
    </row>
    <row r="1455">
      <c r="A1455" s="285"/>
      <c r="B1455" s="326"/>
      <c r="C1455" s="327"/>
      <c r="D1455" s="327"/>
      <c r="E1455" s="328"/>
      <c r="F1455" s="327"/>
      <c r="G1455" s="328"/>
      <c r="H1455" s="328"/>
      <c r="I1455" s="327"/>
    </row>
    <row r="1456">
      <c r="A1456" s="324"/>
      <c r="B1456" s="326"/>
      <c r="C1456" s="475"/>
      <c r="D1456" s="475"/>
      <c r="E1456" s="477"/>
      <c r="F1456" s="475"/>
      <c r="G1456" s="477"/>
      <c r="H1456" s="477"/>
      <c r="I1456" s="475"/>
    </row>
    <row r="1457">
      <c r="A1457" s="285"/>
      <c r="B1457" s="326"/>
      <c r="C1457" s="327"/>
      <c r="D1457" s="327"/>
      <c r="E1457" s="328"/>
      <c r="F1457" s="327"/>
      <c r="G1457" s="328"/>
      <c r="H1457" s="328"/>
      <c r="I1457" s="327"/>
    </row>
    <row r="1458">
      <c r="A1458" s="324"/>
      <c r="B1458" s="326"/>
      <c r="C1458" s="475"/>
      <c r="D1458" s="475"/>
      <c r="E1458" s="477"/>
      <c r="F1458" s="475"/>
      <c r="G1458" s="477"/>
      <c r="H1458" s="477"/>
      <c r="I1458" s="475"/>
    </row>
    <row r="1459">
      <c r="A1459" s="285"/>
      <c r="B1459" s="326"/>
      <c r="C1459" s="327"/>
      <c r="D1459" s="327"/>
      <c r="E1459" s="328"/>
      <c r="F1459" s="327"/>
      <c r="G1459" s="328"/>
      <c r="H1459" s="328"/>
      <c r="I1459" s="327"/>
    </row>
    <row r="1460">
      <c r="A1460" s="324"/>
      <c r="B1460" s="326"/>
      <c r="C1460" s="475"/>
      <c r="D1460" s="475"/>
      <c r="E1460" s="477"/>
      <c r="F1460" s="475"/>
      <c r="G1460" s="477"/>
      <c r="H1460" s="477"/>
      <c r="I1460" s="475"/>
    </row>
    <row r="1461">
      <c r="A1461" s="285"/>
      <c r="B1461" s="326"/>
      <c r="C1461" s="327"/>
      <c r="D1461" s="327"/>
      <c r="E1461" s="328"/>
      <c r="F1461" s="327"/>
      <c r="G1461" s="328"/>
      <c r="H1461" s="328"/>
      <c r="I1461" s="327"/>
    </row>
    <row r="1462">
      <c r="A1462" s="324"/>
      <c r="B1462" s="326"/>
      <c r="C1462" s="475"/>
      <c r="D1462" s="475"/>
      <c r="E1462" s="477"/>
      <c r="F1462" s="475"/>
      <c r="G1462" s="477"/>
      <c r="H1462" s="477"/>
      <c r="I1462" s="475"/>
    </row>
    <row r="1463">
      <c r="A1463" s="285"/>
      <c r="B1463" s="326"/>
      <c r="C1463" s="327"/>
      <c r="D1463" s="327"/>
      <c r="E1463" s="328"/>
      <c r="F1463" s="327"/>
      <c r="G1463" s="328"/>
      <c r="H1463" s="328"/>
      <c r="I1463" s="327"/>
    </row>
    <row r="1464">
      <c r="A1464" s="324"/>
      <c r="B1464" s="326"/>
      <c r="C1464" s="475"/>
      <c r="D1464" s="475"/>
      <c r="E1464" s="477"/>
      <c r="F1464" s="475"/>
      <c r="G1464" s="477"/>
      <c r="H1464" s="477"/>
      <c r="I1464" s="475"/>
    </row>
    <row r="1465">
      <c r="A1465" s="285"/>
      <c r="B1465" s="326"/>
      <c r="C1465" s="327"/>
      <c r="D1465" s="327"/>
      <c r="E1465" s="328"/>
      <c r="F1465" s="327"/>
      <c r="G1465" s="328"/>
      <c r="H1465" s="328"/>
      <c r="I1465" s="327"/>
    </row>
    <row r="1466">
      <c r="A1466" s="324"/>
      <c r="B1466" s="326"/>
      <c r="C1466" s="475"/>
      <c r="D1466" s="475"/>
      <c r="E1466" s="477"/>
      <c r="F1466" s="475"/>
      <c r="G1466" s="477"/>
      <c r="H1466" s="477"/>
      <c r="I1466" s="475"/>
    </row>
    <row r="1467">
      <c r="A1467" s="285"/>
      <c r="B1467" s="326"/>
      <c r="C1467" s="327"/>
      <c r="D1467" s="327"/>
      <c r="E1467" s="328"/>
      <c r="F1467" s="327"/>
      <c r="G1467" s="328"/>
      <c r="H1467" s="328"/>
      <c r="I1467" s="327"/>
    </row>
    <row r="1468">
      <c r="A1468" s="324"/>
      <c r="B1468" s="326"/>
      <c r="C1468" s="475"/>
      <c r="D1468" s="475"/>
      <c r="E1468" s="477"/>
      <c r="F1468" s="475"/>
      <c r="G1468" s="477"/>
      <c r="H1468" s="477"/>
      <c r="I1468" s="475"/>
    </row>
    <row r="1469">
      <c r="A1469" s="285"/>
      <c r="B1469" s="326"/>
      <c r="C1469" s="327"/>
      <c r="D1469" s="327"/>
      <c r="E1469" s="328"/>
      <c r="F1469" s="327"/>
      <c r="G1469" s="328"/>
      <c r="H1469" s="328"/>
      <c r="I1469" s="327"/>
    </row>
    <row r="1470">
      <c r="A1470" s="324"/>
      <c r="B1470" s="326"/>
      <c r="C1470" s="475"/>
      <c r="D1470" s="475"/>
      <c r="E1470" s="477"/>
      <c r="F1470" s="475"/>
      <c r="G1470" s="477"/>
      <c r="H1470" s="477"/>
      <c r="I1470" s="475"/>
    </row>
    <row r="1471">
      <c r="A1471" s="285"/>
      <c r="B1471" s="326"/>
      <c r="C1471" s="327"/>
      <c r="D1471" s="327"/>
      <c r="E1471" s="328"/>
      <c r="F1471" s="327"/>
      <c r="G1471" s="328"/>
      <c r="H1471" s="328"/>
      <c r="I1471" s="327"/>
    </row>
    <row r="1472">
      <c r="A1472" s="324"/>
      <c r="B1472" s="326"/>
      <c r="C1472" s="475"/>
      <c r="D1472" s="475"/>
      <c r="E1472" s="477"/>
      <c r="F1472" s="475"/>
      <c r="G1472" s="477"/>
      <c r="H1472" s="477"/>
      <c r="I1472" s="475"/>
    </row>
    <row r="1473">
      <c r="A1473" s="285"/>
      <c r="B1473" s="326"/>
      <c r="C1473" s="327"/>
      <c r="D1473" s="327"/>
      <c r="E1473" s="328"/>
      <c r="F1473" s="327"/>
      <c r="G1473" s="328"/>
      <c r="H1473" s="328"/>
      <c r="I1473" s="327"/>
    </row>
    <row r="1474">
      <c r="A1474" s="324"/>
      <c r="B1474" s="326"/>
      <c r="C1474" s="475"/>
      <c r="D1474" s="475"/>
      <c r="E1474" s="477"/>
      <c r="F1474" s="475"/>
      <c r="G1474" s="477"/>
      <c r="H1474" s="477"/>
      <c r="I1474" s="475"/>
    </row>
    <row r="1475">
      <c r="A1475" s="285"/>
      <c r="B1475" s="326"/>
      <c r="C1475" s="327"/>
      <c r="D1475" s="327"/>
      <c r="E1475" s="328"/>
      <c r="F1475" s="327"/>
      <c r="G1475" s="328"/>
      <c r="H1475" s="328"/>
      <c r="I1475" s="327"/>
    </row>
    <row r="1476">
      <c r="A1476" s="324"/>
      <c r="B1476" s="326"/>
      <c r="C1476" s="475"/>
      <c r="D1476" s="475"/>
      <c r="E1476" s="477"/>
      <c r="F1476" s="475"/>
      <c r="G1476" s="477"/>
      <c r="H1476" s="477"/>
      <c r="I1476" s="475"/>
    </row>
    <row r="1477">
      <c r="A1477" s="285"/>
      <c r="B1477" s="326"/>
      <c r="C1477" s="327"/>
      <c r="D1477" s="327"/>
      <c r="E1477" s="328"/>
      <c r="F1477" s="327"/>
      <c r="G1477" s="328"/>
      <c r="H1477" s="328"/>
      <c r="I1477" s="327"/>
    </row>
    <row r="1478">
      <c r="A1478" s="324"/>
      <c r="B1478" s="326"/>
      <c r="C1478" s="475"/>
      <c r="D1478" s="475"/>
      <c r="E1478" s="477"/>
      <c r="F1478" s="475"/>
      <c r="G1478" s="477"/>
      <c r="H1478" s="477"/>
      <c r="I1478" s="475"/>
    </row>
    <row r="1479">
      <c r="A1479" s="285"/>
      <c r="B1479" s="326"/>
      <c r="C1479" s="327"/>
      <c r="D1479" s="327"/>
      <c r="E1479" s="328"/>
      <c r="F1479" s="327"/>
      <c r="G1479" s="328"/>
      <c r="H1479" s="328"/>
      <c r="I1479" s="327"/>
    </row>
    <row r="1480">
      <c r="A1480" s="324"/>
      <c r="B1480" s="326"/>
      <c r="C1480" s="475"/>
      <c r="D1480" s="475"/>
      <c r="E1480" s="477"/>
      <c r="F1480" s="475"/>
      <c r="G1480" s="477"/>
      <c r="H1480" s="477"/>
      <c r="I1480" s="475"/>
    </row>
    <row r="1481">
      <c r="A1481" s="285"/>
      <c r="B1481" s="326"/>
      <c r="C1481" s="327"/>
      <c r="D1481" s="327"/>
      <c r="E1481" s="328"/>
      <c r="F1481" s="327"/>
      <c r="G1481" s="328"/>
      <c r="H1481" s="328"/>
      <c r="I1481" s="327"/>
    </row>
    <row r="1482">
      <c r="A1482" s="324"/>
      <c r="B1482" s="326"/>
      <c r="C1482" s="475"/>
      <c r="D1482" s="475"/>
      <c r="E1482" s="477"/>
      <c r="F1482" s="475"/>
      <c r="G1482" s="477"/>
      <c r="H1482" s="477"/>
      <c r="I1482" s="475"/>
    </row>
    <row r="1483">
      <c r="A1483" s="285"/>
      <c r="B1483" s="326"/>
      <c r="C1483" s="327"/>
      <c r="D1483" s="327"/>
      <c r="E1483" s="328"/>
      <c r="F1483" s="327"/>
      <c r="G1483" s="328"/>
      <c r="H1483" s="328"/>
      <c r="I1483" s="327"/>
    </row>
    <row r="1484">
      <c r="A1484" s="324"/>
      <c r="B1484" s="326"/>
      <c r="C1484" s="475"/>
      <c r="D1484" s="475"/>
      <c r="E1484" s="477"/>
      <c r="F1484" s="475"/>
      <c r="G1484" s="477"/>
      <c r="H1484" s="477"/>
      <c r="I1484" s="475"/>
    </row>
    <row r="1485">
      <c r="A1485" s="285"/>
      <c r="B1485" s="326"/>
      <c r="C1485" s="327"/>
      <c r="D1485" s="327"/>
      <c r="E1485" s="328"/>
      <c r="F1485" s="327"/>
      <c r="G1485" s="328"/>
      <c r="H1485" s="328"/>
      <c r="I1485" s="327"/>
    </row>
    <row r="1486">
      <c r="A1486" s="324"/>
      <c r="B1486" s="326"/>
      <c r="C1486" s="475"/>
      <c r="D1486" s="475"/>
      <c r="E1486" s="477"/>
      <c r="F1486" s="475"/>
      <c r="G1486" s="477"/>
      <c r="H1486" s="477"/>
      <c r="I1486" s="475"/>
    </row>
    <row r="1487">
      <c r="A1487" s="285"/>
      <c r="B1487" s="326"/>
      <c r="C1487" s="327"/>
      <c r="D1487" s="327"/>
      <c r="E1487" s="328"/>
      <c r="F1487" s="327"/>
      <c r="G1487" s="328"/>
      <c r="H1487" s="328"/>
      <c r="I1487" s="327"/>
    </row>
    <row r="1488">
      <c r="A1488" s="324"/>
      <c r="B1488" s="326"/>
      <c r="C1488" s="475"/>
      <c r="D1488" s="475"/>
      <c r="E1488" s="477"/>
      <c r="F1488" s="475"/>
      <c r="G1488" s="477"/>
      <c r="H1488" s="477"/>
      <c r="I1488" s="475"/>
    </row>
    <row r="1489">
      <c r="A1489" s="285"/>
      <c r="B1489" s="326"/>
      <c r="C1489" s="327"/>
      <c r="D1489" s="327"/>
      <c r="E1489" s="328"/>
      <c r="F1489" s="327"/>
      <c r="G1489" s="328"/>
      <c r="H1489" s="328"/>
      <c r="I1489" s="327"/>
    </row>
    <row r="1490">
      <c r="A1490" s="324"/>
      <c r="B1490" s="326"/>
      <c r="C1490" s="475"/>
      <c r="D1490" s="475"/>
      <c r="E1490" s="477"/>
      <c r="F1490" s="475"/>
      <c r="G1490" s="477"/>
      <c r="H1490" s="477"/>
      <c r="I1490" s="475"/>
    </row>
    <row r="1491">
      <c r="A1491" s="285"/>
      <c r="B1491" s="326"/>
      <c r="C1491" s="327"/>
      <c r="D1491" s="327"/>
      <c r="E1491" s="328"/>
      <c r="F1491" s="327"/>
      <c r="G1491" s="328"/>
      <c r="H1491" s="328"/>
      <c r="I1491" s="327"/>
    </row>
    <row r="1492">
      <c r="A1492" s="324"/>
      <c r="B1492" s="326"/>
      <c r="C1492" s="475"/>
      <c r="D1492" s="475"/>
      <c r="E1492" s="477"/>
      <c r="F1492" s="475"/>
      <c r="G1492" s="477"/>
      <c r="H1492" s="477"/>
      <c r="I1492" s="475"/>
    </row>
    <row r="1493">
      <c r="A1493" s="285"/>
      <c r="B1493" s="326"/>
      <c r="C1493" s="327"/>
      <c r="D1493" s="327"/>
      <c r="E1493" s="328"/>
      <c r="F1493" s="327"/>
      <c r="G1493" s="328"/>
      <c r="H1493" s="328"/>
      <c r="I1493" s="327"/>
    </row>
    <row r="1494">
      <c r="A1494" s="324"/>
      <c r="B1494" s="326"/>
      <c r="C1494" s="475"/>
      <c r="D1494" s="475"/>
      <c r="E1494" s="477"/>
      <c r="F1494" s="475"/>
      <c r="G1494" s="477"/>
      <c r="H1494" s="477"/>
      <c r="I1494" s="475"/>
    </row>
    <row r="1495">
      <c r="A1495" s="285"/>
      <c r="B1495" s="326"/>
      <c r="C1495" s="327"/>
      <c r="D1495" s="327"/>
      <c r="E1495" s="328"/>
      <c r="F1495" s="327"/>
      <c r="G1495" s="328"/>
      <c r="H1495" s="328"/>
      <c r="I1495" s="327"/>
    </row>
    <row r="1496">
      <c r="A1496" s="324"/>
      <c r="B1496" s="326"/>
      <c r="C1496" s="475"/>
      <c r="D1496" s="475"/>
      <c r="E1496" s="477"/>
      <c r="F1496" s="475"/>
      <c r="G1496" s="477"/>
      <c r="H1496" s="477"/>
      <c r="I1496" s="475"/>
    </row>
    <row r="1497">
      <c r="A1497" s="285"/>
      <c r="B1497" s="326"/>
      <c r="C1497" s="327"/>
      <c r="D1497" s="327"/>
      <c r="E1497" s="328"/>
      <c r="F1497" s="327"/>
      <c r="G1497" s="328"/>
      <c r="H1497" s="328"/>
      <c r="I1497" s="327"/>
    </row>
    <row r="1498">
      <c r="A1498" s="324"/>
      <c r="B1498" s="326"/>
      <c r="C1498" s="475"/>
      <c r="D1498" s="475"/>
      <c r="E1498" s="477"/>
      <c r="F1498" s="475"/>
      <c r="G1498" s="477"/>
      <c r="H1498" s="477"/>
      <c r="I1498" s="475"/>
    </row>
    <row r="1499">
      <c r="A1499" s="285"/>
      <c r="B1499" s="326"/>
      <c r="C1499" s="327"/>
      <c r="D1499" s="327"/>
      <c r="E1499" s="328"/>
      <c r="F1499" s="327"/>
      <c r="G1499" s="328"/>
      <c r="H1499" s="328"/>
      <c r="I1499" s="327"/>
    </row>
    <row r="1500">
      <c r="A1500" s="324"/>
      <c r="B1500" s="326"/>
      <c r="C1500" s="475"/>
      <c r="D1500" s="475"/>
      <c r="E1500" s="477"/>
      <c r="F1500" s="475"/>
      <c r="G1500" s="477"/>
      <c r="H1500" s="477"/>
      <c r="I1500" s="475"/>
    </row>
    <row r="1501">
      <c r="A1501" s="285"/>
      <c r="B1501" s="326"/>
      <c r="C1501" s="327"/>
      <c r="D1501" s="327"/>
      <c r="E1501" s="328"/>
      <c r="F1501" s="327"/>
      <c r="G1501" s="328"/>
      <c r="H1501" s="328"/>
      <c r="I1501" s="327"/>
    </row>
    <row r="1502">
      <c r="A1502" s="324"/>
      <c r="B1502" s="326"/>
      <c r="C1502" s="475"/>
      <c r="D1502" s="475"/>
      <c r="E1502" s="477"/>
      <c r="F1502" s="475"/>
      <c r="G1502" s="477"/>
      <c r="H1502" s="477"/>
      <c r="I1502" s="475"/>
    </row>
    <row r="1503">
      <c r="A1503" s="285"/>
      <c r="B1503" s="326"/>
      <c r="C1503" s="327"/>
      <c r="D1503" s="327"/>
      <c r="E1503" s="328"/>
      <c r="F1503" s="327"/>
      <c r="G1503" s="328"/>
      <c r="H1503" s="328"/>
      <c r="I1503" s="327"/>
    </row>
    <row r="1504">
      <c r="A1504" s="324"/>
      <c r="B1504" s="326"/>
      <c r="C1504" s="475"/>
      <c r="D1504" s="475"/>
      <c r="E1504" s="477"/>
      <c r="F1504" s="475"/>
      <c r="G1504" s="477"/>
      <c r="H1504" s="477"/>
      <c r="I1504" s="475"/>
    </row>
    <row r="1505">
      <c r="A1505" s="285"/>
      <c r="B1505" s="326"/>
      <c r="C1505" s="327"/>
      <c r="D1505" s="327"/>
      <c r="E1505" s="328"/>
      <c r="F1505" s="327"/>
      <c r="G1505" s="328"/>
      <c r="H1505" s="328"/>
      <c r="I1505" s="327"/>
    </row>
    <row r="1506">
      <c r="A1506" s="324"/>
      <c r="B1506" s="326"/>
      <c r="C1506" s="475"/>
      <c r="D1506" s="475"/>
      <c r="E1506" s="477"/>
      <c r="F1506" s="475"/>
      <c r="G1506" s="477"/>
      <c r="H1506" s="477"/>
      <c r="I1506" s="475"/>
    </row>
    <row r="1507">
      <c r="A1507" s="285"/>
      <c r="B1507" s="326"/>
      <c r="C1507" s="327"/>
      <c r="D1507" s="327"/>
      <c r="E1507" s="328"/>
      <c r="F1507" s="327"/>
      <c r="G1507" s="328"/>
      <c r="H1507" s="328"/>
      <c r="I1507" s="327"/>
    </row>
    <row r="1508">
      <c r="A1508" s="324"/>
      <c r="B1508" s="326"/>
      <c r="C1508" s="475"/>
      <c r="D1508" s="475"/>
      <c r="E1508" s="477"/>
      <c r="F1508" s="475"/>
      <c r="G1508" s="477"/>
      <c r="H1508" s="477"/>
      <c r="I1508" s="475"/>
    </row>
    <row r="1509">
      <c r="A1509" s="285"/>
      <c r="B1509" s="326"/>
      <c r="C1509" s="327"/>
      <c r="D1509" s="327"/>
      <c r="E1509" s="328"/>
      <c r="F1509" s="327"/>
      <c r="G1509" s="328"/>
      <c r="H1509" s="328"/>
      <c r="I1509" s="327"/>
    </row>
    <row r="1510">
      <c r="A1510" s="324"/>
      <c r="B1510" s="326"/>
      <c r="C1510" s="475"/>
      <c r="D1510" s="475"/>
      <c r="E1510" s="477"/>
      <c r="F1510" s="475"/>
      <c r="G1510" s="477"/>
      <c r="H1510" s="477"/>
      <c r="I1510" s="475"/>
    </row>
    <row r="1511">
      <c r="A1511" s="285"/>
      <c r="B1511" s="326"/>
      <c r="C1511" s="327"/>
      <c r="D1511" s="327"/>
      <c r="E1511" s="328"/>
      <c r="F1511" s="327"/>
      <c r="G1511" s="328"/>
      <c r="H1511" s="328"/>
      <c r="I1511" s="327"/>
    </row>
    <row r="1512">
      <c r="A1512" s="324"/>
      <c r="B1512" s="326"/>
      <c r="C1512" s="475"/>
      <c r="D1512" s="475"/>
      <c r="E1512" s="477"/>
      <c r="F1512" s="475"/>
      <c r="G1512" s="477"/>
      <c r="H1512" s="477"/>
      <c r="I1512" s="475"/>
    </row>
    <row r="1513">
      <c r="A1513" s="285"/>
      <c r="B1513" s="326"/>
      <c r="C1513" s="327"/>
      <c r="D1513" s="327"/>
      <c r="E1513" s="328"/>
      <c r="F1513" s="327"/>
      <c r="G1513" s="328"/>
      <c r="H1513" s="328"/>
      <c r="I1513" s="327"/>
    </row>
    <row r="1514">
      <c r="A1514" s="324"/>
      <c r="B1514" s="326"/>
      <c r="C1514" s="475"/>
      <c r="D1514" s="475"/>
      <c r="E1514" s="477"/>
      <c r="F1514" s="475"/>
      <c r="G1514" s="477"/>
      <c r="H1514" s="477"/>
      <c r="I1514" s="475"/>
    </row>
    <row r="1515">
      <c r="A1515" s="285"/>
      <c r="B1515" s="326"/>
      <c r="C1515" s="327"/>
      <c r="D1515" s="327"/>
      <c r="E1515" s="328"/>
      <c r="F1515" s="327"/>
      <c r="G1515" s="328"/>
      <c r="H1515" s="328"/>
      <c r="I1515" s="327"/>
    </row>
    <row r="1516">
      <c r="A1516" s="324"/>
      <c r="B1516" s="326"/>
      <c r="C1516" s="475"/>
      <c r="D1516" s="475"/>
      <c r="E1516" s="477"/>
      <c r="F1516" s="475"/>
      <c r="G1516" s="477"/>
      <c r="H1516" s="477"/>
      <c r="I1516" s="475"/>
    </row>
    <row r="1517">
      <c r="A1517" s="285"/>
      <c r="B1517" s="326"/>
      <c r="C1517" s="327"/>
      <c r="D1517" s="327"/>
      <c r="E1517" s="328"/>
      <c r="F1517" s="327"/>
      <c r="G1517" s="328"/>
      <c r="H1517" s="328"/>
      <c r="I1517" s="327"/>
    </row>
    <row r="1518">
      <c r="A1518" s="324"/>
      <c r="B1518" s="326"/>
      <c r="C1518" s="475"/>
      <c r="D1518" s="475"/>
      <c r="E1518" s="477"/>
      <c r="F1518" s="475"/>
      <c r="G1518" s="477"/>
      <c r="H1518" s="477"/>
      <c r="I1518" s="475"/>
    </row>
    <row r="1519">
      <c r="A1519" s="285"/>
      <c r="B1519" s="326"/>
      <c r="C1519" s="327"/>
      <c r="D1519" s="327"/>
      <c r="E1519" s="328"/>
      <c r="F1519" s="327"/>
      <c r="G1519" s="328"/>
      <c r="H1519" s="328"/>
      <c r="I1519" s="327"/>
    </row>
    <row r="1520">
      <c r="A1520" s="324"/>
      <c r="B1520" s="326"/>
      <c r="C1520" s="475"/>
      <c r="D1520" s="475"/>
      <c r="E1520" s="477"/>
      <c r="F1520" s="475"/>
      <c r="G1520" s="477"/>
      <c r="H1520" s="477"/>
      <c r="I1520" s="475"/>
    </row>
    <row r="1521">
      <c r="A1521" s="285"/>
      <c r="B1521" s="326"/>
      <c r="C1521" s="327"/>
      <c r="D1521" s="327"/>
      <c r="E1521" s="328"/>
      <c r="F1521" s="327"/>
      <c r="G1521" s="328"/>
      <c r="H1521" s="328"/>
      <c r="I1521" s="327"/>
    </row>
    <row r="1522">
      <c r="A1522" s="324"/>
      <c r="B1522" s="326"/>
      <c r="C1522" s="475"/>
      <c r="D1522" s="475"/>
      <c r="E1522" s="477"/>
      <c r="F1522" s="475"/>
      <c r="G1522" s="477"/>
      <c r="H1522" s="477"/>
      <c r="I1522" s="475"/>
    </row>
    <row r="1523">
      <c r="A1523" s="285"/>
      <c r="B1523" s="326"/>
      <c r="C1523" s="327"/>
      <c r="D1523" s="327"/>
      <c r="E1523" s="328"/>
      <c r="F1523" s="327"/>
      <c r="G1523" s="328"/>
      <c r="H1523" s="328"/>
      <c r="I1523" s="327"/>
    </row>
    <row r="1524">
      <c r="A1524" s="324"/>
      <c r="B1524" s="326"/>
      <c r="C1524" s="475"/>
      <c r="D1524" s="475"/>
      <c r="E1524" s="477"/>
      <c r="F1524" s="475"/>
      <c r="G1524" s="477"/>
      <c r="H1524" s="477"/>
      <c r="I1524" s="475"/>
    </row>
    <row r="1525">
      <c r="A1525" s="285"/>
      <c r="B1525" s="326"/>
      <c r="C1525" s="327"/>
      <c r="D1525" s="327"/>
      <c r="E1525" s="328"/>
      <c r="F1525" s="327"/>
      <c r="G1525" s="328"/>
      <c r="H1525" s="328"/>
      <c r="I1525" s="327"/>
    </row>
    <row r="1526">
      <c r="A1526" s="324"/>
      <c r="B1526" s="326"/>
      <c r="C1526" s="475"/>
      <c r="D1526" s="475"/>
      <c r="E1526" s="477"/>
      <c r="F1526" s="475"/>
      <c r="G1526" s="477"/>
      <c r="H1526" s="477"/>
      <c r="I1526" s="475"/>
    </row>
    <row r="1527">
      <c r="A1527" s="285"/>
      <c r="B1527" s="326"/>
      <c r="C1527" s="327"/>
      <c r="D1527" s="327"/>
      <c r="E1527" s="328"/>
      <c r="F1527" s="327"/>
      <c r="G1527" s="328"/>
      <c r="H1527" s="328"/>
      <c r="I1527" s="327"/>
    </row>
    <row r="1528">
      <c r="A1528" s="324"/>
      <c r="B1528" s="326"/>
      <c r="C1528" s="475"/>
      <c r="D1528" s="475"/>
      <c r="E1528" s="477"/>
      <c r="F1528" s="475"/>
      <c r="G1528" s="477"/>
      <c r="H1528" s="477"/>
      <c r="I1528" s="475"/>
    </row>
    <row r="1529">
      <c r="A1529" s="285"/>
      <c r="B1529" s="326"/>
      <c r="C1529" s="327"/>
      <c r="D1529" s="327"/>
      <c r="E1529" s="328"/>
      <c r="F1529" s="327"/>
      <c r="G1529" s="328"/>
      <c r="H1529" s="328"/>
      <c r="I1529" s="327"/>
    </row>
    <row r="1530">
      <c r="A1530" s="324"/>
      <c r="B1530" s="326"/>
      <c r="C1530" s="475"/>
      <c r="D1530" s="475"/>
      <c r="E1530" s="477"/>
      <c r="F1530" s="475"/>
      <c r="G1530" s="477"/>
      <c r="H1530" s="477"/>
      <c r="I1530" s="475"/>
    </row>
    <row r="1531">
      <c r="A1531" s="285"/>
      <c r="B1531" s="326"/>
      <c r="C1531" s="327"/>
      <c r="D1531" s="327"/>
      <c r="E1531" s="328"/>
      <c r="F1531" s="327"/>
      <c r="G1531" s="328"/>
      <c r="H1531" s="328"/>
      <c r="I1531" s="327"/>
    </row>
    <row r="1532">
      <c r="A1532" s="324"/>
      <c r="B1532" s="326"/>
      <c r="C1532" s="475"/>
      <c r="D1532" s="475"/>
      <c r="E1532" s="477"/>
      <c r="F1532" s="475"/>
      <c r="G1532" s="477"/>
      <c r="H1532" s="477"/>
      <c r="I1532" s="475"/>
    </row>
    <row r="1533">
      <c r="A1533" s="285"/>
      <c r="B1533" s="326"/>
      <c r="C1533" s="327"/>
      <c r="D1533" s="327"/>
      <c r="E1533" s="328"/>
      <c r="F1533" s="327"/>
      <c r="G1533" s="328"/>
      <c r="H1533" s="328"/>
      <c r="I1533" s="327"/>
    </row>
    <row r="1534">
      <c r="A1534" s="324"/>
      <c r="B1534" s="326"/>
      <c r="C1534" s="475"/>
      <c r="D1534" s="475"/>
      <c r="E1534" s="477"/>
      <c r="F1534" s="475"/>
      <c r="G1534" s="477"/>
      <c r="H1534" s="477"/>
      <c r="I1534" s="475"/>
    </row>
    <row r="1535">
      <c r="A1535" s="285"/>
      <c r="B1535" s="326"/>
      <c r="C1535" s="327"/>
      <c r="D1535" s="327"/>
      <c r="E1535" s="328"/>
      <c r="F1535" s="327"/>
      <c r="G1535" s="328"/>
      <c r="H1535" s="328"/>
      <c r="I1535" s="327"/>
    </row>
    <row r="1536">
      <c r="A1536" s="324"/>
      <c r="B1536" s="326"/>
      <c r="C1536" s="475"/>
      <c r="D1536" s="475"/>
      <c r="E1536" s="477"/>
      <c r="F1536" s="475"/>
      <c r="G1536" s="477"/>
      <c r="H1536" s="477"/>
      <c r="I1536" s="475"/>
    </row>
    <row r="1537">
      <c r="A1537" s="285"/>
      <c r="B1537" s="326"/>
      <c r="C1537" s="327"/>
      <c r="D1537" s="327"/>
      <c r="E1537" s="328"/>
      <c r="F1537" s="327"/>
      <c r="G1537" s="328"/>
      <c r="H1537" s="328"/>
      <c r="I1537" s="327"/>
    </row>
    <row r="1538">
      <c r="A1538" s="324"/>
      <c r="B1538" s="326"/>
      <c r="C1538" s="475"/>
      <c r="D1538" s="475"/>
      <c r="E1538" s="477"/>
      <c r="F1538" s="475"/>
      <c r="G1538" s="477"/>
      <c r="H1538" s="477"/>
      <c r="I1538" s="475"/>
    </row>
    <row r="1539">
      <c r="A1539" s="285"/>
      <c r="B1539" s="326"/>
      <c r="C1539" s="327"/>
      <c r="D1539" s="327"/>
      <c r="E1539" s="328"/>
      <c r="F1539" s="327"/>
      <c r="G1539" s="328"/>
      <c r="H1539" s="328"/>
      <c r="I1539" s="327"/>
    </row>
    <row r="1540">
      <c r="A1540" s="324"/>
      <c r="B1540" s="326"/>
      <c r="C1540" s="475"/>
      <c r="D1540" s="475"/>
      <c r="E1540" s="477"/>
      <c r="F1540" s="475"/>
      <c r="G1540" s="477"/>
      <c r="H1540" s="477"/>
      <c r="I1540" s="475"/>
    </row>
    <row r="1541">
      <c r="A1541" s="285"/>
      <c r="B1541" s="326"/>
      <c r="C1541" s="327"/>
      <c r="D1541" s="327"/>
      <c r="E1541" s="328"/>
      <c r="F1541" s="327"/>
      <c r="G1541" s="328"/>
      <c r="H1541" s="328"/>
      <c r="I1541" s="327"/>
    </row>
    <row r="1542">
      <c r="A1542" s="324"/>
      <c r="B1542" s="326"/>
      <c r="C1542" s="475"/>
      <c r="D1542" s="475"/>
      <c r="E1542" s="477"/>
      <c r="F1542" s="475"/>
      <c r="G1542" s="477"/>
      <c r="H1542" s="477"/>
      <c r="I1542" s="475"/>
    </row>
    <row r="1543">
      <c r="A1543" s="285"/>
      <c r="B1543" s="326"/>
      <c r="C1543" s="327"/>
      <c r="D1543" s="327"/>
      <c r="E1543" s="328"/>
      <c r="F1543" s="327"/>
      <c r="G1543" s="328"/>
      <c r="H1543" s="328"/>
      <c r="I1543" s="327"/>
    </row>
    <row r="1544">
      <c r="A1544" s="324"/>
      <c r="B1544" s="326"/>
      <c r="C1544" s="475"/>
      <c r="D1544" s="475"/>
      <c r="E1544" s="477"/>
      <c r="F1544" s="475"/>
      <c r="G1544" s="477"/>
      <c r="H1544" s="477"/>
      <c r="I1544" s="475"/>
    </row>
    <row r="1545">
      <c r="A1545" s="285"/>
      <c r="B1545" s="326"/>
      <c r="C1545" s="327"/>
      <c r="D1545" s="327"/>
      <c r="E1545" s="328"/>
      <c r="F1545" s="327"/>
      <c r="G1545" s="328"/>
      <c r="H1545" s="328"/>
      <c r="I1545" s="327"/>
    </row>
    <row r="1546">
      <c r="A1546" s="324"/>
      <c r="B1546" s="326"/>
      <c r="C1546" s="475"/>
      <c r="D1546" s="475"/>
      <c r="E1546" s="477"/>
      <c r="F1546" s="475"/>
      <c r="G1546" s="477"/>
      <c r="H1546" s="477"/>
      <c r="I1546" s="475"/>
    </row>
    <row r="1547">
      <c r="A1547" s="285"/>
      <c r="B1547" s="326"/>
      <c r="C1547" s="327"/>
      <c r="D1547" s="327"/>
      <c r="E1547" s="328"/>
      <c r="F1547" s="327"/>
      <c r="G1547" s="328"/>
      <c r="H1547" s="328"/>
      <c r="I1547" s="327"/>
    </row>
    <row r="1548">
      <c r="A1548" s="324"/>
      <c r="B1548" s="326"/>
      <c r="C1548" s="475"/>
      <c r="D1548" s="475"/>
      <c r="E1548" s="477"/>
      <c r="F1548" s="475"/>
      <c r="G1548" s="477"/>
      <c r="H1548" s="477"/>
      <c r="I1548" s="475"/>
    </row>
    <row r="1549">
      <c r="A1549" s="285"/>
      <c r="B1549" s="326"/>
      <c r="C1549" s="327"/>
      <c r="D1549" s="327"/>
      <c r="E1549" s="328"/>
      <c r="F1549" s="327"/>
      <c r="G1549" s="328"/>
      <c r="H1549" s="328"/>
      <c r="I1549" s="327"/>
    </row>
    <row r="1550">
      <c r="A1550" s="324"/>
      <c r="B1550" s="326"/>
      <c r="C1550" s="475"/>
      <c r="D1550" s="475"/>
      <c r="E1550" s="477"/>
      <c r="F1550" s="475"/>
      <c r="G1550" s="477"/>
      <c r="H1550" s="477"/>
      <c r="I1550" s="475"/>
    </row>
    <row r="1551">
      <c r="A1551" s="285"/>
      <c r="B1551" s="326"/>
      <c r="C1551" s="327"/>
      <c r="D1551" s="327"/>
      <c r="E1551" s="328"/>
      <c r="F1551" s="327"/>
      <c r="G1551" s="328"/>
      <c r="H1551" s="328"/>
      <c r="I1551" s="327"/>
    </row>
    <row r="1552">
      <c r="A1552" s="324"/>
      <c r="B1552" s="326"/>
      <c r="C1552" s="475"/>
      <c r="D1552" s="475"/>
      <c r="E1552" s="477"/>
      <c r="F1552" s="475"/>
      <c r="G1552" s="477"/>
      <c r="H1552" s="477"/>
      <c r="I1552" s="475"/>
    </row>
    <row r="1553">
      <c r="A1553" s="285"/>
      <c r="B1553" s="326"/>
      <c r="C1553" s="327"/>
      <c r="D1553" s="327"/>
      <c r="E1553" s="328"/>
      <c r="F1553" s="327"/>
      <c r="G1553" s="328"/>
      <c r="H1553" s="328"/>
      <c r="I1553" s="327"/>
    </row>
    <row r="1554">
      <c r="A1554" s="324"/>
      <c r="B1554" s="326"/>
      <c r="C1554" s="475"/>
      <c r="D1554" s="475"/>
      <c r="E1554" s="477"/>
      <c r="F1554" s="475"/>
      <c r="G1554" s="477"/>
      <c r="H1554" s="477"/>
      <c r="I1554" s="475"/>
    </row>
    <row r="1555">
      <c r="A1555" s="285"/>
      <c r="B1555" s="326"/>
      <c r="C1555" s="327"/>
      <c r="D1555" s="327"/>
      <c r="E1555" s="328"/>
      <c r="F1555" s="327"/>
      <c r="G1555" s="328"/>
      <c r="H1555" s="328"/>
      <c r="I1555" s="327"/>
    </row>
    <row r="1556">
      <c r="A1556" s="324"/>
      <c r="B1556" s="326"/>
      <c r="C1556" s="475"/>
      <c r="D1556" s="475"/>
      <c r="E1556" s="477"/>
      <c r="F1556" s="475"/>
      <c r="G1556" s="477"/>
      <c r="H1556" s="477"/>
      <c r="I1556" s="475"/>
    </row>
    <row r="1557">
      <c r="A1557" s="285"/>
      <c r="B1557" s="326"/>
      <c r="C1557" s="327"/>
      <c r="D1557" s="327"/>
      <c r="E1557" s="328"/>
      <c r="F1557" s="327"/>
      <c r="G1557" s="328"/>
      <c r="H1557" s="328"/>
      <c r="I1557" s="327"/>
    </row>
    <row r="1558">
      <c r="A1558" s="324"/>
      <c r="B1558" s="326"/>
      <c r="C1558" s="475"/>
      <c r="D1558" s="475"/>
      <c r="E1558" s="477"/>
      <c r="F1558" s="475"/>
      <c r="G1558" s="477"/>
      <c r="H1558" s="477"/>
      <c r="I1558" s="475"/>
    </row>
    <row r="1559">
      <c r="A1559" s="285"/>
      <c r="B1559" s="326"/>
      <c r="C1559" s="327"/>
      <c r="D1559" s="327"/>
      <c r="E1559" s="328"/>
      <c r="F1559" s="327"/>
      <c r="G1559" s="328"/>
      <c r="H1559" s="328"/>
      <c r="I1559" s="327"/>
    </row>
    <row r="1560">
      <c r="A1560" s="324"/>
      <c r="B1560" s="326"/>
      <c r="C1560" s="475"/>
      <c r="D1560" s="475"/>
      <c r="E1560" s="477"/>
      <c r="F1560" s="475"/>
      <c r="G1560" s="477"/>
      <c r="H1560" s="477"/>
      <c r="I1560" s="475"/>
    </row>
    <row r="1561">
      <c r="A1561" s="285"/>
      <c r="B1561" s="326"/>
      <c r="C1561" s="327"/>
      <c r="D1561" s="327"/>
      <c r="E1561" s="328"/>
      <c r="F1561" s="327"/>
      <c r="G1561" s="328"/>
      <c r="H1561" s="328"/>
      <c r="I1561" s="327"/>
    </row>
    <row r="1562">
      <c r="A1562" s="324"/>
      <c r="B1562" s="326"/>
      <c r="C1562" s="475"/>
      <c r="D1562" s="475"/>
      <c r="E1562" s="477"/>
      <c r="F1562" s="475"/>
      <c r="G1562" s="477"/>
      <c r="H1562" s="477"/>
      <c r="I1562" s="475"/>
    </row>
    <row r="1563">
      <c r="A1563" s="285"/>
      <c r="B1563" s="326"/>
      <c r="C1563" s="327"/>
      <c r="D1563" s="327"/>
      <c r="E1563" s="328"/>
      <c r="F1563" s="327"/>
      <c r="G1563" s="328"/>
      <c r="H1563" s="328"/>
      <c r="I1563" s="327"/>
    </row>
    <row r="1564">
      <c r="A1564" s="324"/>
      <c r="B1564" s="326"/>
      <c r="C1564" s="475"/>
      <c r="D1564" s="475"/>
      <c r="E1564" s="477"/>
      <c r="F1564" s="475"/>
      <c r="G1564" s="477"/>
      <c r="H1564" s="477"/>
      <c r="I1564" s="475"/>
    </row>
    <row r="1565">
      <c r="A1565" s="285"/>
      <c r="B1565" s="326"/>
      <c r="C1565" s="327"/>
      <c r="D1565" s="327"/>
      <c r="E1565" s="328"/>
      <c r="F1565" s="327"/>
      <c r="G1565" s="328"/>
      <c r="H1565" s="328"/>
      <c r="I1565" s="327"/>
    </row>
    <row r="1566">
      <c r="A1566" s="324"/>
      <c r="B1566" s="326"/>
      <c r="C1566" s="475"/>
      <c r="D1566" s="475"/>
      <c r="E1566" s="477"/>
      <c r="F1566" s="475"/>
      <c r="G1566" s="477"/>
      <c r="H1566" s="477"/>
      <c r="I1566" s="475"/>
    </row>
    <row r="1567">
      <c r="A1567" s="285"/>
      <c r="B1567" s="326"/>
      <c r="C1567" s="327"/>
      <c r="D1567" s="327"/>
      <c r="E1567" s="328"/>
      <c r="F1567" s="327"/>
      <c r="G1567" s="328"/>
      <c r="H1567" s="328"/>
      <c r="I1567" s="327"/>
    </row>
    <row r="1568">
      <c r="A1568" s="324"/>
      <c r="B1568" s="326"/>
      <c r="C1568" s="475"/>
      <c r="D1568" s="475"/>
      <c r="E1568" s="477"/>
      <c r="F1568" s="475"/>
      <c r="G1568" s="477"/>
      <c r="H1568" s="477"/>
      <c r="I1568" s="475"/>
    </row>
    <row r="1569">
      <c r="A1569" s="285"/>
      <c r="B1569" s="326"/>
      <c r="C1569" s="327"/>
      <c r="D1569" s="327"/>
      <c r="E1569" s="328"/>
      <c r="F1569" s="327"/>
      <c r="G1569" s="328"/>
      <c r="H1569" s="328"/>
      <c r="I1569" s="327"/>
    </row>
    <row r="1570">
      <c r="A1570" s="324"/>
      <c r="B1570" s="326"/>
      <c r="C1570" s="475"/>
      <c r="D1570" s="475"/>
      <c r="E1570" s="477"/>
      <c r="F1570" s="475"/>
      <c r="G1570" s="477"/>
      <c r="H1570" s="477"/>
      <c r="I1570" s="475"/>
    </row>
    <row r="1571">
      <c r="A1571" s="285"/>
      <c r="B1571" s="326"/>
      <c r="C1571" s="327"/>
      <c r="D1571" s="327"/>
      <c r="E1571" s="328"/>
      <c r="F1571" s="327"/>
      <c r="G1571" s="328"/>
      <c r="H1571" s="328"/>
      <c r="I1571" s="327"/>
    </row>
    <row r="1572">
      <c r="A1572" s="324"/>
      <c r="B1572" s="326"/>
      <c r="C1572" s="475"/>
      <c r="D1572" s="475"/>
      <c r="E1572" s="477"/>
      <c r="F1572" s="475"/>
      <c r="G1572" s="477"/>
      <c r="H1572" s="477"/>
      <c r="I1572" s="475"/>
    </row>
    <row r="1573">
      <c r="A1573" s="285"/>
      <c r="B1573" s="326"/>
      <c r="C1573" s="327"/>
      <c r="D1573" s="327"/>
      <c r="E1573" s="328"/>
      <c r="F1573" s="327"/>
      <c r="G1573" s="328"/>
      <c r="H1573" s="328"/>
      <c r="I1573" s="327"/>
    </row>
    <row r="1574">
      <c r="A1574" s="324"/>
      <c r="B1574" s="326"/>
      <c r="C1574" s="475"/>
      <c r="D1574" s="475"/>
      <c r="E1574" s="477"/>
      <c r="F1574" s="475"/>
      <c r="G1574" s="477"/>
      <c r="H1574" s="477"/>
      <c r="I1574" s="475"/>
    </row>
    <row r="1575">
      <c r="A1575" s="285"/>
      <c r="B1575" s="326"/>
      <c r="C1575" s="327"/>
      <c r="D1575" s="327"/>
      <c r="E1575" s="328"/>
      <c r="F1575" s="327"/>
      <c r="G1575" s="328"/>
      <c r="H1575" s="328"/>
      <c r="I1575" s="327"/>
    </row>
    <row r="1576">
      <c r="A1576" s="324"/>
      <c r="B1576" s="326"/>
      <c r="C1576" s="475"/>
      <c r="D1576" s="475"/>
      <c r="E1576" s="477"/>
      <c r="F1576" s="475"/>
      <c r="G1576" s="477"/>
      <c r="H1576" s="477"/>
      <c r="I1576" s="475"/>
    </row>
    <row r="1577">
      <c r="A1577" s="285"/>
      <c r="B1577" s="326"/>
      <c r="C1577" s="327"/>
      <c r="D1577" s="327"/>
      <c r="E1577" s="328"/>
      <c r="F1577" s="327"/>
      <c r="G1577" s="328"/>
      <c r="H1577" s="328"/>
      <c r="I1577" s="327"/>
    </row>
    <row r="1578">
      <c r="A1578" s="324"/>
      <c r="B1578" s="326"/>
      <c r="C1578" s="475"/>
      <c r="D1578" s="475"/>
      <c r="E1578" s="477"/>
      <c r="F1578" s="475"/>
      <c r="G1578" s="477"/>
      <c r="H1578" s="477"/>
      <c r="I1578" s="475"/>
    </row>
    <row r="1579">
      <c r="A1579" s="285"/>
      <c r="B1579" s="326"/>
      <c r="C1579" s="327"/>
      <c r="D1579" s="327"/>
      <c r="E1579" s="328"/>
      <c r="F1579" s="327"/>
      <c r="G1579" s="328"/>
      <c r="H1579" s="328"/>
      <c r="I1579" s="327"/>
    </row>
    <row r="1580">
      <c r="A1580" s="324"/>
      <c r="B1580" s="326"/>
      <c r="C1580" s="475"/>
      <c r="D1580" s="475"/>
      <c r="E1580" s="477"/>
      <c r="F1580" s="475"/>
      <c r="G1580" s="477"/>
      <c r="H1580" s="477"/>
      <c r="I1580" s="475"/>
    </row>
    <row r="1581">
      <c r="A1581" s="285"/>
      <c r="B1581" s="326"/>
      <c r="C1581" s="327"/>
      <c r="D1581" s="327"/>
      <c r="E1581" s="328"/>
      <c r="F1581" s="327"/>
      <c r="G1581" s="328"/>
      <c r="H1581" s="328"/>
      <c r="I1581" s="327"/>
    </row>
    <row r="1582">
      <c r="A1582" s="324"/>
      <c r="B1582" s="326"/>
      <c r="C1582" s="475"/>
      <c r="D1582" s="475"/>
      <c r="E1582" s="477"/>
      <c r="F1582" s="475"/>
      <c r="G1582" s="477"/>
      <c r="H1582" s="477"/>
      <c r="I1582" s="475"/>
    </row>
    <row r="1583">
      <c r="A1583" s="285"/>
      <c r="B1583" s="326"/>
      <c r="C1583" s="327"/>
      <c r="D1583" s="327"/>
      <c r="E1583" s="328"/>
      <c r="F1583" s="327"/>
      <c r="G1583" s="328"/>
      <c r="H1583" s="328"/>
      <c r="I1583" s="327"/>
    </row>
    <row r="1584">
      <c r="A1584" s="324"/>
      <c r="B1584" s="326"/>
      <c r="C1584" s="475"/>
      <c r="D1584" s="475"/>
      <c r="E1584" s="477"/>
      <c r="F1584" s="475"/>
      <c r="G1584" s="477"/>
      <c r="H1584" s="477"/>
      <c r="I1584" s="475"/>
    </row>
    <row r="1585">
      <c r="A1585" s="285"/>
      <c r="B1585" s="326"/>
      <c r="C1585" s="327"/>
      <c r="D1585" s="327"/>
      <c r="E1585" s="328"/>
      <c r="F1585" s="327"/>
      <c r="G1585" s="328"/>
      <c r="H1585" s="328"/>
      <c r="I1585" s="327"/>
    </row>
    <row r="1586">
      <c r="A1586" s="324"/>
      <c r="B1586" s="326"/>
      <c r="C1586" s="475"/>
      <c r="D1586" s="475"/>
      <c r="E1586" s="477"/>
      <c r="F1586" s="475"/>
      <c r="G1586" s="477"/>
      <c r="H1586" s="477"/>
      <c r="I1586" s="475"/>
    </row>
    <row r="1587">
      <c r="A1587" s="285"/>
      <c r="B1587" s="326"/>
      <c r="C1587" s="327"/>
      <c r="D1587" s="327"/>
      <c r="E1587" s="328"/>
      <c r="F1587" s="327"/>
      <c r="G1587" s="328"/>
      <c r="H1587" s="328"/>
      <c r="I1587" s="327"/>
    </row>
    <row r="1588">
      <c r="A1588" s="324"/>
      <c r="B1588" s="326"/>
      <c r="C1588" s="475"/>
      <c r="D1588" s="475"/>
      <c r="E1588" s="477"/>
      <c r="F1588" s="475"/>
      <c r="G1588" s="477"/>
      <c r="H1588" s="477"/>
      <c r="I1588" s="475"/>
    </row>
    <row r="1589">
      <c r="A1589" s="285"/>
      <c r="B1589" s="326"/>
      <c r="C1589" s="327"/>
      <c r="D1589" s="327"/>
      <c r="E1589" s="328"/>
      <c r="F1589" s="327"/>
      <c r="G1589" s="328"/>
      <c r="H1589" s="328"/>
      <c r="I1589" s="327"/>
    </row>
    <row r="1590">
      <c r="A1590" s="324"/>
      <c r="B1590" s="326"/>
      <c r="C1590" s="475"/>
      <c r="D1590" s="475"/>
      <c r="E1590" s="477"/>
      <c r="F1590" s="475"/>
      <c r="G1590" s="477"/>
      <c r="H1590" s="477"/>
      <c r="I1590" s="475"/>
    </row>
    <row r="1591">
      <c r="A1591" s="285"/>
      <c r="B1591" s="326"/>
      <c r="C1591" s="327"/>
      <c r="D1591" s="327"/>
      <c r="E1591" s="328"/>
      <c r="F1591" s="327"/>
      <c r="G1591" s="328"/>
      <c r="H1591" s="328"/>
      <c r="I1591" s="327"/>
    </row>
    <row r="1592">
      <c r="A1592" s="324"/>
      <c r="B1592" s="326"/>
      <c r="C1592" s="475"/>
      <c r="D1592" s="475"/>
      <c r="E1592" s="477"/>
      <c r="F1592" s="475"/>
      <c r="G1592" s="477"/>
      <c r="H1592" s="477"/>
      <c r="I1592" s="475"/>
    </row>
    <row r="1593">
      <c r="A1593" s="285"/>
      <c r="B1593" s="326"/>
      <c r="C1593" s="327"/>
      <c r="D1593" s="327"/>
      <c r="E1593" s="328"/>
      <c r="F1593" s="327"/>
      <c r="G1593" s="328"/>
      <c r="H1593" s="328"/>
      <c r="I1593" s="327"/>
    </row>
    <row r="1594">
      <c r="A1594" s="324"/>
      <c r="B1594" s="326"/>
      <c r="C1594" s="475"/>
      <c r="D1594" s="475"/>
      <c r="E1594" s="477"/>
      <c r="F1594" s="475"/>
      <c r="G1594" s="477"/>
      <c r="H1594" s="477"/>
      <c r="I1594" s="475"/>
    </row>
    <row r="1595">
      <c r="A1595" s="285"/>
      <c r="B1595" s="326"/>
      <c r="C1595" s="327"/>
      <c r="D1595" s="327"/>
      <c r="E1595" s="328"/>
      <c r="F1595" s="327"/>
      <c r="G1595" s="328"/>
      <c r="H1595" s="328"/>
      <c r="I1595" s="327"/>
    </row>
    <row r="1596">
      <c r="A1596" s="324"/>
      <c r="B1596" s="326"/>
      <c r="C1596" s="475"/>
      <c r="D1596" s="475"/>
      <c r="E1596" s="477"/>
      <c r="F1596" s="475"/>
      <c r="G1596" s="477"/>
      <c r="H1596" s="477"/>
      <c r="I1596" s="475"/>
    </row>
    <row r="1597">
      <c r="A1597" s="285"/>
      <c r="B1597" s="326"/>
      <c r="C1597" s="327"/>
      <c r="D1597" s="327"/>
      <c r="E1597" s="328"/>
      <c r="F1597" s="327"/>
      <c r="G1597" s="328"/>
      <c r="H1597" s="328"/>
      <c r="I1597" s="327"/>
    </row>
    <row r="1598">
      <c r="A1598" s="324"/>
      <c r="B1598" s="326"/>
      <c r="C1598" s="475"/>
      <c r="D1598" s="475"/>
      <c r="E1598" s="477"/>
      <c r="F1598" s="475"/>
      <c r="G1598" s="477"/>
      <c r="H1598" s="477"/>
      <c r="I1598" s="475"/>
    </row>
    <row r="1599">
      <c r="A1599" s="285"/>
      <c r="B1599" s="326"/>
      <c r="C1599" s="327"/>
      <c r="D1599" s="327"/>
      <c r="E1599" s="328"/>
      <c r="F1599" s="327"/>
      <c r="G1599" s="328"/>
      <c r="H1599" s="328"/>
      <c r="I1599" s="327"/>
    </row>
    <row r="1600">
      <c r="A1600" s="324"/>
      <c r="B1600" s="326"/>
      <c r="C1600" s="475"/>
      <c r="D1600" s="475"/>
      <c r="E1600" s="477"/>
      <c r="F1600" s="475"/>
      <c r="G1600" s="477"/>
      <c r="H1600" s="477"/>
      <c r="I1600" s="475"/>
    </row>
    <row r="1601">
      <c r="A1601" s="285"/>
      <c r="B1601" s="326"/>
      <c r="C1601" s="327"/>
      <c r="D1601" s="327"/>
      <c r="E1601" s="328"/>
      <c r="F1601" s="327"/>
      <c r="G1601" s="328"/>
      <c r="H1601" s="328"/>
      <c r="I1601" s="327"/>
    </row>
    <row r="1602">
      <c r="A1602" s="324"/>
      <c r="B1602" s="326"/>
      <c r="C1602" s="475"/>
      <c r="D1602" s="475"/>
      <c r="E1602" s="477"/>
      <c r="F1602" s="475"/>
      <c r="G1602" s="477"/>
      <c r="H1602" s="477"/>
      <c r="I1602" s="475"/>
    </row>
    <row r="1603">
      <c r="A1603" s="285"/>
      <c r="B1603" s="326"/>
      <c r="C1603" s="327"/>
      <c r="D1603" s="327"/>
      <c r="E1603" s="328"/>
      <c r="F1603" s="327"/>
      <c r="G1603" s="328"/>
      <c r="H1603" s="328"/>
      <c r="I1603" s="327"/>
    </row>
    <row r="1604">
      <c r="A1604" s="324"/>
      <c r="B1604" s="326"/>
      <c r="C1604" s="475"/>
      <c r="D1604" s="475"/>
      <c r="E1604" s="477"/>
      <c r="F1604" s="475"/>
      <c r="G1604" s="477"/>
      <c r="H1604" s="477"/>
      <c r="I1604" s="475"/>
    </row>
    <row r="1605">
      <c r="A1605" s="285"/>
      <c r="B1605" s="326"/>
      <c r="C1605" s="327"/>
      <c r="D1605" s="327"/>
      <c r="E1605" s="328"/>
      <c r="F1605" s="327"/>
      <c r="G1605" s="328"/>
      <c r="H1605" s="328"/>
      <c r="I1605" s="327"/>
    </row>
    <row r="1606">
      <c r="A1606" s="324"/>
      <c r="B1606" s="326"/>
      <c r="C1606" s="475"/>
      <c r="D1606" s="475"/>
      <c r="E1606" s="477"/>
      <c r="F1606" s="475"/>
      <c r="G1606" s="477"/>
      <c r="H1606" s="477"/>
      <c r="I1606" s="475"/>
    </row>
    <row r="1607">
      <c r="A1607" s="285"/>
      <c r="B1607" s="326"/>
      <c r="C1607" s="327"/>
      <c r="D1607" s="327"/>
      <c r="E1607" s="328"/>
      <c r="F1607" s="327"/>
      <c r="G1607" s="328"/>
      <c r="H1607" s="328"/>
      <c r="I1607" s="327"/>
    </row>
    <row r="1608">
      <c r="A1608" s="324"/>
      <c r="B1608" s="326"/>
      <c r="C1608" s="475"/>
      <c r="D1608" s="475"/>
      <c r="E1608" s="477"/>
      <c r="F1608" s="475"/>
      <c r="G1608" s="477"/>
      <c r="H1608" s="477"/>
      <c r="I1608" s="475"/>
    </row>
    <row r="1609">
      <c r="A1609" s="285"/>
      <c r="B1609" s="326"/>
      <c r="C1609" s="327"/>
      <c r="D1609" s="327"/>
      <c r="E1609" s="328"/>
      <c r="F1609" s="327"/>
      <c r="G1609" s="328"/>
      <c r="H1609" s="328"/>
      <c r="I1609" s="327"/>
    </row>
    <row r="1610">
      <c r="A1610" s="324"/>
      <c r="B1610" s="326"/>
      <c r="C1610" s="475"/>
      <c r="D1610" s="475"/>
      <c r="E1610" s="477"/>
      <c r="F1610" s="475"/>
      <c r="G1610" s="477"/>
      <c r="H1610" s="477"/>
      <c r="I1610" s="475"/>
    </row>
    <row r="1611">
      <c r="A1611" s="285"/>
      <c r="B1611" s="326"/>
      <c r="C1611" s="327"/>
      <c r="D1611" s="327"/>
      <c r="E1611" s="328"/>
      <c r="F1611" s="327"/>
      <c r="G1611" s="328"/>
      <c r="H1611" s="328"/>
      <c r="I1611" s="327"/>
    </row>
    <row r="1612">
      <c r="A1612" s="324"/>
      <c r="B1612" s="326"/>
      <c r="C1612" s="475"/>
      <c r="D1612" s="475"/>
      <c r="E1612" s="477"/>
      <c r="F1612" s="475"/>
      <c r="G1612" s="477"/>
      <c r="H1612" s="477"/>
      <c r="I1612" s="475"/>
    </row>
    <row r="1613">
      <c r="A1613" s="285"/>
      <c r="B1613" s="326"/>
      <c r="C1613" s="327"/>
      <c r="D1613" s="327"/>
      <c r="E1613" s="328"/>
      <c r="F1613" s="327"/>
      <c r="G1613" s="328"/>
      <c r="H1613" s="328"/>
      <c r="I1613" s="327"/>
    </row>
    <row r="1614">
      <c r="A1614" s="324"/>
      <c r="B1614" s="326"/>
      <c r="C1614" s="475"/>
      <c r="D1614" s="475"/>
      <c r="E1614" s="477"/>
      <c r="F1614" s="475"/>
      <c r="G1614" s="477"/>
      <c r="H1614" s="477"/>
      <c r="I1614" s="475"/>
    </row>
    <row r="1615">
      <c r="A1615" s="285"/>
      <c r="B1615" s="326"/>
      <c r="C1615" s="327"/>
      <c r="D1615" s="327"/>
      <c r="E1615" s="328"/>
      <c r="F1615" s="327"/>
      <c r="G1615" s="328"/>
      <c r="H1615" s="328"/>
      <c r="I1615" s="327"/>
    </row>
    <row r="1616">
      <c r="A1616" s="324"/>
      <c r="B1616" s="326"/>
      <c r="C1616" s="475"/>
      <c r="D1616" s="475"/>
      <c r="E1616" s="477"/>
      <c r="F1616" s="475"/>
      <c r="G1616" s="477"/>
      <c r="H1616" s="477"/>
      <c r="I1616" s="475"/>
    </row>
    <row r="1617">
      <c r="A1617" s="285"/>
      <c r="B1617" s="326"/>
      <c r="C1617" s="327"/>
      <c r="D1617" s="327"/>
      <c r="E1617" s="328"/>
      <c r="F1617" s="327"/>
      <c r="G1617" s="328"/>
      <c r="H1617" s="328"/>
      <c r="I1617" s="327"/>
    </row>
    <row r="1618">
      <c r="A1618" s="324"/>
      <c r="B1618" s="326"/>
      <c r="C1618" s="475"/>
      <c r="D1618" s="475"/>
      <c r="E1618" s="477"/>
      <c r="F1618" s="475"/>
      <c r="G1618" s="477"/>
      <c r="H1618" s="477"/>
      <c r="I1618" s="475"/>
    </row>
    <row r="1619">
      <c r="A1619" s="285"/>
      <c r="B1619" s="326"/>
      <c r="C1619" s="327"/>
      <c r="D1619" s="327"/>
      <c r="E1619" s="328"/>
      <c r="F1619" s="327"/>
      <c r="G1619" s="328"/>
      <c r="H1619" s="328"/>
      <c r="I1619" s="327"/>
    </row>
    <row r="1620">
      <c r="A1620" s="324"/>
      <c r="B1620" s="326"/>
      <c r="C1620" s="475"/>
      <c r="D1620" s="475"/>
      <c r="E1620" s="477"/>
      <c r="F1620" s="475"/>
      <c r="G1620" s="477"/>
      <c r="H1620" s="477"/>
      <c r="I1620" s="475"/>
    </row>
    <row r="1621">
      <c r="A1621" s="285"/>
      <c r="B1621" s="326"/>
      <c r="C1621" s="327"/>
      <c r="D1621" s="327"/>
      <c r="E1621" s="328"/>
      <c r="F1621" s="327"/>
      <c r="G1621" s="328"/>
      <c r="H1621" s="328"/>
      <c r="I1621" s="327"/>
    </row>
    <row r="1622">
      <c r="A1622" s="324"/>
      <c r="B1622" s="326"/>
      <c r="C1622" s="475"/>
      <c r="D1622" s="475"/>
      <c r="E1622" s="477"/>
      <c r="F1622" s="475"/>
      <c r="G1622" s="477"/>
      <c r="H1622" s="477"/>
      <c r="I1622" s="475"/>
    </row>
    <row r="1623">
      <c r="A1623" s="285"/>
      <c r="B1623" s="326"/>
      <c r="C1623" s="327"/>
      <c r="D1623" s="327"/>
      <c r="E1623" s="328"/>
      <c r="F1623" s="327"/>
      <c r="G1623" s="328"/>
      <c r="H1623" s="328"/>
      <c r="I1623" s="327"/>
    </row>
    <row r="1624">
      <c r="A1624" s="324"/>
      <c r="B1624" s="326"/>
      <c r="C1624" s="475"/>
      <c r="D1624" s="475"/>
      <c r="E1624" s="477"/>
      <c r="F1624" s="475"/>
      <c r="G1624" s="477"/>
      <c r="H1624" s="477"/>
      <c r="I1624" s="475"/>
    </row>
    <row r="1625">
      <c r="A1625" s="285"/>
      <c r="B1625" s="326"/>
      <c r="C1625" s="327"/>
      <c r="D1625" s="327"/>
      <c r="E1625" s="328"/>
      <c r="F1625" s="327"/>
      <c r="G1625" s="328"/>
      <c r="H1625" s="328"/>
      <c r="I1625" s="327"/>
    </row>
    <row r="1626">
      <c r="A1626" s="324"/>
      <c r="B1626" s="326"/>
      <c r="C1626" s="475"/>
      <c r="D1626" s="475"/>
      <c r="E1626" s="477"/>
      <c r="F1626" s="475"/>
      <c r="G1626" s="477"/>
      <c r="H1626" s="477"/>
      <c r="I1626" s="475"/>
    </row>
    <row r="1627">
      <c r="A1627" s="285"/>
      <c r="B1627" s="326"/>
      <c r="C1627" s="327"/>
      <c r="D1627" s="327"/>
      <c r="E1627" s="328"/>
      <c r="F1627" s="327"/>
      <c r="G1627" s="328"/>
      <c r="H1627" s="328"/>
      <c r="I1627" s="327"/>
    </row>
    <row r="1628">
      <c r="A1628" s="324"/>
      <c r="B1628" s="326"/>
      <c r="C1628" s="475"/>
      <c r="D1628" s="475"/>
      <c r="E1628" s="477"/>
      <c r="F1628" s="475"/>
      <c r="G1628" s="477"/>
      <c r="H1628" s="477"/>
      <c r="I1628" s="475"/>
    </row>
    <row r="1629">
      <c r="A1629" s="285"/>
      <c r="B1629" s="326"/>
      <c r="C1629" s="327"/>
      <c r="D1629" s="327"/>
      <c r="E1629" s="328"/>
      <c r="F1629" s="327"/>
      <c r="G1629" s="328"/>
      <c r="H1629" s="328"/>
      <c r="I1629" s="327"/>
    </row>
    <row r="1630">
      <c r="A1630" s="324"/>
      <c r="B1630" s="326"/>
      <c r="C1630" s="475"/>
      <c r="D1630" s="475"/>
      <c r="E1630" s="477"/>
      <c r="F1630" s="475"/>
      <c r="G1630" s="477"/>
      <c r="H1630" s="477"/>
      <c r="I1630" s="475"/>
    </row>
    <row r="1631">
      <c r="A1631" s="285"/>
      <c r="B1631" s="326"/>
      <c r="C1631" s="327"/>
      <c r="D1631" s="327"/>
      <c r="E1631" s="328"/>
      <c r="F1631" s="327"/>
      <c r="G1631" s="328"/>
      <c r="H1631" s="328"/>
      <c r="I1631" s="327"/>
    </row>
    <row r="1632">
      <c r="A1632" s="324"/>
      <c r="B1632" s="326"/>
      <c r="C1632" s="475"/>
      <c r="D1632" s="475"/>
      <c r="E1632" s="477"/>
      <c r="F1632" s="475"/>
      <c r="G1632" s="477"/>
      <c r="H1632" s="477"/>
      <c r="I1632" s="475"/>
    </row>
    <row r="1633">
      <c r="A1633" s="285"/>
      <c r="B1633" s="326"/>
      <c r="C1633" s="327"/>
      <c r="D1633" s="327"/>
      <c r="E1633" s="328"/>
      <c r="F1633" s="327"/>
      <c r="G1633" s="328"/>
      <c r="H1633" s="328"/>
      <c r="I1633" s="327"/>
    </row>
    <row r="1634">
      <c r="A1634" s="324"/>
      <c r="B1634" s="326"/>
      <c r="C1634" s="475"/>
      <c r="D1634" s="475"/>
      <c r="E1634" s="477"/>
      <c r="F1634" s="475"/>
      <c r="G1634" s="477"/>
      <c r="H1634" s="477"/>
      <c r="I1634" s="475"/>
    </row>
    <row r="1635">
      <c r="A1635" s="285"/>
      <c r="B1635" s="326"/>
      <c r="C1635" s="327"/>
      <c r="D1635" s="327"/>
      <c r="E1635" s="328"/>
      <c r="F1635" s="327"/>
      <c r="G1635" s="328"/>
      <c r="H1635" s="328"/>
      <c r="I1635" s="327"/>
    </row>
    <row r="1636">
      <c r="A1636" s="324"/>
      <c r="B1636" s="326"/>
      <c r="C1636" s="475"/>
      <c r="D1636" s="475"/>
      <c r="E1636" s="477"/>
      <c r="F1636" s="475"/>
      <c r="G1636" s="477"/>
      <c r="H1636" s="477"/>
      <c r="I1636" s="475"/>
    </row>
    <row r="1637">
      <c r="A1637" s="285"/>
      <c r="B1637" s="326"/>
      <c r="C1637" s="327"/>
      <c r="D1637" s="327"/>
      <c r="E1637" s="328"/>
      <c r="F1637" s="327"/>
      <c r="G1637" s="328"/>
      <c r="H1637" s="328"/>
      <c r="I1637" s="327"/>
    </row>
    <row r="1638">
      <c r="A1638" s="324"/>
      <c r="B1638" s="326"/>
      <c r="C1638" s="475"/>
      <c r="D1638" s="475"/>
      <c r="E1638" s="477"/>
      <c r="F1638" s="475"/>
      <c r="G1638" s="477"/>
      <c r="H1638" s="477"/>
      <c r="I1638" s="475"/>
    </row>
    <row r="1639">
      <c r="A1639" s="285"/>
      <c r="B1639" s="326"/>
      <c r="C1639" s="327"/>
      <c r="D1639" s="327"/>
      <c r="E1639" s="328"/>
      <c r="F1639" s="327"/>
      <c r="G1639" s="328"/>
      <c r="H1639" s="328"/>
      <c r="I1639" s="327"/>
    </row>
    <row r="1640">
      <c r="A1640" s="324"/>
      <c r="B1640" s="326"/>
      <c r="C1640" s="475"/>
      <c r="D1640" s="475"/>
      <c r="E1640" s="477"/>
      <c r="F1640" s="475"/>
      <c r="G1640" s="477"/>
      <c r="H1640" s="477"/>
      <c r="I1640" s="475"/>
    </row>
    <row r="1641">
      <c r="A1641" s="285"/>
      <c r="B1641" s="326"/>
      <c r="C1641" s="327"/>
      <c r="D1641" s="327"/>
      <c r="E1641" s="328"/>
      <c r="F1641" s="327"/>
      <c r="G1641" s="328"/>
      <c r="H1641" s="328"/>
      <c r="I1641" s="327"/>
    </row>
    <row r="1642">
      <c r="A1642" s="324"/>
      <c r="B1642" s="326"/>
      <c r="C1642" s="475"/>
      <c r="D1642" s="475"/>
      <c r="E1642" s="477"/>
      <c r="F1642" s="475"/>
      <c r="G1642" s="477"/>
      <c r="H1642" s="477"/>
      <c r="I1642" s="475"/>
    </row>
    <row r="1643">
      <c r="A1643" s="285"/>
      <c r="B1643" s="326"/>
      <c r="C1643" s="327"/>
      <c r="D1643" s="327"/>
      <c r="E1643" s="328"/>
      <c r="F1643" s="327"/>
      <c r="G1643" s="328"/>
      <c r="H1643" s="328"/>
      <c r="I1643" s="327"/>
    </row>
    <row r="1644">
      <c r="A1644" s="324"/>
      <c r="B1644" s="326"/>
      <c r="C1644" s="475"/>
      <c r="D1644" s="475"/>
      <c r="E1644" s="477"/>
      <c r="F1644" s="475"/>
      <c r="G1644" s="477"/>
      <c r="H1644" s="477"/>
      <c r="I1644" s="475"/>
    </row>
    <row r="1645">
      <c r="A1645" s="285"/>
      <c r="B1645" s="326"/>
      <c r="C1645" s="327"/>
      <c r="D1645" s="327"/>
      <c r="E1645" s="328"/>
      <c r="F1645" s="327"/>
      <c r="G1645" s="328"/>
      <c r="H1645" s="328"/>
      <c r="I1645" s="327"/>
    </row>
    <row r="1646">
      <c r="A1646" s="324"/>
      <c r="B1646" s="326"/>
      <c r="C1646" s="475"/>
      <c r="D1646" s="475"/>
      <c r="E1646" s="477"/>
      <c r="F1646" s="475"/>
      <c r="G1646" s="477"/>
      <c r="H1646" s="477"/>
      <c r="I1646" s="475"/>
    </row>
    <row r="1647">
      <c r="A1647" s="285"/>
      <c r="B1647" s="326"/>
      <c r="C1647" s="327"/>
      <c r="D1647" s="327"/>
      <c r="E1647" s="328"/>
      <c r="F1647" s="327"/>
      <c r="G1647" s="328"/>
      <c r="H1647" s="328"/>
      <c r="I1647" s="327"/>
    </row>
    <row r="1648">
      <c r="A1648" s="324"/>
      <c r="B1648" s="326"/>
      <c r="C1648" s="475"/>
      <c r="D1648" s="475"/>
      <c r="E1648" s="477"/>
      <c r="F1648" s="475"/>
      <c r="G1648" s="477"/>
      <c r="H1648" s="477"/>
      <c r="I1648" s="475"/>
    </row>
    <row r="1649">
      <c r="A1649" s="285"/>
      <c r="B1649" s="326"/>
      <c r="C1649" s="327"/>
      <c r="D1649" s="327"/>
      <c r="E1649" s="328"/>
      <c r="F1649" s="327"/>
      <c r="G1649" s="328"/>
      <c r="H1649" s="328"/>
      <c r="I1649" s="327"/>
    </row>
    <row r="1650">
      <c r="A1650" s="324"/>
      <c r="B1650" s="326"/>
      <c r="C1650" s="475"/>
      <c r="D1650" s="475"/>
      <c r="E1650" s="477"/>
      <c r="F1650" s="475"/>
      <c r="G1650" s="477"/>
      <c r="H1650" s="477"/>
      <c r="I1650" s="475"/>
    </row>
    <row r="1651">
      <c r="A1651" s="285"/>
      <c r="B1651" s="326"/>
      <c r="C1651" s="327"/>
      <c r="D1651" s="327"/>
      <c r="E1651" s="328"/>
      <c r="F1651" s="327"/>
      <c r="G1651" s="328"/>
      <c r="H1651" s="328"/>
      <c r="I1651" s="327"/>
    </row>
    <row r="1652">
      <c r="A1652" s="324"/>
      <c r="B1652" s="326"/>
      <c r="C1652" s="475"/>
      <c r="D1652" s="475"/>
      <c r="E1652" s="477"/>
      <c r="F1652" s="475"/>
      <c r="G1652" s="477"/>
      <c r="H1652" s="477"/>
      <c r="I1652" s="475"/>
    </row>
    <row r="1653">
      <c r="A1653" s="285"/>
      <c r="B1653" s="326"/>
      <c r="C1653" s="327"/>
      <c r="D1653" s="327"/>
      <c r="E1653" s="328"/>
      <c r="F1653" s="327"/>
      <c r="G1653" s="328"/>
      <c r="H1653" s="328"/>
      <c r="I1653" s="327"/>
    </row>
    <row r="1654">
      <c r="A1654" s="324"/>
      <c r="B1654" s="326"/>
      <c r="C1654" s="475"/>
      <c r="D1654" s="475"/>
      <c r="E1654" s="477"/>
      <c r="F1654" s="475"/>
      <c r="G1654" s="477"/>
      <c r="H1654" s="477"/>
      <c r="I1654" s="475"/>
    </row>
    <row r="1655">
      <c r="A1655" s="285"/>
      <c r="B1655" s="326"/>
      <c r="C1655" s="327"/>
      <c r="D1655" s="327"/>
      <c r="E1655" s="328"/>
      <c r="F1655" s="327"/>
      <c r="G1655" s="328"/>
      <c r="H1655" s="328"/>
      <c r="I1655" s="327"/>
    </row>
    <row r="1656">
      <c r="A1656" s="324"/>
      <c r="B1656" s="326"/>
      <c r="C1656" s="475"/>
      <c r="D1656" s="475"/>
      <c r="E1656" s="477"/>
      <c r="F1656" s="475"/>
      <c r="G1656" s="477"/>
      <c r="H1656" s="477"/>
      <c r="I1656" s="475"/>
    </row>
    <row r="1657">
      <c r="A1657" s="285"/>
      <c r="B1657" s="326"/>
      <c r="C1657" s="327"/>
      <c r="D1657" s="327"/>
      <c r="E1657" s="328"/>
      <c r="F1657" s="327"/>
      <c r="G1657" s="328"/>
      <c r="H1657" s="328"/>
      <c r="I1657" s="327"/>
    </row>
    <row r="1658">
      <c r="A1658" s="324"/>
      <c r="B1658" s="326"/>
      <c r="C1658" s="475"/>
      <c r="D1658" s="475"/>
      <c r="E1658" s="477"/>
      <c r="F1658" s="475"/>
      <c r="G1658" s="477"/>
      <c r="H1658" s="477"/>
      <c r="I1658" s="475"/>
    </row>
    <row r="1659">
      <c r="A1659" s="285"/>
      <c r="B1659" s="326"/>
      <c r="C1659" s="327"/>
      <c r="D1659" s="327"/>
      <c r="E1659" s="328"/>
      <c r="F1659" s="327"/>
      <c r="G1659" s="328"/>
      <c r="H1659" s="328"/>
      <c r="I1659" s="327"/>
    </row>
    <row r="1660">
      <c r="A1660" s="324"/>
      <c r="B1660" s="326"/>
      <c r="C1660" s="475"/>
      <c r="D1660" s="475"/>
      <c r="E1660" s="477"/>
      <c r="F1660" s="475"/>
      <c r="G1660" s="477"/>
      <c r="H1660" s="477"/>
      <c r="I1660" s="475"/>
    </row>
    <row r="1661">
      <c r="A1661" s="285"/>
      <c r="B1661" s="326"/>
      <c r="C1661" s="327"/>
      <c r="D1661" s="327"/>
      <c r="E1661" s="328"/>
      <c r="F1661" s="327"/>
      <c r="G1661" s="328"/>
      <c r="H1661" s="328"/>
      <c r="I1661" s="327"/>
    </row>
    <row r="1662">
      <c r="A1662" s="324"/>
      <c r="B1662" s="326"/>
      <c r="C1662" s="475"/>
      <c r="D1662" s="475"/>
      <c r="E1662" s="477"/>
      <c r="F1662" s="475"/>
      <c r="G1662" s="477"/>
      <c r="H1662" s="477"/>
      <c r="I1662" s="475"/>
    </row>
    <row r="1663">
      <c r="A1663" s="285"/>
      <c r="B1663" s="326"/>
      <c r="C1663" s="327"/>
      <c r="D1663" s="327"/>
      <c r="E1663" s="328"/>
      <c r="F1663" s="327"/>
      <c r="G1663" s="328"/>
      <c r="H1663" s="328"/>
      <c r="I1663" s="327"/>
    </row>
    <row r="1664">
      <c r="A1664" s="324"/>
      <c r="B1664" s="326"/>
      <c r="C1664" s="475"/>
      <c r="D1664" s="475"/>
      <c r="E1664" s="477"/>
      <c r="F1664" s="475"/>
      <c r="G1664" s="477"/>
      <c r="H1664" s="477"/>
      <c r="I1664" s="475"/>
    </row>
    <row r="1665">
      <c r="A1665" s="285"/>
      <c r="B1665" s="326"/>
      <c r="C1665" s="327"/>
      <c r="D1665" s="327"/>
      <c r="E1665" s="328"/>
      <c r="F1665" s="327"/>
      <c r="G1665" s="328"/>
      <c r="H1665" s="328"/>
      <c r="I1665" s="327"/>
    </row>
    <row r="1666">
      <c r="A1666" s="324"/>
      <c r="B1666" s="326"/>
      <c r="C1666" s="475"/>
      <c r="D1666" s="475"/>
      <c r="E1666" s="477"/>
      <c r="F1666" s="475"/>
      <c r="G1666" s="477"/>
      <c r="H1666" s="477"/>
      <c r="I1666" s="475"/>
    </row>
    <row r="1667">
      <c r="A1667" s="285"/>
      <c r="B1667" s="326"/>
      <c r="C1667" s="327"/>
      <c r="D1667" s="327"/>
      <c r="E1667" s="328"/>
      <c r="F1667" s="327"/>
      <c r="G1667" s="328"/>
      <c r="H1667" s="328"/>
      <c r="I1667" s="327"/>
    </row>
    <row r="1668">
      <c r="A1668" s="324"/>
      <c r="B1668" s="326"/>
      <c r="C1668" s="475"/>
      <c r="D1668" s="475"/>
      <c r="E1668" s="477"/>
      <c r="F1668" s="475"/>
      <c r="G1668" s="477"/>
      <c r="H1668" s="477"/>
      <c r="I1668" s="475"/>
    </row>
    <row r="1669">
      <c r="A1669" s="285"/>
      <c r="B1669" s="326"/>
      <c r="C1669" s="327"/>
      <c r="D1669" s="327"/>
      <c r="E1669" s="328"/>
      <c r="F1669" s="327"/>
      <c r="G1669" s="328"/>
      <c r="H1669" s="328"/>
      <c r="I1669" s="327"/>
    </row>
    <row r="1670">
      <c r="A1670" s="324"/>
      <c r="B1670" s="326"/>
      <c r="C1670" s="475"/>
      <c r="D1670" s="475"/>
      <c r="E1670" s="477"/>
      <c r="F1670" s="475"/>
      <c r="G1670" s="477"/>
      <c r="H1670" s="477"/>
      <c r="I1670" s="475"/>
    </row>
    <row r="1671">
      <c r="A1671" s="285"/>
      <c r="B1671" s="326"/>
      <c r="C1671" s="327"/>
      <c r="D1671" s="327"/>
      <c r="E1671" s="328"/>
      <c r="F1671" s="327"/>
      <c r="G1671" s="328"/>
      <c r="H1671" s="328"/>
      <c r="I1671" s="327"/>
    </row>
    <row r="1672">
      <c r="A1672" s="324"/>
      <c r="B1672" s="326"/>
      <c r="C1672" s="475"/>
      <c r="D1672" s="475"/>
      <c r="E1672" s="477"/>
      <c r="F1672" s="475"/>
      <c r="G1672" s="477"/>
      <c r="H1672" s="477"/>
      <c r="I1672" s="475"/>
    </row>
    <row r="1673">
      <c r="A1673" s="285"/>
      <c r="B1673" s="326"/>
      <c r="C1673" s="327"/>
      <c r="D1673" s="327"/>
      <c r="E1673" s="328"/>
      <c r="F1673" s="327"/>
      <c r="G1673" s="328"/>
      <c r="H1673" s="328"/>
      <c r="I1673" s="327"/>
    </row>
    <row r="1674">
      <c r="A1674" s="324"/>
      <c r="B1674" s="326"/>
      <c r="C1674" s="475"/>
      <c r="D1674" s="475"/>
      <c r="E1674" s="477"/>
      <c r="F1674" s="475"/>
      <c r="G1674" s="477"/>
      <c r="H1674" s="477"/>
      <c r="I1674" s="475"/>
    </row>
    <row r="1675">
      <c r="A1675" s="285"/>
      <c r="B1675" s="326"/>
      <c r="C1675" s="327"/>
      <c r="D1675" s="327"/>
      <c r="E1675" s="328"/>
      <c r="F1675" s="327"/>
      <c r="G1675" s="328"/>
      <c r="H1675" s="328"/>
      <c r="I1675" s="327"/>
    </row>
    <row r="1676">
      <c r="A1676" s="324"/>
      <c r="B1676" s="326"/>
      <c r="C1676" s="475"/>
      <c r="D1676" s="475"/>
      <c r="E1676" s="477"/>
      <c r="F1676" s="475"/>
      <c r="G1676" s="477"/>
      <c r="H1676" s="477"/>
      <c r="I1676" s="475"/>
    </row>
    <row r="1677">
      <c r="A1677" s="285"/>
      <c r="B1677" s="326"/>
      <c r="C1677" s="327"/>
      <c r="D1677" s="327"/>
      <c r="E1677" s="328"/>
      <c r="F1677" s="327"/>
      <c r="G1677" s="328"/>
      <c r="H1677" s="328"/>
      <c r="I1677" s="327"/>
    </row>
    <row r="1678">
      <c r="A1678" s="324"/>
      <c r="B1678" s="326"/>
      <c r="C1678" s="475"/>
      <c r="D1678" s="475"/>
      <c r="E1678" s="477"/>
      <c r="F1678" s="475"/>
      <c r="G1678" s="477"/>
      <c r="H1678" s="477"/>
      <c r="I1678" s="475"/>
    </row>
    <row r="1679">
      <c r="A1679" s="285"/>
      <c r="B1679" s="326"/>
      <c r="C1679" s="327"/>
      <c r="D1679" s="327"/>
      <c r="E1679" s="328"/>
      <c r="F1679" s="327"/>
      <c r="G1679" s="328"/>
      <c r="H1679" s="328"/>
      <c r="I1679" s="327"/>
    </row>
    <row r="1680">
      <c r="A1680" s="324"/>
      <c r="B1680" s="326"/>
      <c r="C1680" s="475"/>
      <c r="D1680" s="475"/>
      <c r="E1680" s="477"/>
      <c r="F1680" s="475"/>
      <c r="G1680" s="477"/>
      <c r="H1680" s="477"/>
      <c r="I1680" s="475"/>
    </row>
    <row r="1681">
      <c r="A1681" s="285"/>
      <c r="B1681" s="326"/>
      <c r="C1681" s="327"/>
      <c r="D1681" s="327"/>
      <c r="E1681" s="328"/>
      <c r="F1681" s="327"/>
      <c r="G1681" s="328"/>
      <c r="H1681" s="328"/>
      <c r="I1681" s="327"/>
    </row>
    <row r="1682">
      <c r="A1682" s="324"/>
      <c r="B1682" s="326"/>
      <c r="C1682" s="475"/>
      <c r="D1682" s="475"/>
      <c r="E1682" s="477"/>
      <c r="F1682" s="475"/>
      <c r="G1682" s="477"/>
      <c r="H1682" s="477"/>
      <c r="I1682" s="475"/>
    </row>
    <row r="1683">
      <c r="A1683" s="285"/>
      <c r="B1683" s="326"/>
      <c r="C1683" s="327"/>
      <c r="D1683" s="327"/>
      <c r="E1683" s="328"/>
      <c r="F1683" s="327"/>
      <c r="G1683" s="328"/>
      <c r="H1683" s="328"/>
      <c r="I1683" s="327"/>
    </row>
    <row r="1684">
      <c r="A1684" s="324"/>
      <c r="B1684" s="326"/>
      <c r="C1684" s="475"/>
      <c r="D1684" s="475"/>
      <c r="E1684" s="477"/>
      <c r="F1684" s="475"/>
      <c r="G1684" s="477"/>
      <c r="H1684" s="477"/>
      <c r="I1684" s="475"/>
    </row>
    <row r="1685">
      <c r="A1685" s="285"/>
      <c r="B1685" s="326"/>
      <c r="C1685" s="327"/>
      <c r="D1685" s="327"/>
      <c r="E1685" s="328"/>
      <c r="F1685" s="327"/>
      <c r="G1685" s="328"/>
      <c r="H1685" s="328"/>
      <c r="I1685" s="327"/>
    </row>
    <row r="1686">
      <c r="A1686" s="324"/>
      <c r="B1686" s="326"/>
      <c r="C1686" s="475"/>
      <c r="D1686" s="475"/>
      <c r="E1686" s="477"/>
      <c r="F1686" s="475"/>
      <c r="G1686" s="477"/>
      <c r="H1686" s="477"/>
      <c r="I1686" s="475"/>
    </row>
    <row r="1687">
      <c r="A1687" s="285"/>
      <c r="B1687" s="326"/>
      <c r="C1687" s="327"/>
      <c r="D1687" s="327"/>
      <c r="E1687" s="328"/>
      <c r="F1687" s="327"/>
      <c r="G1687" s="328"/>
      <c r="H1687" s="328"/>
      <c r="I1687" s="327"/>
    </row>
    <row r="1688">
      <c r="A1688" s="324"/>
      <c r="B1688" s="326"/>
      <c r="C1688" s="475"/>
      <c r="D1688" s="475"/>
      <c r="E1688" s="477"/>
      <c r="F1688" s="475"/>
      <c r="G1688" s="477"/>
      <c r="H1688" s="477"/>
      <c r="I1688" s="475"/>
    </row>
    <row r="1689">
      <c r="A1689" s="285"/>
      <c r="B1689" s="326"/>
      <c r="C1689" s="327"/>
      <c r="D1689" s="327"/>
      <c r="E1689" s="328"/>
      <c r="F1689" s="327"/>
      <c r="G1689" s="328"/>
      <c r="H1689" s="328"/>
      <c r="I1689" s="327"/>
    </row>
    <row r="1690">
      <c r="A1690" s="324"/>
      <c r="B1690" s="326"/>
      <c r="C1690" s="475"/>
      <c r="D1690" s="475"/>
      <c r="E1690" s="477"/>
      <c r="F1690" s="475"/>
      <c r="G1690" s="477"/>
      <c r="H1690" s="477"/>
      <c r="I1690" s="475"/>
    </row>
    <row r="1691">
      <c r="A1691" s="285"/>
      <c r="B1691" s="326"/>
      <c r="C1691" s="327"/>
      <c r="D1691" s="327"/>
      <c r="E1691" s="328"/>
      <c r="F1691" s="327"/>
      <c r="G1691" s="328"/>
      <c r="H1691" s="328"/>
      <c r="I1691" s="327"/>
    </row>
    <row r="1692">
      <c r="A1692" s="324"/>
      <c r="B1692" s="326"/>
      <c r="C1692" s="475"/>
      <c r="D1692" s="475"/>
      <c r="E1692" s="477"/>
      <c r="F1692" s="475"/>
      <c r="G1692" s="477"/>
      <c r="H1692" s="477"/>
      <c r="I1692" s="475"/>
    </row>
    <row r="1693">
      <c r="A1693" s="285"/>
      <c r="B1693" s="326"/>
      <c r="C1693" s="327"/>
      <c r="D1693" s="327"/>
      <c r="E1693" s="328"/>
      <c r="F1693" s="327"/>
      <c r="G1693" s="328"/>
      <c r="H1693" s="328"/>
      <c r="I1693" s="327"/>
    </row>
    <row r="1694">
      <c r="A1694" s="324"/>
      <c r="B1694" s="326"/>
      <c r="C1694" s="475"/>
      <c r="D1694" s="475"/>
      <c r="E1694" s="477"/>
      <c r="F1694" s="475"/>
      <c r="G1694" s="477"/>
      <c r="H1694" s="477"/>
      <c r="I1694" s="475"/>
    </row>
    <row r="1695">
      <c r="A1695" s="285"/>
      <c r="B1695" s="326"/>
      <c r="C1695" s="327"/>
      <c r="D1695" s="327"/>
      <c r="E1695" s="328"/>
      <c r="F1695" s="327"/>
      <c r="G1695" s="328"/>
      <c r="H1695" s="328"/>
      <c r="I1695" s="327"/>
    </row>
    <row r="1696">
      <c r="A1696" s="324"/>
      <c r="B1696" s="326"/>
      <c r="C1696" s="475"/>
      <c r="D1696" s="475"/>
      <c r="E1696" s="477"/>
      <c r="F1696" s="475"/>
      <c r="G1696" s="477"/>
      <c r="H1696" s="477"/>
      <c r="I1696" s="475"/>
    </row>
    <row r="1697">
      <c r="A1697" s="285"/>
      <c r="B1697" s="326"/>
      <c r="C1697" s="327"/>
      <c r="D1697" s="327"/>
      <c r="E1697" s="328"/>
      <c r="F1697" s="327"/>
      <c r="G1697" s="328"/>
      <c r="H1697" s="328"/>
      <c r="I1697" s="327"/>
    </row>
    <row r="1698">
      <c r="A1698" s="324"/>
      <c r="B1698" s="326"/>
      <c r="C1698" s="475"/>
      <c r="D1698" s="475"/>
      <c r="E1698" s="477"/>
      <c r="F1698" s="475"/>
      <c r="G1698" s="477"/>
      <c r="H1698" s="477"/>
      <c r="I1698" s="475"/>
    </row>
    <row r="1699">
      <c r="A1699" s="285"/>
      <c r="B1699" s="326"/>
      <c r="C1699" s="327"/>
      <c r="D1699" s="327"/>
      <c r="E1699" s="328"/>
      <c r="F1699" s="327"/>
      <c r="G1699" s="328"/>
      <c r="H1699" s="328"/>
      <c r="I1699" s="327"/>
    </row>
    <row r="1700">
      <c r="A1700" s="324"/>
      <c r="B1700" s="326"/>
      <c r="C1700" s="475"/>
      <c r="D1700" s="475"/>
      <c r="E1700" s="477"/>
      <c r="F1700" s="475"/>
      <c r="G1700" s="477"/>
      <c r="H1700" s="477"/>
      <c r="I1700" s="475"/>
    </row>
    <row r="1701">
      <c r="A1701" s="285"/>
      <c r="B1701" s="326"/>
      <c r="C1701" s="327"/>
      <c r="D1701" s="327"/>
      <c r="E1701" s="328"/>
      <c r="F1701" s="327"/>
      <c r="G1701" s="328"/>
      <c r="H1701" s="328"/>
      <c r="I1701" s="327"/>
    </row>
    <row r="1702">
      <c r="A1702" s="324"/>
      <c r="B1702" s="326"/>
      <c r="C1702" s="475"/>
      <c r="D1702" s="475"/>
      <c r="E1702" s="477"/>
      <c r="F1702" s="475"/>
      <c r="G1702" s="477"/>
      <c r="H1702" s="477"/>
      <c r="I1702" s="475"/>
    </row>
    <row r="1703">
      <c r="A1703" s="285"/>
      <c r="B1703" s="326"/>
      <c r="C1703" s="327"/>
      <c r="D1703" s="327"/>
      <c r="E1703" s="328"/>
      <c r="F1703" s="327"/>
      <c r="G1703" s="328"/>
      <c r="H1703" s="328"/>
      <c r="I1703" s="327"/>
    </row>
    <row r="1704">
      <c r="A1704" s="324"/>
      <c r="B1704" s="326"/>
      <c r="C1704" s="475"/>
      <c r="D1704" s="475"/>
      <c r="E1704" s="477"/>
      <c r="F1704" s="475"/>
      <c r="G1704" s="477"/>
      <c r="H1704" s="477"/>
      <c r="I1704" s="475"/>
    </row>
    <row r="1705">
      <c r="A1705" s="285"/>
      <c r="B1705" s="326"/>
      <c r="C1705" s="327"/>
      <c r="D1705" s="327"/>
      <c r="E1705" s="328"/>
      <c r="F1705" s="327"/>
      <c r="G1705" s="328"/>
      <c r="H1705" s="328"/>
      <c r="I1705" s="327"/>
    </row>
    <row r="1706">
      <c r="A1706" s="324"/>
      <c r="B1706" s="326"/>
      <c r="C1706" s="475"/>
      <c r="D1706" s="475"/>
      <c r="E1706" s="477"/>
      <c r="F1706" s="475"/>
      <c r="G1706" s="477"/>
      <c r="H1706" s="477"/>
      <c r="I1706" s="475"/>
    </row>
    <row r="1707">
      <c r="A1707" s="285"/>
      <c r="B1707" s="326"/>
      <c r="C1707" s="327"/>
      <c r="D1707" s="327"/>
      <c r="E1707" s="328"/>
      <c r="F1707" s="327"/>
      <c r="G1707" s="328"/>
      <c r="H1707" s="328"/>
      <c r="I1707" s="327"/>
    </row>
    <row r="1708">
      <c r="A1708" s="324"/>
      <c r="B1708" s="326"/>
      <c r="C1708" s="475"/>
      <c r="D1708" s="475"/>
      <c r="E1708" s="477"/>
      <c r="F1708" s="475"/>
      <c r="G1708" s="477"/>
      <c r="H1708" s="477"/>
      <c r="I1708" s="475"/>
    </row>
    <row r="1709">
      <c r="A1709" s="285"/>
      <c r="B1709" s="326"/>
      <c r="C1709" s="327"/>
      <c r="D1709" s="327"/>
      <c r="E1709" s="328"/>
      <c r="F1709" s="327"/>
      <c r="G1709" s="328"/>
      <c r="H1709" s="328"/>
      <c r="I1709" s="327"/>
    </row>
    <row r="1710">
      <c r="A1710" s="324"/>
      <c r="B1710" s="326"/>
      <c r="C1710" s="475"/>
      <c r="D1710" s="475"/>
      <c r="E1710" s="477"/>
      <c r="F1710" s="475"/>
      <c r="G1710" s="477"/>
      <c r="H1710" s="477"/>
      <c r="I1710" s="475"/>
    </row>
    <row r="1711">
      <c r="A1711" s="285"/>
      <c r="B1711" s="326"/>
      <c r="C1711" s="327"/>
      <c r="D1711" s="327"/>
      <c r="E1711" s="328"/>
      <c r="F1711" s="327"/>
      <c r="G1711" s="328"/>
      <c r="H1711" s="328"/>
      <c r="I1711" s="327"/>
    </row>
    <row r="1712">
      <c r="A1712" s="324"/>
      <c r="B1712" s="326"/>
      <c r="C1712" s="475"/>
      <c r="D1712" s="475"/>
      <c r="E1712" s="477"/>
      <c r="F1712" s="475"/>
      <c r="G1712" s="477"/>
      <c r="H1712" s="477"/>
      <c r="I1712" s="475"/>
    </row>
    <row r="1713">
      <c r="A1713" s="285"/>
      <c r="B1713" s="326"/>
      <c r="C1713" s="327"/>
      <c r="D1713" s="327"/>
      <c r="E1713" s="328"/>
      <c r="F1713" s="327"/>
      <c r="G1713" s="328"/>
      <c r="H1713" s="328"/>
      <c r="I1713" s="327"/>
    </row>
    <row r="1714">
      <c r="A1714" s="324"/>
      <c r="B1714" s="326"/>
      <c r="C1714" s="475"/>
      <c r="D1714" s="475"/>
      <c r="E1714" s="477"/>
      <c r="F1714" s="475"/>
      <c r="G1714" s="477"/>
      <c r="H1714" s="477"/>
      <c r="I1714" s="475"/>
    </row>
    <row r="1715">
      <c r="A1715" s="285"/>
      <c r="B1715" s="326"/>
      <c r="C1715" s="327"/>
      <c r="D1715" s="327"/>
      <c r="E1715" s="328"/>
      <c r="F1715" s="327"/>
      <c r="G1715" s="328"/>
      <c r="H1715" s="328"/>
      <c r="I1715" s="327"/>
    </row>
    <row r="1716">
      <c r="A1716" s="324"/>
      <c r="B1716" s="326"/>
      <c r="C1716" s="475"/>
      <c r="D1716" s="475"/>
      <c r="E1716" s="477"/>
      <c r="F1716" s="475"/>
      <c r="G1716" s="477"/>
      <c r="H1716" s="477"/>
      <c r="I1716" s="475"/>
    </row>
    <row r="1717">
      <c r="A1717" s="285"/>
      <c r="B1717" s="326"/>
      <c r="C1717" s="327"/>
      <c r="D1717" s="327"/>
      <c r="E1717" s="328"/>
      <c r="F1717" s="327"/>
      <c r="G1717" s="328"/>
      <c r="H1717" s="328"/>
      <c r="I1717" s="327"/>
    </row>
    <row r="1718">
      <c r="A1718" s="324"/>
      <c r="B1718" s="326"/>
      <c r="C1718" s="475"/>
      <c r="D1718" s="475"/>
      <c r="E1718" s="477"/>
      <c r="F1718" s="475"/>
      <c r="G1718" s="477"/>
      <c r="H1718" s="477"/>
      <c r="I1718" s="475"/>
    </row>
    <row r="1719">
      <c r="A1719" s="285"/>
      <c r="B1719" s="326"/>
      <c r="C1719" s="327"/>
      <c r="D1719" s="327"/>
      <c r="E1719" s="328"/>
      <c r="F1719" s="327"/>
      <c r="G1719" s="328"/>
      <c r="H1719" s="328"/>
      <c r="I1719" s="327"/>
    </row>
    <row r="1720">
      <c r="A1720" s="324"/>
      <c r="B1720" s="326"/>
      <c r="C1720" s="475"/>
      <c r="D1720" s="475"/>
      <c r="E1720" s="477"/>
      <c r="F1720" s="475"/>
      <c r="G1720" s="477"/>
      <c r="H1720" s="477"/>
      <c r="I1720" s="475"/>
    </row>
    <row r="1721">
      <c r="A1721" s="285"/>
      <c r="B1721" s="326"/>
      <c r="C1721" s="327"/>
      <c r="D1721" s="327"/>
      <c r="E1721" s="328"/>
      <c r="F1721" s="327"/>
      <c r="G1721" s="328"/>
      <c r="H1721" s="328"/>
      <c r="I1721" s="327"/>
    </row>
    <row r="1722">
      <c r="A1722" s="324"/>
      <c r="B1722" s="326"/>
      <c r="C1722" s="475"/>
      <c r="D1722" s="475"/>
      <c r="E1722" s="477"/>
      <c r="F1722" s="475"/>
      <c r="G1722" s="477"/>
      <c r="H1722" s="477"/>
      <c r="I1722" s="475"/>
    </row>
    <row r="1723">
      <c r="A1723" s="285"/>
      <c r="B1723" s="326"/>
      <c r="C1723" s="327"/>
      <c r="D1723" s="327"/>
      <c r="E1723" s="328"/>
      <c r="F1723" s="327"/>
      <c r="G1723" s="328"/>
      <c r="H1723" s="328"/>
      <c r="I1723" s="327"/>
    </row>
    <row r="1724">
      <c r="A1724" s="324"/>
      <c r="B1724" s="326"/>
      <c r="C1724" s="475"/>
      <c r="D1724" s="475"/>
      <c r="E1724" s="477"/>
      <c r="F1724" s="475"/>
      <c r="G1724" s="477"/>
      <c r="H1724" s="477"/>
      <c r="I1724" s="475"/>
    </row>
    <row r="1725">
      <c r="A1725" s="285"/>
      <c r="B1725" s="326"/>
      <c r="C1725" s="327"/>
      <c r="D1725" s="327"/>
      <c r="E1725" s="328"/>
      <c r="F1725" s="327"/>
      <c r="G1725" s="328"/>
      <c r="H1725" s="328"/>
      <c r="I1725" s="327"/>
    </row>
    <row r="1726">
      <c r="A1726" s="324"/>
      <c r="B1726" s="326"/>
      <c r="C1726" s="475"/>
      <c r="D1726" s="475"/>
      <c r="E1726" s="477"/>
      <c r="F1726" s="475"/>
      <c r="G1726" s="477"/>
      <c r="H1726" s="477"/>
      <c r="I1726" s="475"/>
    </row>
    <row r="1727">
      <c r="A1727" s="285"/>
      <c r="B1727" s="326"/>
      <c r="C1727" s="327"/>
      <c r="D1727" s="327"/>
      <c r="E1727" s="328"/>
      <c r="F1727" s="327"/>
      <c r="G1727" s="328"/>
      <c r="H1727" s="328"/>
      <c r="I1727" s="327"/>
    </row>
    <row r="1728">
      <c r="A1728" s="324"/>
      <c r="B1728" s="326"/>
      <c r="C1728" s="475"/>
      <c r="D1728" s="475"/>
      <c r="E1728" s="477"/>
      <c r="F1728" s="475"/>
      <c r="G1728" s="477"/>
      <c r="H1728" s="477"/>
      <c r="I1728" s="475"/>
    </row>
    <row r="1729">
      <c r="A1729" s="285"/>
      <c r="B1729" s="326"/>
      <c r="C1729" s="327"/>
      <c r="D1729" s="327"/>
      <c r="E1729" s="328"/>
      <c r="F1729" s="327"/>
      <c r="G1729" s="328"/>
      <c r="H1729" s="328"/>
      <c r="I1729" s="327"/>
    </row>
    <row r="1730">
      <c r="A1730" s="324"/>
      <c r="B1730" s="326"/>
      <c r="C1730" s="475"/>
      <c r="D1730" s="475"/>
      <c r="E1730" s="477"/>
      <c r="F1730" s="475"/>
      <c r="G1730" s="477"/>
      <c r="H1730" s="477"/>
      <c r="I1730" s="475"/>
    </row>
    <row r="1731">
      <c r="A1731" s="285"/>
      <c r="B1731" s="326"/>
      <c r="C1731" s="327"/>
      <c r="D1731" s="327"/>
      <c r="E1731" s="328"/>
      <c r="F1731" s="327"/>
      <c r="G1731" s="328"/>
      <c r="H1731" s="328"/>
      <c r="I1731" s="327"/>
    </row>
    <row r="1732">
      <c r="A1732" s="324"/>
      <c r="B1732" s="326"/>
      <c r="C1732" s="475"/>
      <c r="D1732" s="475"/>
      <c r="E1732" s="477"/>
      <c r="F1732" s="475"/>
      <c r="G1732" s="477"/>
      <c r="H1732" s="477"/>
      <c r="I1732" s="475"/>
    </row>
    <row r="1733">
      <c r="A1733" s="285"/>
      <c r="B1733" s="326"/>
      <c r="C1733" s="327"/>
      <c r="D1733" s="327"/>
      <c r="E1733" s="328"/>
      <c r="F1733" s="327"/>
      <c r="G1733" s="328"/>
      <c r="H1733" s="328"/>
      <c r="I1733" s="327"/>
    </row>
    <row r="1734">
      <c r="A1734" s="324"/>
      <c r="B1734" s="326"/>
      <c r="C1734" s="475"/>
      <c r="D1734" s="475"/>
      <c r="E1734" s="477"/>
      <c r="F1734" s="475"/>
      <c r="G1734" s="477"/>
      <c r="H1734" s="477"/>
      <c r="I1734" s="475"/>
    </row>
    <row r="1735">
      <c r="A1735" s="285"/>
      <c r="B1735" s="326"/>
      <c r="C1735" s="327"/>
      <c r="D1735" s="327"/>
      <c r="E1735" s="328"/>
      <c r="F1735" s="327"/>
      <c r="G1735" s="328"/>
      <c r="H1735" s="328"/>
      <c r="I1735" s="327"/>
    </row>
    <row r="1736">
      <c r="A1736" s="324"/>
      <c r="B1736" s="326"/>
      <c r="C1736" s="475"/>
      <c r="D1736" s="475"/>
      <c r="E1736" s="477"/>
      <c r="F1736" s="475"/>
      <c r="G1736" s="477"/>
      <c r="H1736" s="477"/>
      <c r="I1736" s="475"/>
    </row>
    <row r="1737">
      <c r="A1737" s="285"/>
      <c r="B1737" s="326"/>
      <c r="C1737" s="327"/>
      <c r="D1737" s="327"/>
      <c r="E1737" s="328"/>
      <c r="F1737" s="327"/>
      <c r="G1737" s="328"/>
      <c r="H1737" s="328"/>
      <c r="I1737" s="327"/>
    </row>
    <row r="1738">
      <c r="A1738" s="324"/>
      <c r="B1738" s="326"/>
      <c r="C1738" s="475"/>
      <c r="D1738" s="475"/>
      <c r="E1738" s="477"/>
      <c r="F1738" s="475"/>
      <c r="G1738" s="477"/>
      <c r="H1738" s="477"/>
      <c r="I1738" s="475"/>
    </row>
    <row r="1739">
      <c r="A1739" s="285"/>
      <c r="B1739" s="326"/>
      <c r="C1739" s="327"/>
      <c r="D1739" s="327"/>
      <c r="E1739" s="328"/>
      <c r="F1739" s="327"/>
      <c r="G1739" s="328"/>
      <c r="H1739" s="328"/>
      <c r="I1739" s="327"/>
    </row>
    <row r="1740">
      <c r="A1740" s="324"/>
      <c r="B1740" s="326"/>
      <c r="C1740" s="475"/>
      <c r="D1740" s="475"/>
      <c r="E1740" s="477"/>
      <c r="F1740" s="475"/>
      <c r="G1740" s="477"/>
      <c r="H1740" s="477"/>
      <c r="I1740" s="475"/>
    </row>
    <row r="1741">
      <c r="A1741" s="285"/>
      <c r="B1741" s="326"/>
      <c r="C1741" s="327"/>
      <c r="D1741" s="327"/>
      <c r="E1741" s="328"/>
      <c r="F1741" s="327"/>
      <c r="G1741" s="328"/>
      <c r="H1741" s="328"/>
      <c r="I1741" s="327"/>
    </row>
    <row r="1742">
      <c r="A1742" s="324"/>
      <c r="B1742" s="326"/>
      <c r="C1742" s="475"/>
      <c r="D1742" s="475"/>
      <c r="E1742" s="477"/>
      <c r="F1742" s="475"/>
      <c r="G1742" s="477"/>
      <c r="H1742" s="477"/>
      <c r="I1742" s="475"/>
    </row>
    <row r="1743">
      <c r="A1743" s="285"/>
      <c r="B1743" s="326"/>
      <c r="C1743" s="327"/>
      <c r="D1743" s="327"/>
      <c r="E1743" s="328"/>
      <c r="F1743" s="327"/>
      <c r="G1743" s="328"/>
      <c r="H1743" s="328"/>
      <c r="I1743" s="327"/>
    </row>
    <row r="1744">
      <c r="A1744" s="324"/>
      <c r="B1744" s="326"/>
      <c r="C1744" s="475"/>
      <c r="D1744" s="475"/>
      <c r="E1744" s="477"/>
      <c r="F1744" s="475"/>
      <c r="G1744" s="477"/>
      <c r="H1744" s="477"/>
      <c r="I1744" s="475"/>
    </row>
    <row r="1745">
      <c r="A1745" s="285"/>
      <c r="B1745" s="326"/>
      <c r="C1745" s="327"/>
      <c r="D1745" s="327"/>
      <c r="E1745" s="328"/>
      <c r="F1745" s="327"/>
      <c r="G1745" s="328"/>
      <c r="H1745" s="328"/>
      <c r="I1745" s="327"/>
    </row>
    <row r="1746">
      <c r="A1746" s="324"/>
      <c r="B1746" s="326"/>
      <c r="C1746" s="475"/>
      <c r="D1746" s="475"/>
      <c r="E1746" s="477"/>
      <c r="F1746" s="475"/>
      <c r="G1746" s="477"/>
      <c r="H1746" s="477"/>
      <c r="I1746" s="475"/>
    </row>
    <row r="1747">
      <c r="A1747" s="285"/>
      <c r="B1747" s="326"/>
      <c r="C1747" s="327"/>
      <c r="D1747" s="327"/>
      <c r="E1747" s="328"/>
      <c r="F1747" s="327"/>
      <c r="G1747" s="328"/>
      <c r="H1747" s="328"/>
      <c r="I1747" s="327"/>
    </row>
    <row r="1748">
      <c r="A1748" s="324"/>
      <c r="B1748" s="326"/>
      <c r="C1748" s="475"/>
      <c r="D1748" s="475"/>
      <c r="E1748" s="477"/>
      <c r="F1748" s="475"/>
      <c r="G1748" s="477"/>
      <c r="H1748" s="477"/>
      <c r="I1748" s="475"/>
    </row>
    <row r="1749">
      <c r="A1749" s="285"/>
      <c r="B1749" s="326"/>
      <c r="C1749" s="327"/>
      <c r="D1749" s="327"/>
      <c r="E1749" s="328"/>
      <c r="F1749" s="327"/>
      <c r="G1749" s="328"/>
      <c r="H1749" s="328"/>
      <c r="I1749" s="327"/>
    </row>
    <row r="1750">
      <c r="A1750" s="324"/>
      <c r="B1750" s="326"/>
      <c r="C1750" s="475"/>
      <c r="D1750" s="475"/>
      <c r="E1750" s="477"/>
      <c r="F1750" s="475"/>
      <c r="G1750" s="477"/>
      <c r="H1750" s="477"/>
      <c r="I1750" s="475"/>
    </row>
    <row r="1751">
      <c r="A1751" s="285"/>
      <c r="B1751" s="326"/>
      <c r="C1751" s="327"/>
      <c r="D1751" s="327"/>
      <c r="E1751" s="328"/>
      <c r="F1751" s="327"/>
      <c r="G1751" s="328"/>
      <c r="H1751" s="328"/>
      <c r="I1751" s="327"/>
    </row>
    <row r="1752">
      <c r="A1752" s="324"/>
      <c r="B1752" s="326"/>
      <c r="C1752" s="475"/>
      <c r="D1752" s="475"/>
      <c r="E1752" s="477"/>
      <c r="F1752" s="475"/>
      <c r="G1752" s="477"/>
      <c r="H1752" s="477"/>
      <c r="I1752" s="475"/>
    </row>
    <row r="1753">
      <c r="A1753" s="285"/>
      <c r="B1753" s="326"/>
      <c r="C1753" s="327"/>
      <c r="D1753" s="327"/>
      <c r="E1753" s="328"/>
      <c r="F1753" s="327"/>
      <c r="G1753" s="328"/>
      <c r="H1753" s="328"/>
      <c r="I1753" s="327"/>
    </row>
    <row r="1754">
      <c r="A1754" s="324"/>
      <c r="B1754" s="326"/>
      <c r="C1754" s="475"/>
      <c r="D1754" s="475"/>
      <c r="E1754" s="477"/>
      <c r="F1754" s="475"/>
      <c r="G1754" s="477"/>
      <c r="H1754" s="477"/>
      <c r="I1754" s="475"/>
    </row>
    <row r="1755">
      <c r="A1755" s="285"/>
      <c r="B1755" s="326"/>
      <c r="C1755" s="327"/>
      <c r="D1755" s="327"/>
      <c r="E1755" s="328"/>
      <c r="F1755" s="327"/>
      <c r="G1755" s="328"/>
      <c r="H1755" s="328"/>
      <c r="I1755" s="327"/>
    </row>
    <row r="1756">
      <c r="A1756" s="324"/>
      <c r="B1756" s="326"/>
      <c r="C1756" s="475"/>
      <c r="D1756" s="475"/>
      <c r="E1756" s="477"/>
      <c r="F1756" s="475"/>
      <c r="G1756" s="477"/>
      <c r="H1756" s="477"/>
      <c r="I1756" s="475"/>
    </row>
    <row r="1757">
      <c r="A1757" s="285"/>
      <c r="B1757" s="326"/>
      <c r="C1757" s="327"/>
      <c r="D1757" s="327"/>
      <c r="E1757" s="328"/>
      <c r="F1757" s="327"/>
      <c r="G1757" s="328"/>
      <c r="H1757" s="328"/>
      <c r="I1757" s="327"/>
    </row>
    <row r="1758">
      <c r="A1758" s="324"/>
      <c r="B1758" s="326"/>
      <c r="C1758" s="475"/>
      <c r="D1758" s="475"/>
      <c r="E1758" s="477"/>
      <c r="F1758" s="475"/>
      <c r="G1758" s="477"/>
      <c r="H1758" s="477"/>
      <c r="I1758" s="475"/>
    </row>
    <row r="1759">
      <c r="A1759" s="285"/>
      <c r="B1759" s="326"/>
      <c r="C1759" s="327"/>
      <c r="D1759" s="327"/>
      <c r="E1759" s="328"/>
      <c r="F1759" s="327"/>
      <c r="G1759" s="328"/>
      <c r="H1759" s="328"/>
      <c r="I1759" s="327"/>
    </row>
    <row r="1760">
      <c r="A1760" s="324"/>
      <c r="B1760" s="326"/>
      <c r="C1760" s="475"/>
      <c r="D1760" s="475"/>
      <c r="E1760" s="477"/>
      <c r="F1760" s="475"/>
      <c r="G1760" s="477"/>
      <c r="H1760" s="477"/>
      <c r="I1760" s="475"/>
    </row>
    <row r="1761">
      <c r="A1761" s="285"/>
      <c r="B1761" s="326"/>
      <c r="C1761" s="327"/>
      <c r="D1761" s="327"/>
      <c r="E1761" s="328"/>
      <c r="F1761" s="327"/>
      <c r="G1761" s="328"/>
      <c r="H1761" s="328"/>
      <c r="I1761" s="327"/>
    </row>
    <row r="1762">
      <c r="A1762" s="324"/>
      <c r="B1762" s="326"/>
      <c r="C1762" s="475"/>
      <c r="D1762" s="475"/>
      <c r="E1762" s="477"/>
      <c r="F1762" s="475"/>
      <c r="G1762" s="477"/>
      <c r="H1762" s="477"/>
      <c r="I1762" s="475"/>
    </row>
    <row r="1763">
      <c r="A1763" s="285"/>
      <c r="B1763" s="326"/>
      <c r="C1763" s="327"/>
      <c r="D1763" s="327"/>
      <c r="E1763" s="328"/>
      <c r="F1763" s="327"/>
      <c r="G1763" s="328"/>
      <c r="H1763" s="328"/>
      <c r="I1763" s="327"/>
    </row>
    <row r="1764">
      <c r="A1764" s="324"/>
      <c r="B1764" s="326"/>
      <c r="C1764" s="475"/>
      <c r="D1764" s="475"/>
      <c r="E1764" s="477"/>
      <c r="F1764" s="475"/>
      <c r="G1764" s="477"/>
      <c r="H1764" s="477"/>
      <c r="I1764" s="475"/>
    </row>
    <row r="1765">
      <c r="A1765" s="285"/>
      <c r="B1765" s="326"/>
      <c r="C1765" s="327"/>
      <c r="D1765" s="327"/>
      <c r="E1765" s="328"/>
      <c r="F1765" s="327"/>
      <c r="G1765" s="328"/>
      <c r="H1765" s="328"/>
      <c r="I1765" s="327"/>
    </row>
    <row r="1766">
      <c r="A1766" s="324"/>
      <c r="B1766" s="326"/>
      <c r="C1766" s="475"/>
      <c r="D1766" s="475"/>
      <c r="E1766" s="477"/>
      <c r="F1766" s="475"/>
      <c r="G1766" s="477"/>
      <c r="H1766" s="477"/>
      <c r="I1766" s="475"/>
    </row>
    <row r="1767">
      <c r="A1767" s="285"/>
      <c r="B1767" s="326"/>
      <c r="C1767" s="327"/>
      <c r="D1767" s="327"/>
      <c r="E1767" s="328"/>
      <c r="F1767" s="327"/>
      <c r="G1767" s="328"/>
      <c r="H1767" s="328"/>
      <c r="I1767" s="327"/>
    </row>
    <row r="1768">
      <c r="A1768" s="324"/>
      <c r="B1768" s="326"/>
      <c r="C1768" s="475"/>
      <c r="D1768" s="475"/>
      <c r="E1768" s="477"/>
      <c r="F1768" s="475"/>
      <c r="G1768" s="477"/>
      <c r="H1768" s="477"/>
      <c r="I1768" s="475"/>
    </row>
    <row r="1769">
      <c r="A1769" s="285"/>
      <c r="B1769" s="326"/>
      <c r="C1769" s="327"/>
      <c r="D1769" s="327"/>
      <c r="E1769" s="328"/>
      <c r="F1769" s="327"/>
      <c r="G1769" s="328"/>
      <c r="H1769" s="328"/>
      <c r="I1769" s="327"/>
    </row>
    <row r="1770">
      <c r="A1770" s="324"/>
      <c r="B1770" s="326"/>
      <c r="C1770" s="475"/>
      <c r="D1770" s="475"/>
      <c r="E1770" s="477"/>
      <c r="F1770" s="475"/>
      <c r="G1770" s="477"/>
      <c r="H1770" s="477"/>
      <c r="I1770" s="475"/>
    </row>
    <row r="1771">
      <c r="A1771" s="285"/>
      <c r="B1771" s="326"/>
      <c r="C1771" s="327"/>
      <c r="D1771" s="327"/>
      <c r="E1771" s="328"/>
      <c r="F1771" s="327"/>
      <c r="G1771" s="328"/>
      <c r="H1771" s="328"/>
      <c r="I1771" s="327"/>
    </row>
    <row r="1772">
      <c r="A1772" s="324"/>
      <c r="B1772" s="326"/>
      <c r="C1772" s="475"/>
      <c r="D1772" s="475"/>
      <c r="E1772" s="477"/>
      <c r="F1772" s="475"/>
      <c r="G1772" s="477"/>
      <c r="H1772" s="477"/>
      <c r="I1772" s="475"/>
    </row>
    <row r="1773">
      <c r="A1773" s="285"/>
      <c r="B1773" s="326"/>
      <c r="C1773" s="327"/>
      <c r="D1773" s="327"/>
      <c r="E1773" s="328"/>
      <c r="F1773" s="327"/>
      <c r="G1773" s="328"/>
      <c r="H1773" s="328"/>
      <c r="I1773" s="327"/>
    </row>
    <row r="1774">
      <c r="A1774" s="324"/>
      <c r="B1774" s="326"/>
      <c r="C1774" s="475"/>
      <c r="D1774" s="475"/>
      <c r="E1774" s="477"/>
      <c r="F1774" s="475"/>
      <c r="G1774" s="477"/>
      <c r="H1774" s="477"/>
      <c r="I1774" s="475"/>
    </row>
    <row r="1775">
      <c r="A1775" s="285"/>
      <c r="B1775" s="326"/>
      <c r="C1775" s="327"/>
      <c r="D1775" s="327"/>
      <c r="E1775" s="328"/>
      <c r="F1775" s="327"/>
      <c r="G1775" s="328"/>
      <c r="H1775" s="328"/>
      <c r="I1775" s="327"/>
    </row>
    <row r="1776">
      <c r="A1776" s="324"/>
      <c r="B1776" s="326"/>
      <c r="C1776" s="475"/>
      <c r="D1776" s="475"/>
      <c r="E1776" s="477"/>
      <c r="F1776" s="475"/>
      <c r="G1776" s="477"/>
      <c r="H1776" s="477"/>
      <c r="I1776" s="475"/>
    </row>
    <row r="1777">
      <c r="A1777" s="285"/>
      <c r="B1777" s="326"/>
      <c r="C1777" s="327"/>
      <c r="D1777" s="327"/>
      <c r="E1777" s="328"/>
      <c r="F1777" s="327"/>
      <c r="G1777" s="328"/>
      <c r="H1777" s="328"/>
      <c r="I1777" s="327"/>
    </row>
    <row r="1778">
      <c r="A1778" s="324"/>
      <c r="B1778" s="326"/>
      <c r="C1778" s="475"/>
      <c r="D1778" s="475"/>
      <c r="E1778" s="477"/>
      <c r="F1778" s="475"/>
      <c r="G1778" s="477"/>
      <c r="H1778" s="477"/>
      <c r="I1778" s="475"/>
    </row>
    <row r="1779">
      <c r="A1779" s="285"/>
      <c r="B1779" s="326"/>
      <c r="C1779" s="327"/>
      <c r="D1779" s="327"/>
      <c r="E1779" s="328"/>
      <c r="F1779" s="327"/>
      <c r="G1779" s="328"/>
      <c r="H1779" s="328"/>
      <c r="I1779" s="327"/>
    </row>
    <row r="1780">
      <c r="A1780" s="324"/>
      <c r="B1780" s="326"/>
      <c r="C1780" s="475"/>
      <c r="D1780" s="475"/>
      <c r="E1780" s="477"/>
      <c r="F1780" s="475"/>
      <c r="G1780" s="477"/>
      <c r="H1780" s="477"/>
      <c r="I1780" s="475"/>
    </row>
    <row r="1781">
      <c r="A1781" s="285"/>
      <c r="B1781" s="326"/>
      <c r="C1781" s="327"/>
      <c r="D1781" s="327"/>
      <c r="E1781" s="328"/>
      <c r="F1781" s="327"/>
      <c r="G1781" s="328"/>
      <c r="H1781" s="328"/>
      <c r="I1781" s="327"/>
    </row>
    <row r="1782">
      <c r="A1782" s="324"/>
      <c r="B1782" s="326"/>
      <c r="C1782" s="475"/>
      <c r="D1782" s="475"/>
      <c r="E1782" s="477"/>
      <c r="F1782" s="475"/>
      <c r="G1782" s="477"/>
      <c r="H1782" s="477"/>
      <c r="I1782" s="475"/>
    </row>
    <row r="1783">
      <c r="A1783" s="285"/>
      <c r="B1783" s="326"/>
      <c r="C1783" s="327"/>
      <c r="D1783" s="327"/>
      <c r="E1783" s="328"/>
      <c r="F1783" s="327"/>
      <c r="G1783" s="328"/>
      <c r="H1783" s="328"/>
      <c r="I1783" s="327"/>
    </row>
    <row r="1784">
      <c r="A1784" s="324"/>
      <c r="B1784" s="326"/>
      <c r="C1784" s="475"/>
      <c r="D1784" s="475"/>
      <c r="E1784" s="477"/>
      <c r="F1784" s="475"/>
      <c r="G1784" s="477"/>
      <c r="H1784" s="477"/>
      <c r="I1784" s="475"/>
    </row>
    <row r="1785">
      <c r="A1785" s="285"/>
      <c r="B1785" s="326"/>
      <c r="C1785" s="327"/>
      <c r="D1785" s="327"/>
      <c r="E1785" s="328"/>
      <c r="F1785" s="327"/>
      <c r="G1785" s="328"/>
      <c r="H1785" s="328"/>
      <c r="I1785" s="327"/>
    </row>
    <row r="1786">
      <c r="A1786" s="324"/>
      <c r="B1786" s="326"/>
      <c r="C1786" s="475"/>
      <c r="D1786" s="475"/>
      <c r="E1786" s="477"/>
      <c r="F1786" s="475"/>
      <c r="G1786" s="477"/>
      <c r="H1786" s="477"/>
      <c r="I1786" s="475"/>
    </row>
    <row r="1787">
      <c r="A1787" s="285"/>
      <c r="B1787" s="326"/>
      <c r="C1787" s="327"/>
      <c r="D1787" s="327"/>
      <c r="E1787" s="328"/>
      <c r="F1787" s="327"/>
      <c r="G1787" s="328"/>
      <c r="H1787" s="328"/>
      <c r="I1787" s="327"/>
    </row>
    <row r="1788">
      <c r="A1788" s="324"/>
      <c r="B1788" s="326"/>
      <c r="C1788" s="475"/>
      <c r="D1788" s="475"/>
      <c r="E1788" s="477"/>
      <c r="F1788" s="475"/>
      <c r="G1788" s="477"/>
      <c r="H1788" s="477"/>
      <c r="I1788" s="475"/>
    </row>
    <row r="1789">
      <c r="A1789" s="285"/>
      <c r="B1789" s="326"/>
      <c r="C1789" s="327"/>
      <c r="D1789" s="327"/>
      <c r="E1789" s="328"/>
      <c r="F1789" s="327"/>
      <c r="G1789" s="328"/>
      <c r="H1789" s="328"/>
      <c r="I1789" s="327"/>
    </row>
    <row r="1790">
      <c r="A1790" s="324"/>
      <c r="B1790" s="326"/>
      <c r="C1790" s="475"/>
      <c r="D1790" s="475"/>
      <c r="E1790" s="477"/>
      <c r="F1790" s="475"/>
      <c r="G1790" s="477"/>
      <c r="H1790" s="477"/>
      <c r="I1790" s="475"/>
    </row>
    <row r="1791">
      <c r="A1791" s="285"/>
      <c r="B1791" s="326"/>
      <c r="C1791" s="327"/>
      <c r="D1791" s="327"/>
      <c r="E1791" s="328"/>
      <c r="F1791" s="327"/>
      <c r="G1791" s="328"/>
      <c r="H1791" s="328"/>
      <c r="I1791" s="327"/>
    </row>
    <row r="1792">
      <c r="A1792" s="324"/>
      <c r="B1792" s="326"/>
      <c r="C1792" s="475"/>
      <c r="D1792" s="475"/>
      <c r="E1792" s="477"/>
      <c r="F1792" s="475"/>
      <c r="G1792" s="477"/>
      <c r="H1792" s="477"/>
      <c r="I1792" s="475"/>
    </row>
    <row r="1793">
      <c r="A1793" s="285"/>
      <c r="B1793" s="326"/>
      <c r="C1793" s="327"/>
      <c r="D1793" s="327"/>
      <c r="E1793" s="328"/>
      <c r="F1793" s="327"/>
      <c r="G1793" s="328"/>
      <c r="H1793" s="328"/>
      <c r="I1793" s="327"/>
    </row>
    <row r="1794">
      <c r="A1794" s="324"/>
      <c r="B1794" s="326"/>
      <c r="C1794" s="475"/>
      <c r="D1794" s="475"/>
      <c r="E1794" s="477"/>
      <c r="F1794" s="475"/>
      <c r="G1794" s="477"/>
      <c r="H1794" s="477"/>
      <c r="I1794" s="475"/>
    </row>
    <row r="1795">
      <c r="A1795" s="285"/>
      <c r="B1795" s="326"/>
      <c r="C1795" s="327"/>
      <c r="D1795" s="327"/>
      <c r="E1795" s="328"/>
      <c r="F1795" s="327"/>
      <c r="G1795" s="328"/>
      <c r="H1795" s="328"/>
      <c r="I1795" s="327"/>
    </row>
    <row r="1796">
      <c r="A1796" s="324"/>
      <c r="B1796" s="326"/>
      <c r="C1796" s="475"/>
      <c r="D1796" s="475"/>
      <c r="E1796" s="477"/>
      <c r="F1796" s="475"/>
      <c r="G1796" s="477"/>
      <c r="H1796" s="477"/>
      <c r="I1796" s="475"/>
    </row>
    <row r="1797">
      <c r="A1797" s="285"/>
      <c r="B1797" s="326"/>
      <c r="C1797" s="327"/>
      <c r="D1797" s="327"/>
      <c r="E1797" s="328"/>
      <c r="F1797" s="327"/>
      <c r="G1797" s="328"/>
      <c r="H1797" s="328"/>
      <c r="I1797" s="327"/>
    </row>
    <row r="1798">
      <c r="A1798" s="324"/>
      <c r="B1798" s="326"/>
      <c r="C1798" s="475"/>
      <c r="D1798" s="475"/>
      <c r="E1798" s="477"/>
      <c r="F1798" s="475"/>
      <c r="G1798" s="477"/>
      <c r="H1798" s="477"/>
      <c r="I1798" s="475"/>
    </row>
    <row r="1799">
      <c r="A1799" s="285"/>
      <c r="B1799" s="326"/>
      <c r="C1799" s="327"/>
      <c r="D1799" s="327"/>
      <c r="E1799" s="328"/>
      <c r="F1799" s="327"/>
      <c r="G1799" s="328"/>
      <c r="H1799" s="328"/>
      <c r="I1799" s="327"/>
    </row>
    <row r="1800">
      <c r="A1800" s="324"/>
      <c r="B1800" s="326"/>
      <c r="C1800" s="475"/>
      <c r="D1800" s="475"/>
      <c r="E1800" s="477"/>
      <c r="F1800" s="475"/>
      <c r="G1800" s="477"/>
      <c r="H1800" s="477"/>
      <c r="I1800" s="475"/>
    </row>
    <row r="1801">
      <c r="A1801" s="285"/>
      <c r="B1801" s="326"/>
      <c r="C1801" s="327"/>
      <c r="D1801" s="327"/>
      <c r="E1801" s="328"/>
      <c r="F1801" s="327"/>
      <c r="G1801" s="328"/>
      <c r="H1801" s="328"/>
      <c r="I1801" s="327"/>
    </row>
    <row r="1802">
      <c r="A1802" s="324"/>
      <c r="B1802" s="326"/>
      <c r="C1802" s="475"/>
      <c r="D1802" s="475"/>
      <c r="E1802" s="477"/>
      <c r="F1802" s="475"/>
      <c r="G1802" s="477"/>
      <c r="H1802" s="477"/>
      <c r="I1802" s="475"/>
    </row>
    <row r="1803">
      <c r="A1803" s="285"/>
      <c r="B1803" s="326"/>
      <c r="C1803" s="327"/>
      <c r="D1803" s="327"/>
      <c r="E1803" s="328"/>
      <c r="F1803" s="327"/>
      <c r="G1803" s="328"/>
      <c r="H1803" s="328"/>
      <c r="I1803" s="327"/>
    </row>
    <row r="1804">
      <c r="A1804" s="324"/>
      <c r="B1804" s="326"/>
      <c r="C1804" s="475"/>
      <c r="D1804" s="475"/>
      <c r="E1804" s="477"/>
      <c r="F1804" s="475"/>
      <c r="G1804" s="477"/>
      <c r="H1804" s="477"/>
      <c r="I1804" s="475"/>
    </row>
    <row r="1805">
      <c r="A1805" s="285"/>
      <c r="B1805" s="326"/>
      <c r="C1805" s="327"/>
      <c r="D1805" s="327"/>
      <c r="E1805" s="328"/>
      <c r="F1805" s="327"/>
      <c r="G1805" s="328"/>
      <c r="H1805" s="328"/>
      <c r="I1805" s="327"/>
    </row>
    <row r="1806">
      <c r="A1806" s="324"/>
      <c r="B1806" s="326"/>
      <c r="C1806" s="475"/>
      <c r="D1806" s="475"/>
      <c r="E1806" s="477"/>
      <c r="F1806" s="475"/>
      <c r="G1806" s="477"/>
      <c r="H1806" s="477"/>
      <c r="I1806" s="475"/>
    </row>
    <row r="1807">
      <c r="A1807" s="285"/>
      <c r="B1807" s="326"/>
      <c r="C1807" s="327"/>
      <c r="D1807" s="327"/>
      <c r="E1807" s="328"/>
      <c r="F1807" s="327"/>
      <c r="G1807" s="328"/>
      <c r="H1807" s="328"/>
      <c r="I1807" s="327"/>
    </row>
    <row r="1808">
      <c r="A1808" s="324"/>
      <c r="B1808" s="326"/>
      <c r="C1808" s="475"/>
      <c r="D1808" s="475"/>
      <c r="E1808" s="477"/>
      <c r="F1808" s="475"/>
      <c r="G1808" s="477"/>
      <c r="H1808" s="477"/>
      <c r="I1808" s="475"/>
    </row>
    <row r="1809">
      <c r="A1809" s="285"/>
      <c r="B1809" s="326"/>
      <c r="C1809" s="327"/>
      <c r="D1809" s="327"/>
      <c r="E1809" s="328"/>
      <c r="F1809" s="327"/>
      <c r="G1809" s="328"/>
      <c r="H1809" s="328"/>
      <c r="I1809" s="327"/>
    </row>
    <row r="1810">
      <c r="A1810" s="324"/>
      <c r="B1810" s="326"/>
      <c r="C1810" s="475"/>
      <c r="D1810" s="475"/>
      <c r="E1810" s="477"/>
      <c r="F1810" s="475"/>
      <c r="G1810" s="477"/>
      <c r="H1810" s="477"/>
      <c r="I1810" s="475"/>
    </row>
    <row r="1811">
      <c r="A1811" s="285"/>
      <c r="B1811" s="326"/>
      <c r="C1811" s="327"/>
      <c r="D1811" s="327"/>
      <c r="E1811" s="328"/>
      <c r="F1811" s="327"/>
      <c r="G1811" s="328"/>
      <c r="H1811" s="328"/>
      <c r="I1811" s="327"/>
    </row>
    <row r="1812">
      <c r="A1812" s="324"/>
      <c r="B1812" s="326"/>
      <c r="C1812" s="475"/>
      <c r="D1812" s="475"/>
      <c r="E1812" s="477"/>
      <c r="F1812" s="475"/>
      <c r="G1812" s="477"/>
      <c r="H1812" s="477"/>
      <c r="I1812" s="475"/>
    </row>
    <row r="1813">
      <c r="A1813" s="285"/>
      <c r="B1813" s="326"/>
      <c r="C1813" s="327"/>
      <c r="D1813" s="327"/>
      <c r="E1813" s="328"/>
      <c r="F1813" s="327"/>
      <c r="G1813" s="328"/>
      <c r="H1813" s="328"/>
      <c r="I1813" s="327"/>
    </row>
    <row r="1814">
      <c r="A1814" s="324"/>
      <c r="B1814" s="326"/>
      <c r="C1814" s="475"/>
      <c r="D1814" s="475"/>
      <c r="E1814" s="477"/>
      <c r="F1814" s="475"/>
      <c r="G1814" s="477"/>
      <c r="H1814" s="477"/>
      <c r="I1814" s="475"/>
    </row>
    <row r="1815">
      <c r="A1815" s="285"/>
      <c r="B1815" s="326"/>
      <c r="C1815" s="327"/>
      <c r="D1815" s="327"/>
      <c r="E1815" s="328"/>
      <c r="F1815" s="327"/>
      <c r="G1815" s="328"/>
      <c r="H1815" s="328"/>
      <c r="I1815" s="327"/>
    </row>
    <row r="1816">
      <c r="A1816" s="324"/>
      <c r="B1816" s="326"/>
      <c r="C1816" s="475"/>
      <c r="D1816" s="475"/>
      <c r="E1816" s="477"/>
      <c r="F1816" s="475"/>
      <c r="G1816" s="477"/>
      <c r="H1816" s="477"/>
      <c r="I1816" s="475"/>
    </row>
    <row r="1817">
      <c r="A1817" s="285"/>
      <c r="B1817" s="326"/>
      <c r="C1817" s="327"/>
      <c r="D1817" s="327"/>
      <c r="E1817" s="328"/>
      <c r="F1817" s="327"/>
      <c r="G1817" s="328"/>
      <c r="H1817" s="328"/>
      <c r="I1817" s="327"/>
    </row>
    <row r="1818">
      <c r="A1818" s="324"/>
      <c r="B1818" s="326"/>
      <c r="C1818" s="475"/>
      <c r="D1818" s="475"/>
      <c r="E1818" s="477"/>
      <c r="F1818" s="475"/>
      <c r="G1818" s="477"/>
      <c r="H1818" s="477"/>
      <c r="I1818" s="475"/>
    </row>
    <row r="1819">
      <c r="A1819" s="285"/>
      <c r="B1819" s="326"/>
      <c r="C1819" s="327"/>
      <c r="D1819" s="327"/>
      <c r="E1819" s="328"/>
      <c r="F1819" s="327"/>
      <c r="G1819" s="328"/>
      <c r="H1819" s="328"/>
      <c r="I1819" s="327"/>
    </row>
    <row r="1820">
      <c r="A1820" s="324"/>
      <c r="B1820" s="326"/>
      <c r="C1820" s="475"/>
      <c r="D1820" s="475"/>
      <c r="E1820" s="477"/>
      <c r="F1820" s="475"/>
      <c r="G1820" s="477"/>
      <c r="H1820" s="477"/>
      <c r="I1820" s="475"/>
    </row>
    <row r="1821">
      <c r="A1821" s="285"/>
      <c r="B1821" s="326"/>
      <c r="C1821" s="327"/>
      <c r="D1821" s="327"/>
      <c r="E1821" s="328"/>
      <c r="F1821" s="327"/>
      <c r="G1821" s="328"/>
      <c r="H1821" s="328"/>
      <c r="I1821" s="327"/>
    </row>
    <row r="1822">
      <c r="A1822" s="324"/>
      <c r="B1822" s="326"/>
      <c r="C1822" s="475"/>
      <c r="D1822" s="475"/>
      <c r="E1822" s="477"/>
      <c r="F1822" s="475"/>
      <c r="G1822" s="477"/>
      <c r="H1822" s="477"/>
      <c r="I1822" s="475"/>
    </row>
    <row r="1823">
      <c r="A1823" s="285"/>
      <c r="B1823" s="326"/>
      <c r="C1823" s="327"/>
      <c r="D1823" s="327"/>
      <c r="E1823" s="328"/>
      <c r="F1823" s="327"/>
      <c r="G1823" s="328"/>
      <c r="H1823" s="328"/>
      <c r="I1823" s="327"/>
    </row>
    <row r="1824">
      <c r="A1824" s="324"/>
      <c r="B1824" s="326"/>
      <c r="C1824" s="475"/>
      <c r="D1824" s="475"/>
      <c r="E1824" s="477"/>
      <c r="F1824" s="475"/>
      <c r="G1824" s="477"/>
      <c r="H1824" s="477"/>
      <c r="I1824" s="475"/>
    </row>
    <row r="1825">
      <c r="A1825" s="285"/>
      <c r="B1825" s="326"/>
      <c r="C1825" s="327"/>
      <c r="D1825" s="327"/>
      <c r="E1825" s="328"/>
      <c r="F1825" s="327"/>
      <c r="G1825" s="328"/>
      <c r="H1825" s="328"/>
      <c r="I1825" s="327"/>
    </row>
    <row r="1826">
      <c r="A1826" s="324"/>
      <c r="B1826" s="326"/>
      <c r="C1826" s="475"/>
      <c r="D1826" s="475"/>
      <c r="E1826" s="477"/>
      <c r="F1826" s="475"/>
      <c r="G1826" s="477"/>
      <c r="H1826" s="477"/>
      <c r="I1826" s="475"/>
    </row>
    <row r="1827">
      <c r="A1827" s="285"/>
      <c r="B1827" s="326"/>
      <c r="C1827" s="327"/>
      <c r="D1827" s="327"/>
      <c r="E1827" s="328"/>
      <c r="F1827" s="327"/>
      <c r="G1827" s="328"/>
      <c r="H1827" s="328"/>
      <c r="I1827" s="327"/>
    </row>
    <row r="1828">
      <c r="A1828" s="324"/>
      <c r="B1828" s="326"/>
      <c r="C1828" s="475"/>
      <c r="D1828" s="475"/>
      <c r="E1828" s="477"/>
      <c r="F1828" s="475"/>
      <c r="G1828" s="477"/>
      <c r="H1828" s="477"/>
      <c r="I1828" s="475"/>
    </row>
    <row r="1829">
      <c r="A1829" s="285"/>
      <c r="B1829" s="326"/>
      <c r="C1829" s="327"/>
      <c r="D1829" s="327"/>
      <c r="E1829" s="328"/>
      <c r="F1829" s="327"/>
      <c r="G1829" s="328"/>
      <c r="H1829" s="328"/>
      <c r="I1829" s="327"/>
    </row>
    <row r="1830">
      <c r="A1830" s="324"/>
      <c r="B1830" s="326"/>
      <c r="C1830" s="475"/>
      <c r="D1830" s="475"/>
      <c r="E1830" s="477"/>
      <c r="F1830" s="475"/>
      <c r="G1830" s="477"/>
      <c r="H1830" s="477"/>
      <c r="I1830" s="475"/>
    </row>
    <row r="1831">
      <c r="A1831" s="285"/>
      <c r="B1831" s="326"/>
      <c r="C1831" s="327"/>
      <c r="D1831" s="327"/>
      <c r="E1831" s="328"/>
      <c r="F1831" s="327"/>
      <c r="G1831" s="328"/>
      <c r="H1831" s="328"/>
      <c r="I1831" s="327"/>
    </row>
    <row r="1832">
      <c r="A1832" s="324"/>
      <c r="B1832" s="326"/>
      <c r="C1832" s="475"/>
      <c r="D1832" s="475"/>
      <c r="E1832" s="477"/>
      <c r="F1832" s="475"/>
      <c r="G1832" s="477"/>
      <c r="H1832" s="477"/>
      <c r="I1832" s="475"/>
    </row>
    <row r="1833">
      <c r="A1833" s="285"/>
      <c r="B1833" s="326"/>
      <c r="C1833" s="327"/>
      <c r="D1833" s="327"/>
      <c r="E1833" s="328"/>
      <c r="F1833" s="327"/>
      <c r="G1833" s="328"/>
      <c r="H1833" s="328"/>
      <c r="I1833" s="327"/>
    </row>
    <row r="1834">
      <c r="A1834" s="324"/>
      <c r="B1834" s="326"/>
      <c r="C1834" s="475"/>
      <c r="D1834" s="475"/>
      <c r="E1834" s="477"/>
      <c r="F1834" s="475"/>
      <c r="G1834" s="477"/>
      <c r="H1834" s="477"/>
      <c r="I1834" s="475"/>
    </row>
    <row r="1835">
      <c r="A1835" s="285"/>
      <c r="B1835" s="326"/>
      <c r="C1835" s="327"/>
      <c r="D1835" s="327"/>
      <c r="E1835" s="328"/>
      <c r="F1835" s="327"/>
      <c r="G1835" s="328"/>
      <c r="H1835" s="328"/>
      <c r="I1835" s="327"/>
    </row>
    <row r="1836">
      <c r="A1836" s="324"/>
      <c r="B1836" s="326"/>
      <c r="C1836" s="475"/>
      <c r="D1836" s="475"/>
      <c r="E1836" s="477"/>
      <c r="F1836" s="475"/>
      <c r="G1836" s="477"/>
      <c r="H1836" s="477"/>
      <c r="I1836" s="475"/>
    </row>
    <row r="1837">
      <c r="A1837" s="285"/>
      <c r="B1837" s="326"/>
      <c r="C1837" s="327"/>
      <c r="D1837" s="327"/>
      <c r="E1837" s="328"/>
      <c r="F1837" s="327"/>
      <c r="G1837" s="328"/>
      <c r="H1837" s="328"/>
      <c r="I1837" s="327"/>
    </row>
    <row r="1838">
      <c r="A1838" s="324"/>
      <c r="B1838" s="326"/>
      <c r="C1838" s="475"/>
      <c r="D1838" s="475"/>
      <c r="E1838" s="477"/>
      <c r="F1838" s="475"/>
      <c r="G1838" s="477"/>
      <c r="H1838" s="477"/>
      <c r="I1838" s="475"/>
    </row>
    <row r="1839">
      <c r="A1839" s="285"/>
      <c r="B1839" s="326"/>
      <c r="C1839" s="327"/>
      <c r="D1839" s="327"/>
      <c r="E1839" s="328"/>
      <c r="F1839" s="327"/>
      <c r="G1839" s="328"/>
      <c r="H1839" s="328"/>
      <c r="I1839" s="327"/>
    </row>
    <row r="1840">
      <c r="A1840" s="324"/>
      <c r="B1840" s="326"/>
      <c r="C1840" s="475"/>
      <c r="D1840" s="475"/>
      <c r="E1840" s="477"/>
      <c r="F1840" s="475"/>
      <c r="G1840" s="477"/>
      <c r="H1840" s="477"/>
      <c r="I1840" s="475"/>
    </row>
    <row r="1841">
      <c r="A1841" s="285"/>
      <c r="B1841" s="326"/>
      <c r="C1841" s="327"/>
      <c r="D1841" s="327"/>
      <c r="E1841" s="328"/>
      <c r="F1841" s="327"/>
      <c r="G1841" s="328"/>
      <c r="H1841" s="328"/>
      <c r="I1841" s="327"/>
    </row>
    <row r="1842">
      <c r="A1842" s="324"/>
      <c r="B1842" s="326"/>
      <c r="C1842" s="475"/>
      <c r="D1842" s="475"/>
      <c r="E1842" s="477"/>
      <c r="F1842" s="475"/>
      <c r="G1842" s="477"/>
      <c r="H1842" s="477"/>
      <c r="I1842" s="475"/>
    </row>
    <row r="1843">
      <c r="A1843" s="285"/>
      <c r="B1843" s="326"/>
      <c r="C1843" s="327"/>
      <c r="D1843" s="327"/>
      <c r="E1843" s="328"/>
      <c r="F1843" s="327"/>
      <c r="G1843" s="328"/>
      <c r="H1843" s="328"/>
      <c r="I1843" s="327"/>
    </row>
    <row r="1844">
      <c r="A1844" s="324"/>
      <c r="B1844" s="326"/>
      <c r="C1844" s="475"/>
      <c r="D1844" s="475"/>
      <c r="E1844" s="477"/>
      <c r="F1844" s="475"/>
      <c r="G1844" s="477"/>
      <c r="H1844" s="477"/>
      <c r="I1844" s="475"/>
    </row>
    <row r="1845">
      <c r="A1845" s="285"/>
      <c r="B1845" s="326"/>
      <c r="C1845" s="327"/>
      <c r="D1845" s="327"/>
      <c r="E1845" s="328"/>
      <c r="F1845" s="327"/>
      <c r="G1845" s="328"/>
      <c r="H1845" s="328"/>
      <c r="I1845" s="327"/>
    </row>
    <row r="1846">
      <c r="A1846" s="324"/>
      <c r="B1846" s="326"/>
      <c r="C1846" s="475"/>
      <c r="D1846" s="475"/>
      <c r="E1846" s="477"/>
      <c r="F1846" s="475"/>
      <c r="G1846" s="477"/>
      <c r="H1846" s="477"/>
      <c r="I1846" s="475"/>
    </row>
    <row r="1847">
      <c r="A1847" s="285"/>
      <c r="B1847" s="326"/>
      <c r="C1847" s="327"/>
      <c r="D1847" s="327"/>
      <c r="E1847" s="328"/>
      <c r="F1847" s="327"/>
      <c r="G1847" s="328"/>
      <c r="H1847" s="328"/>
      <c r="I1847" s="327"/>
    </row>
    <row r="1848">
      <c r="A1848" s="324"/>
      <c r="B1848" s="326"/>
      <c r="C1848" s="475"/>
      <c r="D1848" s="475"/>
      <c r="E1848" s="477"/>
      <c r="F1848" s="475"/>
      <c r="G1848" s="477"/>
      <c r="H1848" s="477"/>
      <c r="I1848" s="475"/>
    </row>
    <row r="1849">
      <c r="A1849" s="285"/>
      <c r="B1849" s="326"/>
      <c r="C1849" s="327"/>
      <c r="D1849" s="327"/>
      <c r="E1849" s="328"/>
      <c r="F1849" s="327"/>
      <c r="G1849" s="328"/>
      <c r="H1849" s="328"/>
      <c r="I1849" s="327"/>
    </row>
    <row r="1850">
      <c r="A1850" s="324"/>
      <c r="B1850" s="326"/>
      <c r="C1850" s="475"/>
      <c r="D1850" s="475"/>
      <c r="E1850" s="477"/>
      <c r="F1850" s="475"/>
      <c r="G1850" s="477"/>
      <c r="H1850" s="477"/>
      <c r="I1850" s="475"/>
    </row>
    <row r="1851">
      <c r="A1851" s="285"/>
      <c r="B1851" s="326"/>
      <c r="C1851" s="327"/>
      <c r="D1851" s="327"/>
      <c r="E1851" s="328"/>
      <c r="F1851" s="327"/>
      <c r="G1851" s="328"/>
      <c r="H1851" s="328"/>
      <c r="I1851" s="327"/>
    </row>
    <row r="1852">
      <c r="A1852" s="324"/>
      <c r="B1852" s="326"/>
      <c r="C1852" s="475"/>
      <c r="D1852" s="475"/>
      <c r="E1852" s="477"/>
      <c r="F1852" s="475"/>
      <c r="G1852" s="477"/>
      <c r="H1852" s="477"/>
      <c r="I1852" s="475"/>
    </row>
    <row r="1853">
      <c r="A1853" s="285"/>
      <c r="B1853" s="326"/>
      <c r="C1853" s="327"/>
      <c r="D1853" s="327"/>
      <c r="E1853" s="328"/>
      <c r="F1853" s="327"/>
      <c r="G1853" s="328"/>
      <c r="H1853" s="328"/>
      <c r="I1853" s="327"/>
    </row>
    <row r="1854">
      <c r="A1854" s="324"/>
      <c r="B1854" s="326"/>
      <c r="C1854" s="475"/>
      <c r="D1854" s="475"/>
      <c r="E1854" s="477"/>
      <c r="F1854" s="475"/>
      <c r="G1854" s="477"/>
      <c r="H1854" s="477"/>
      <c r="I1854" s="475"/>
    </row>
    <row r="1855">
      <c r="A1855" s="285"/>
      <c r="B1855" s="326"/>
      <c r="C1855" s="327"/>
      <c r="D1855" s="327"/>
      <c r="E1855" s="328"/>
      <c r="F1855" s="327"/>
      <c r="G1855" s="328"/>
      <c r="H1855" s="328"/>
      <c r="I1855" s="327"/>
    </row>
    <row r="1856">
      <c r="A1856" s="324"/>
      <c r="B1856" s="326"/>
      <c r="C1856" s="475"/>
      <c r="D1856" s="475"/>
      <c r="E1856" s="477"/>
      <c r="F1856" s="475"/>
      <c r="G1856" s="477"/>
      <c r="H1856" s="477"/>
      <c r="I1856" s="475"/>
    </row>
    <row r="1857">
      <c r="A1857" s="285"/>
      <c r="B1857" s="326"/>
      <c r="C1857" s="327"/>
      <c r="D1857" s="327"/>
      <c r="E1857" s="328"/>
      <c r="F1857" s="327"/>
      <c r="G1857" s="328"/>
      <c r="H1857" s="328"/>
      <c r="I1857" s="327"/>
    </row>
    <row r="1858">
      <c r="A1858" s="324"/>
      <c r="B1858" s="326"/>
      <c r="C1858" s="475"/>
      <c r="D1858" s="475"/>
      <c r="E1858" s="477"/>
      <c r="F1858" s="475"/>
      <c r="G1858" s="477"/>
      <c r="H1858" s="477"/>
      <c r="I1858" s="475"/>
    </row>
    <row r="1859">
      <c r="A1859" s="285"/>
      <c r="B1859" s="326"/>
      <c r="C1859" s="327"/>
      <c r="D1859" s="327"/>
      <c r="E1859" s="328"/>
      <c r="F1859" s="327"/>
      <c r="G1859" s="328"/>
      <c r="H1859" s="328"/>
      <c r="I1859" s="327"/>
    </row>
    <row r="1860">
      <c r="A1860" s="324"/>
      <c r="B1860" s="326"/>
      <c r="C1860" s="475"/>
      <c r="D1860" s="475"/>
      <c r="E1860" s="477"/>
      <c r="F1860" s="475"/>
      <c r="G1860" s="477"/>
      <c r="H1860" s="477"/>
      <c r="I1860" s="475"/>
    </row>
    <row r="1861">
      <c r="A1861" s="285"/>
      <c r="B1861" s="326"/>
      <c r="C1861" s="327"/>
      <c r="D1861" s="327"/>
      <c r="E1861" s="328"/>
      <c r="F1861" s="327"/>
      <c r="G1861" s="328"/>
      <c r="H1861" s="328"/>
      <c r="I1861" s="327"/>
    </row>
    <row r="1862">
      <c r="A1862" s="324"/>
      <c r="B1862" s="326"/>
      <c r="C1862" s="475"/>
      <c r="D1862" s="475"/>
      <c r="E1862" s="477"/>
      <c r="F1862" s="475"/>
      <c r="G1862" s="477"/>
      <c r="H1862" s="477"/>
      <c r="I1862" s="475"/>
    </row>
    <row r="1863">
      <c r="A1863" s="285"/>
      <c r="B1863" s="326"/>
      <c r="C1863" s="327"/>
      <c r="D1863" s="327"/>
      <c r="E1863" s="328"/>
      <c r="F1863" s="327"/>
      <c r="G1863" s="328"/>
      <c r="H1863" s="328"/>
      <c r="I1863" s="327"/>
    </row>
    <row r="1864">
      <c r="A1864" s="324"/>
      <c r="B1864" s="326"/>
      <c r="C1864" s="475"/>
      <c r="D1864" s="475"/>
      <c r="E1864" s="477"/>
      <c r="F1864" s="475"/>
      <c r="G1864" s="477"/>
      <c r="H1864" s="477"/>
      <c r="I1864" s="475"/>
    </row>
    <row r="1865">
      <c r="A1865" s="285"/>
      <c r="B1865" s="326"/>
      <c r="C1865" s="327"/>
      <c r="D1865" s="327"/>
      <c r="E1865" s="328"/>
      <c r="F1865" s="327"/>
      <c r="G1865" s="328"/>
      <c r="H1865" s="328"/>
      <c r="I1865" s="327"/>
    </row>
    <row r="1866">
      <c r="A1866" s="324"/>
      <c r="B1866" s="326"/>
      <c r="C1866" s="475"/>
      <c r="D1866" s="475"/>
      <c r="E1866" s="477"/>
      <c r="F1866" s="475"/>
      <c r="G1866" s="477"/>
      <c r="H1866" s="477"/>
      <c r="I1866" s="475"/>
    </row>
    <row r="1867">
      <c r="A1867" s="285"/>
      <c r="B1867" s="326"/>
      <c r="C1867" s="327"/>
      <c r="D1867" s="327"/>
      <c r="E1867" s="328"/>
      <c r="F1867" s="327"/>
      <c r="G1867" s="328"/>
      <c r="H1867" s="328"/>
      <c r="I1867" s="327"/>
    </row>
    <row r="1868">
      <c r="A1868" s="324"/>
      <c r="B1868" s="326"/>
      <c r="C1868" s="475"/>
      <c r="D1868" s="475"/>
      <c r="E1868" s="477"/>
      <c r="F1868" s="475"/>
      <c r="G1868" s="477"/>
      <c r="H1868" s="477"/>
      <c r="I1868" s="475"/>
    </row>
    <row r="1869">
      <c r="A1869" s="285"/>
      <c r="B1869" s="326"/>
      <c r="C1869" s="327"/>
      <c r="D1869" s="327"/>
      <c r="E1869" s="328"/>
      <c r="F1869" s="327"/>
      <c r="G1869" s="328"/>
      <c r="H1869" s="328"/>
      <c r="I1869" s="327"/>
    </row>
    <row r="1870">
      <c r="A1870" s="324"/>
      <c r="B1870" s="326"/>
      <c r="C1870" s="475"/>
      <c r="D1870" s="475"/>
      <c r="E1870" s="477"/>
      <c r="F1870" s="475"/>
      <c r="G1870" s="477"/>
      <c r="H1870" s="477"/>
      <c r="I1870" s="475"/>
    </row>
    <row r="1871">
      <c r="A1871" s="285"/>
      <c r="B1871" s="326"/>
      <c r="C1871" s="327"/>
      <c r="D1871" s="327"/>
      <c r="E1871" s="328"/>
      <c r="F1871" s="327"/>
      <c r="G1871" s="328"/>
      <c r="H1871" s="328"/>
      <c r="I1871" s="327"/>
    </row>
    <row r="1872">
      <c r="A1872" s="324"/>
      <c r="B1872" s="326"/>
      <c r="C1872" s="475"/>
      <c r="D1872" s="475"/>
      <c r="E1872" s="477"/>
      <c r="F1872" s="475"/>
      <c r="G1872" s="477"/>
      <c r="H1872" s="477"/>
      <c r="I1872" s="475"/>
    </row>
    <row r="1873">
      <c r="A1873" s="285"/>
      <c r="B1873" s="326"/>
      <c r="C1873" s="327"/>
      <c r="D1873" s="327"/>
      <c r="E1873" s="328"/>
      <c r="F1873" s="327"/>
      <c r="G1873" s="328"/>
      <c r="H1873" s="328"/>
      <c r="I1873" s="327"/>
    </row>
    <row r="1874">
      <c r="A1874" s="324"/>
      <c r="B1874" s="326"/>
      <c r="C1874" s="475"/>
      <c r="D1874" s="475"/>
      <c r="E1874" s="477"/>
      <c r="F1874" s="475"/>
      <c r="G1874" s="477"/>
      <c r="H1874" s="477"/>
      <c r="I1874" s="475"/>
    </row>
    <row r="1875">
      <c r="A1875" s="285"/>
      <c r="B1875" s="326"/>
      <c r="C1875" s="327"/>
      <c r="D1875" s="327"/>
      <c r="E1875" s="328"/>
      <c r="F1875" s="327"/>
      <c r="G1875" s="328"/>
      <c r="H1875" s="328"/>
      <c r="I1875" s="327"/>
    </row>
    <row r="1876">
      <c r="A1876" s="324"/>
      <c r="B1876" s="326"/>
      <c r="C1876" s="475"/>
      <c r="D1876" s="475"/>
      <c r="E1876" s="477"/>
      <c r="F1876" s="475"/>
      <c r="G1876" s="477"/>
      <c r="H1876" s="477"/>
      <c r="I1876" s="475"/>
    </row>
    <row r="1877">
      <c r="A1877" s="285"/>
      <c r="B1877" s="326"/>
      <c r="C1877" s="327"/>
      <c r="D1877" s="327"/>
      <c r="E1877" s="328"/>
      <c r="F1877" s="327"/>
      <c r="G1877" s="328"/>
      <c r="H1877" s="328"/>
      <c r="I1877" s="327"/>
    </row>
    <row r="1878">
      <c r="A1878" s="324"/>
      <c r="B1878" s="326"/>
      <c r="C1878" s="475"/>
      <c r="D1878" s="475"/>
      <c r="E1878" s="477"/>
      <c r="F1878" s="475"/>
      <c r="G1878" s="477"/>
      <c r="H1878" s="477"/>
      <c r="I1878" s="475"/>
    </row>
    <row r="1879">
      <c r="A1879" s="285"/>
      <c r="B1879" s="326"/>
      <c r="C1879" s="327"/>
      <c r="D1879" s="327"/>
      <c r="E1879" s="328"/>
      <c r="F1879" s="327"/>
      <c r="G1879" s="328"/>
      <c r="H1879" s="328"/>
      <c r="I1879" s="327"/>
    </row>
    <row r="1880">
      <c r="A1880" s="324"/>
      <c r="B1880" s="326"/>
      <c r="C1880" s="475"/>
      <c r="D1880" s="475"/>
      <c r="E1880" s="477"/>
      <c r="F1880" s="475"/>
      <c r="G1880" s="477"/>
      <c r="H1880" s="477"/>
      <c r="I1880" s="475"/>
    </row>
    <row r="1881">
      <c r="A1881" s="285"/>
      <c r="B1881" s="326"/>
      <c r="C1881" s="327"/>
      <c r="D1881" s="327"/>
      <c r="E1881" s="328"/>
      <c r="F1881" s="327"/>
      <c r="G1881" s="328"/>
      <c r="H1881" s="328"/>
      <c r="I1881" s="327"/>
    </row>
    <row r="1882">
      <c r="A1882" s="324"/>
      <c r="B1882" s="326"/>
      <c r="C1882" s="475"/>
      <c r="D1882" s="475"/>
      <c r="E1882" s="477"/>
      <c r="F1882" s="475"/>
      <c r="G1882" s="477"/>
      <c r="H1882" s="477"/>
      <c r="I1882" s="475"/>
    </row>
    <row r="1883">
      <c r="A1883" s="285"/>
      <c r="B1883" s="326"/>
      <c r="C1883" s="327"/>
      <c r="D1883" s="327"/>
      <c r="E1883" s="328"/>
      <c r="F1883" s="327"/>
      <c r="G1883" s="328"/>
      <c r="H1883" s="328"/>
      <c r="I1883" s="327"/>
    </row>
    <row r="1884">
      <c r="A1884" s="324"/>
      <c r="B1884" s="326"/>
      <c r="C1884" s="475"/>
      <c r="D1884" s="475"/>
      <c r="E1884" s="477"/>
      <c r="F1884" s="475"/>
      <c r="G1884" s="477"/>
      <c r="H1884" s="477"/>
      <c r="I1884" s="475"/>
    </row>
    <row r="1885">
      <c r="A1885" s="285"/>
      <c r="B1885" s="326"/>
      <c r="C1885" s="327"/>
      <c r="D1885" s="327"/>
      <c r="E1885" s="328"/>
      <c r="F1885" s="327"/>
      <c r="G1885" s="328"/>
      <c r="H1885" s="328"/>
      <c r="I1885" s="327"/>
    </row>
    <row r="1886">
      <c r="A1886" s="324"/>
      <c r="B1886" s="326"/>
      <c r="C1886" s="475"/>
      <c r="D1886" s="475"/>
      <c r="E1886" s="477"/>
      <c r="F1886" s="475"/>
      <c r="G1886" s="477"/>
      <c r="H1886" s="477"/>
      <c r="I1886" s="475"/>
    </row>
    <row r="1887">
      <c r="A1887" s="285"/>
      <c r="B1887" s="326"/>
      <c r="C1887" s="327"/>
      <c r="D1887" s="327"/>
      <c r="E1887" s="328"/>
      <c r="F1887" s="327"/>
      <c r="G1887" s="328"/>
      <c r="H1887" s="328"/>
      <c r="I1887" s="327"/>
    </row>
    <row r="1888">
      <c r="A1888" s="324"/>
      <c r="B1888" s="326"/>
      <c r="C1888" s="475"/>
      <c r="D1888" s="475"/>
      <c r="E1888" s="477"/>
      <c r="F1888" s="475"/>
      <c r="G1888" s="477"/>
      <c r="H1888" s="477"/>
      <c r="I1888" s="475"/>
    </row>
    <row r="1889">
      <c r="A1889" s="285"/>
      <c r="B1889" s="326"/>
      <c r="C1889" s="327"/>
      <c r="D1889" s="327"/>
      <c r="E1889" s="328"/>
      <c r="F1889" s="327"/>
      <c r="G1889" s="328"/>
      <c r="H1889" s="328"/>
      <c r="I1889" s="327"/>
    </row>
    <row r="1890">
      <c r="A1890" s="324"/>
      <c r="B1890" s="326"/>
      <c r="C1890" s="475"/>
      <c r="D1890" s="475"/>
      <c r="E1890" s="477"/>
      <c r="F1890" s="475"/>
      <c r="G1890" s="477"/>
      <c r="H1890" s="477"/>
      <c r="I1890" s="475"/>
    </row>
    <row r="1891">
      <c r="A1891" s="285"/>
      <c r="B1891" s="326"/>
      <c r="C1891" s="327"/>
      <c r="D1891" s="327"/>
      <c r="E1891" s="328"/>
      <c r="F1891" s="327"/>
      <c r="G1891" s="328"/>
      <c r="H1891" s="328"/>
      <c r="I1891" s="327"/>
    </row>
    <row r="1892">
      <c r="A1892" s="324"/>
      <c r="B1892" s="326"/>
      <c r="C1892" s="475"/>
      <c r="D1892" s="475"/>
      <c r="E1892" s="477"/>
      <c r="F1892" s="475"/>
      <c r="G1892" s="477"/>
      <c r="H1892" s="477"/>
      <c r="I1892" s="475"/>
    </row>
    <row r="1893">
      <c r="A1893" s="285"/>
      <c r="B1893" s="326"/>
      <c r="C1893" s="327"/>
      <c r="D1893" s="327"/>
      <c r="E1893" s="328"/>
      <c r="F1893" s="327"/>
      <c r="G1893" s="328"/>
      <c r="H1893" s="328"/>
      <c r="I1893" s="327"/>
    </row>
    <row r="1894">
      <c r="A1894" s="324"/>
      <c r="B1894" s="326"/>
      <c r="C1894" s="475"/>
      <c r="D1894" s="475"/>
      <c r="E1894" s="477"/>
      <c r="F1894" s="475"/>
      <c r="G1894" s="477"/>
      <c r="H1894" s="477"/>
      <c r="I1894" s="475"/>
    </row>
    <row r="1895">
      <c r="A1895" s="285"/>
      <c r="B1895" s="326"/>
      <c r="C1895" s="327"/>
      <c r="D1895" s="327"/>
      <c r="E1895" s="328"/>
      <c r="F1895" s="327"/>
      <c r="G1895" s="328"/>
      <c r="H1895" s="328"/>
      <c r="I1895" s="327"/>
    </row>
    <row r="1896">
      <c r="A1896" s="324"/>
      <c r="B1896" s="326"/>
      <c r="C1896" s="475"/>
      <c r="D1896" s="475"/>
      <c r="E1896" s="477"/>
      <c r="F1896" s="475"/>
      <c r="G1896" s="477"/>
      <c r="H1896" s="477"/>
      <c r="I1896" s="475"/>
    </row>
    <row r="1897">
      <c r="A1897" s="285"/>
      <c r="B1897" s="326"/>
      <c r="C1897" s="327"/>
      <c r="D1897" s="327"/>
      <c r="E1897" s="328"/>
      <c r="F1897" s="327"/>
      <c r="G1897" s="328"/>
      <c r="H1897" s="328"/>
      <c r="I1897" s="327"/>
    </row>
    <row r="1898">
      <c r="A1898" s="324"/>
      <c r="B1898" s="326"/>
      <c r="C1898" s="475"/>
      <c r="D1898" s="475"/>
      <c r="E1898" s="477"/>
      <c r="F1898" s="475"/>
      <c r="G1898" s="477"/>
      <c r="H1898" s="477"/>
      <c r="I1898" s="475"/>
    </row>
    <row r="1899">
      <c r="A1899" s="285"/>
      <c r="B1899" s="326"/>
      <c r="C1899" s="327"/>
      <c r="D1899" s="327"/>
      <c r="E1899" s="328"/>
      <c r="F1899" s="327"/>
      <c r="G1899" s="328"/>
      <c r="H1899" s="328"/>
      <c r="I1899" s="327"/>
    </row>
    <row r="1900">
      <c r="A1900" s="324"/>
      <c r="B1900" s="326"/>
      <c r="C1900" s="475"/>
      <c r="D1900" s="475"/>
      <c r="E1900" s="477"/>
      <c r="F1900" s="475"/>
      <c r="G1900" s="477"/>
      <c r="H1900" s="477"/>
      <c r="I1900" s="475"/>
    </row>
    <row r="1901">
      <c r="A1901" s="285"/>
      <c r="B1901" s="326"/>
      <c r="C1901" s="327"/>
      <c r="D1901" s="327"/>
      <c r="E1901" s="328"/>
      <c r="F1901" s="327"/>
      <c r="G1901" s="328"/>
      <c r="H1901" s="328"/>
      <c r="I1901" s="327"/>
    </row>
    <row r="1902">
      <c r="A1902" s="324"/>
      <c r="B1902" s="326"/>
      <c r="C1902" s="475"/>
      <c r="D1902" s="475"/>
      <c r="E1902" s="477"/>
      <c r="F1902" s="475"/>
      <c r="G1902" s="477"/>
      <c r="H1902" s="477"/>
      <c r="I1902" s="475"/>
    </row>
    <row r="1903">
      <c r="A1903" s="285"/>
      <c r="B1903" s="326"/>
      <c r="C1903" s="327"/>
      <c r="D1903" s="327"/>
      <c r="E1903" s="328"/>
      <c r="F1903" s="327"/>
      <c r="G1903" s="328"/>
      <c r="H1903" s="328"/>
      <c r="I1903" s="327"/>
    </row>
    <row r="1904">
      <c r="A1904" s="324"/>
      <c r="B1904" s="326"/>
      <c r="C1904" s="475"/>
      <c r="D1904" s="475"/>
      <c r="E1904" s="477"/>
      <c r="F1904" s="475"/>
      <c r="G1904" s="477"/>
      <c r="H1904" s="477"/>
      <c r="I1904" s="475"/>
    </row>
    <row r="1905">
      <c r="A1905" s="285"/>
      <c r="B1905" s="326"/>
      <c r="C1905" s="327"/>
      <c r="D1905" s="327"/>
      <c r="E1905" s="328"/>
      <c r="F1905" s="327"/>
      <c r="G1905" s="328"/>
      <c r="H1905" s="328"/>
      <c r="I1905" s="327"/>
    </row>
    <row r="1906">
      <c r="A1906" s="324"/>
      <c r="B1906" s="326"/>
      <c r="C1906" s="475"/>
      <c r="D1906" s="475"/>
      <c r="E1906" s="477"/>
      <c r="F1906" s="475"/>
      <c r="G1906" s="477"/>
      <c r="H1906" s="477"/>
      <c r="I1906" s="475"/>
    </row>
    <row r="1907">
      <c r="A1907" s="285"/>
      <c r="B1907" s="326"/>
      <c r="C1907" s="327"/>
      <c r="D1907" s="327"/>
      <c r="E1907" s="328"/>
      <c r="F1907" s="327"/>
      <c r="G1907" s="328"/>
      <c r="H1907" s="328"/>
      <c r="I1907" s="327"/>
    </row>
    <row r="1908">
      <c r="A1908" s="324"/>
      <c r="B1908" s="326"/>
      <c r="C1908" s="475"/>
      <c r="D1908" s="475"/>
      <c r="E1908" s="477"/>
      <c r="F1908" s="475"/>
      <c r="G1908" s="477"/>
      <c r="H1908" s="477"/>
      <c r="I1908" s="475"/>
    </row>
    <row r="1909">
      <c r="A1909" s="285"/>
      <c r="B1909" s="326"/>
      <c r="C1909" s="327"/>
      <c r="D1909" s="327"/>
      <c r="E1909" s="328"/>
      <c r="F1909" s="327"/>
      <c r="G1909" s="328"/>
      <c r="H1909" s="328"/>
      <c r="I1909" s="327"/>
    </row>
    <row r="1910">
      <c r="A1910" s="324"/>
      <c r="B1910" s="326"/>
      <c r="C1910" s="475"/>
      <c r="D1910" s="475"/>
      <c r="E1910" s="477"/>
      <c r="F1910" s="475"/>
      <c r="G1910" s="477"/>
      <c r="H1910" s="477"/>
      <c r="I1910" s="475"/>
    </row>
    <row r="1911">
      <c r="A1911" s="285"/>
      <c r="B1911" s="326"/>
      <c r="C1911" s="327"/>
      <c r="D1911" s="327"/>
      <c r="E1911" s="328"/>
      <c r="F1911" s="327"/>
      <c r="G1911" s="328"/>
      <c r="H1911" s="328"/>
      <c r="I1911" s="327"/>
    </row>
    <row r="1912">
      <c r="A1912" s="324"/>
      <c r="B1912" s="326"/>
      <c r="C1912" s="475"/>
      <c r="D1912" s="475"/>
      <c r="E1912" s="477"/>
      <c r="F1912" s="475"/>
      <c r="G1912" s="477"/>
      <c r="H1912" s="477"/>
      <c r="I1912" s="475"/>
    </row>
    <row r="1913">
      <c r="A1913" s="285"/>
      <c r="B1913" s="326"/>
      <c r="C1913" s="327"/>
      <c r="D1913" s="327"/>
      <c r="E1913" s="328"/>
      <c r="F1913" s="327"/>
      <c r="G1913" s="328"/>
      <c r="H1913" s="328"/>
      <c r="I1913" s="327"/>
    </row>
    <row r="1914">
      <c r="A1914" s="324"/>
      <c r="B1914" s="326"/>
      <c r="C1914" s="475"/>
      <c r="D1914" s="475"/>
      <c r="E1914" s="477"/>
      <c r="F1914" s="475"/>
      <c r="G1914" s="477"/>
      <c r="H1914" s="477"/>
      <c r="I1914" s="475"/>
    </row>
    <row r="1915">
      <c r="A1915" s="285"/>
      <c r="B1915" s="326"/>
      <c r="C1915" s="327"/>
      <c r="D1915" s="327"/>
      <c r="E1915" s="328"/>
      <c r="F1915" s="327"/>
      <c r="G1915" s="328"/>
      <c r="H1915" s="328"/>
      <c r="I1915" s="327"/>
    </row>
    <row r="1916">
      <c r="A1916" s="324"/>
      <c r="B1916" s="326"/>
      <c r="C1916" s="475"/>
      <c r="D1916" s="475"/>
      <c r="E1916" s="477"/>
      <c r="F1916" s="475"/>
      <c r="G1916" s="477"/>
      <c r="H1916" s="477"/>
      <c r="I1916" s="475"/>
    </row>
    <row r="1917">
      <c r="A1917" s="285"/>
      <c r="B1917" s="326"/>
      <c r="C1917" s="327"/>
      <c r="D1917" s="327"/>
      <c r="E1917" s="328"/>
      <c r="F1917" s="327"/>
      <c r="G1917" s="328"/>
      <c r="H1917" s="328"/>
      <c r="I1917" s="327"/>
    </row>
    <row r="1918">
      <c r="A1918" s="324"/>
      <c r="B1918" s="326"/>
      <c r="C1918" s="475"/>
      <c r="D1918" s="475"/>
      <c r="E1918" s="477"/>
      <c r="F1918" s="475"/>
      <c r="G1918" s="477"/>
      <c r="H1918" s="477"/>
      <c r="I1918" s="475"/>
    </row>
    <row r="1919">
      <c r="A1919" s="285"/>
      <c r="B1919" s="326"/>
      <c r="C1919" s="327"/>
      <c r="D1919" s="327"/>
      <c r="E1919" s="328"/>
      <c r="F1919" s="327"/>
      <c r="G1919" s="328"/>
      <c r="H1919" s="328"/>
      <c r="I1919" s="327"/>
    </row>
    <row r="1920">
      <c r="A1920" s="324"/>
      <c r="B1920" s="326"/>
      <c r="C1920" s="475"/>
      <c r="D1920" s="475"/>
      <c r="E1920" s="477"/>
      <c r="F1920" s="475"/>
      <c r="G1920" s="477"/>
      <c r="H1920" s="477"/>
      <c r="I1920" s="475"/>
    </row>
    <row r="1921">
      <c r="A1921" s="285"/>
      <c r="B1921" s="326"/>
      <c r="C1921" s="327"/>
      <c r="D1921" s="327"/>
      <c r="E1921" s="328"/>
      <c r="F1921" s="327"/>
      <c r="G1921" s="328"/>
      <c r="H1921" s="328"/>
      <c r="I1921" s="327"/>
    </row>
    <row r="1922">
      <c r="A1922" s="324"/>
      <c r="B1922" s="326"/>
      <c r="C1922" s="475"/>
      <c r="D1922" s="475"/>
      <c r="E1922" s="477"/>
      <c r="F1922" s="475"/>
      <c r="G1922" s="477"/>
      <c r="H1922" s="477"/>
      <c r="I1922" s="475"/>
    </row>
    <row r="1923">
      <c r="A1923" s="285"/>
      <c r="B1923" s="326"/>
      <c r="C1923" s="327"/>
      <c r="D1923" s="327"/>
      <c r="E1923" s="328"/>
      <c r="F1923" s="327"/>
      <c r="G1923" s="328"/>
      <c r="H1923" s="328"/>
      <c r="I1923" s="327"/>
    </row>
    <row r="1924">
      <c r="A1924" s="324"/>
      <c r="B1924" s="326"/>
      <c r="C1924" s="475"/>
      <c r="D1924" s="475"/>
      <c r="E1924" s="477"/>
      <c r="F1924" s="475"/>
      <c r="G1924" s="477"/>
      <c r="H1924" s="477"/>
      <c r="I1924" s="475"/>
    </row>
    <row r="1925">
      <c r="A1925" s="285"/>
      <c r="B1925" s="326"/>
      <c r="C1925" s="327"/>
      <c r="D1925" s="327"/>
      <c r="E1925" s="328"/>
      <c r="F1925" s="327"/>
      <c r="G1925" s="328"/>
      <c r="H1925" s="328"/>
      <c r="I1925" s="327"/>
    </row>
    <row r="1926">
      <c r="A1926" s="324"/>
      <c r="B1926" s="326"/>
      <c r="C1926" s="475"/>
      <c r="D1926" s="475"/>
      <c r="E1926" s="477"/>
      <c r="F1926" s="475"/>
      <c r="G1926" s="477"/>
      <c r="H1926" s="477"/>
      <c r="I1926" s="475"/>
    </row>
    <row r="1927">
      <c r="A1927" s="285"/>
      <c r="B1927" s="326"/>
      <c r="C1927" s="327"/>
      <c r="D1927" s="327"/>
      <c r="E1927" s="328"/>
      <c r="F1927" s="327"/>
      <c r="G1927" s="328"/>
      <c r="H1927" s="328"/>
      <c r="I1927" s="327"/>
    </row>
    <row r="1928">
      <c r="A1928" s="324"/>
      <c r="B1928" s="326"/>
      <c r="C1928" s="475"/>
      <c r="D1928" s="475"/>
      <c r="E1928" s="477"/>
      <c r="F1928" s="475"/>
      <c r="G1928" s="477"/>
      <c r="H1928" s="477"/>
      <c r="I1928" s="475"/>
    </row>
    <row r="1929">
      <c r="A1929" s="285"/>
      <c r="B1929" s="326"/>
      <c r="C1929" s="327"/>
      <c r="D1929" s="327"/>
      <c r="E1929" s="328"/>
      <c r="F1929" s="327"/>
      <c r="G1929" s="328"/>
      <c r="H1929" s="328"/>
      <c r="I1929" s="327"/>
    </row>
    <row r="1930">
      <c r="A1930" s="324"/>
      <c r="B1930" s="326"/>
      <c r="C1930" s="475"/>
      <c r="D1930" s="475"/>
      <c r="E1930" s="477"/>
      <c r="F1930" s="475"/>
      <c r="G1930" s="477"/>
      <c r="H1930" s="477"/>
      <c r="I1930" s="475"/>
    </row>
    <row r="1931">
      <c r="A1931" s="285"/>
      <c r="B1931" s="326"/>
      <c r="C1931" s="327"/>
      <c r="D1931" s="327"/>
      <c r="E1931" s="328"/>
      <c r="F1931" s="327"/>
      <c r="G1931" s="328"/>
      <c r="H1931" s="328"/>
      <c r="I1931" s="327"/>
    </row>
    <row r="1932">
      <c r="A1932" s="324"/>
      <c r="B1932" s="326"/>
      <c r="C1932" s="475"/>
      <c r="D1932" s="475"/>
      <c r="E1932" s="477"/>
      <c r="F1932" s="475"/>
      <c r="G1932" s="477"/>
      <c r="H1932" s="477"/>
      <c r="I1932" s="475"/>
    </row>
    <row r="1933">
      <c r="A1933" s="285"/>
      <c r="B1933" s="326"/>
      <c r="C1933" s="327"/>
      <c r="D1933" s="327"/>
      <c r="E1933" s="328"/>
      <c r="F1933" s="327"/>
      <c r="G1933" s="328"/>
      <c r="H1933" s="328"/>
      <c r="I1933" s="327"/>
    </row>
    <row r="1934">
      <c r="A1934" s="324"/>
      <c r="B1934" s="326"/>
      <c r="C1934" s="475"/>
      <c r="D1934" s="475"/>
      <c r="E1934" s="477"/>
      <c r="F1934" s="475"/>
      <c r="G1934" s="477"/>
      <c r="H1934" s="477"/>
      <c r="I1934" s="475"/>
    </row>
    <row r="1935">
      <c r="A1935" s="285"/>
      <c r="B1935" s="326"/>
      <c r="C1935" s="327"/>
      <c r="D1935" s="327"/>
      <c r="E1935" s="328"/>
      <c r="F1935" s="327"/>
      <c r="G1935" s="328"/>
      <c r="H1935" s="328"/>
      <c r="I1935" s="327"/>
    </row>
    <row r="1936">
      <c r="A1936" s="324"/>
      <c r="B1936" s="326"/>
      <c r="C1936" s="475"/>
      <c r="D1936" s="475"/>
      <c r="E1936" s="477"/>
      <c r="F1936" s="475"/>
      <c r="G1936" s="477"/>
      <c r="H1936" s="477"/>
      <c r="I1936" s="475"/>
    </row>
    <row r="1937">
      <c r="A1937" s="285"/>
      <c r="B1937" s="326"/>
      <c r="C1937" s="327"/>
      <c r="D1937" s="327"/>
      <c r="E1937" s="328"/>
      <c r="F1937" s="327"/>
      <c r="G1937" s="328"/>
      <c r="H1937" s="328"/>
      <c r="I1937" s="327"/>
    </row>
    <row r="1938">
      <c r="A1938" s="324"/>
      <c r="B1938" s="326"/>
      <c r="C1938" s="475"/>
      <c r="D1938" s="475"/>
      <c r="E1938" s="477"/>
      <c r="F1938" s="475"/>
      <c r="G1938" s="477"/>
      <c r="H1938" s="477"/>
      <c r="I1938" s="475"/>
    </row>
    <row r="1939">
      <c r="A1939" s="285"/>
      <c r="B1939" s="326"/>
      <c r="C1939" s="327"/>
      <c r="D1939" s="327"/>
      <c r="E1939" s="328"/>
      <c r="F1939" s="327"/>
      <c r="G1939" s="328"/>
      <c r="H1939" s="328"/>
      <c r="I1939" s="327"/>
    </row>
    <row r="1940">
      <c r="A1940" s="324"/>
      <c r="B1940" s="326"/>
      <c r="C1940" s="475"/>
      <c r="D1940" s="475"/>
      <c r="E1940" s="477"/>
      <c r="F1940" s="475"/>
      <c r="G1940" s="477"/>
      <c r="H1940" s="477"/>
      <c r="I1940" s="475"/>
    </row>
    <row r="1941">
      <c r="A1941" s="285"/>
      <c r="B1941" s="326"/>
      <c r="C1941" s="327"/>
      <c r="D1941" s="327"/>
      <c r="E1941" s="328"/>
      <c r="F1941" s="327"/>
      <c r="G1941" s="328"/>
      <c r="H1941" s="328"/>
      <c r="I1941" s="327"/>
    </row>
    <row r="1942">
      <c r="A1942" s="324"/>
      <c r="B1942" s="326"/>
      <c r="C1942" s="475"/>
      <c r="D1942" s="475"/>
      <c r="E1942" s="477"/>
      <c r="F1942" s="475"/>
      <c r="G1942" s="477"/>
      <c r="H1942" s="477"/>
      <c r="I1942" s="475"/>
    </row>
    <row r="1943">
      <c r="A1943" s="285"/>
      <c r="B1943" s="326"/>
      <c r="C1943" s="327"/>
      <c r="D1943" s="327"/>
      <c r="E1943" s="328"/>
      <c r="F1943" s="327"/>
      <c r="G1943" s="328"/>
      <c r="H1943" s="328"/>
      <c r="I1943" s="327"/>
    </row>
    <row r="1944">
      <c r="A1944" s="324"/>
      <c r="B1944" s="326"/>
      <c r="C1944" s="475"/>
      <c r="D1944" s="475"/>
      <c r="E1944" s="477"/>
      <c r="F1944" s="475"/>
      <c r="G1944" s="477"/>
      <c r="H1944" s="477"/>
      <c r="I1944" s="475"/>
    </row>
    <row r="1945">
      <c r="A1945" s="285"/>
      <c r="B1945" s="326"/>
      <c r="C1945" s="327"/>
      <c r="D1945" s="327"/>
      <c r="E1945" s="328"/>
      <c r="F1945" s="327"/>
      <c r="G1945" s="328"/>
      <c r="H1945" s="328"/>
      <c r="I1945" s="327"/>
    </row>
    <row r="1946">
      <c r="A1946" s="324"/>
      <c r="B1946" s="326"/>
      <c r="C1946" s="475"/>
      <c r="D1946" s="475"/>
      <c r="E1946" s="477"/>
      <c r="F1946" s="475"/>
      <c r="G1946" s="477"/>
      <c r="H1946" s="477"/>
      <c r="I1946" s="475"/>
    </row>
    <row r="1947">
      <c r="A1947" s="285"/>
      <c r="B1947" s="326"/>
      <c r="C1947" s="327"/>
      <c r="D1947" s="327"/>
      <c r="E1947" s="328"/>
      <c r="F1947" s="327"/>
      <c r="G1947" s="328"/>
      <c r="H1947" s="328"/>
      <c r="I1947" s="327"/>
    </row>
    <row r="1948">
      <c r="A1948" s="324"/>
      <c r="B1948" s="326"/>
      <c r="C1948" s="475"/>
      <c r="D1948" s="475"/>
      <c r="E1948" s="477"/>
      <c r="F1948" s="475"/>
      <c r="G1948" s="477"/>
      <c r="H1948" s="477"/>
      <c r="I1948" s="475"/>
    </row>
    <row r="1949">
      <c r="A1949" s="285"/>
      <c r="B1949" s="326"/>
      <c r="C1949" s="327"/>
      <c r="D1949" s="327"/>
      <c r="E1949" s="328"/>
      <c r="F1949" s="327"/>
      <c r="G1949" s="328"/>
      <c r="H1949" s="328"/>
      <c r="I1949" s="327"/>
    </row>
    <row r="1950">
      <c r="A1950" s="324"/>
      <c r="B1950" s="326"/>
      <c r="C1950" s="475"/>
      <c r="D1950" s="475"/>
      <c r="E1950" s="477"/>
      <c r="F1950" s="475"/>
      <c r="G1950" s="477"/>
      <c r="H1950" s="477"/>
      <c r="I1950" s="475"/>
    </row>
    <row r="1951">
      <c r="A1951" s="285"/>
      <c r="B1951" s="326"/>
      <c r="C1951" s="327"/>
      <c r="D1951" s="327"/>
      <c r="E1951" s="328"/>
      <c r="F1951" s="327"/>
      <c r="G1951" s="328"/>
      <c r="H1951" s="328"/>
      <c r="I1951" s="327"/>
    </row>
    <row r="1952">
      <c r="A1952" s="324"/>
      <c r="B1952" s="326"/>
      <c r="C1952" s="475"/>
      <c r="D1952" s="475"/>
      <c r="E1952" s="477"/>
      <c r="F1952" s="475"/>
      <c r="G1952" s="477"/>
      <c r="H1952" s="477"/>
      <c r="I1952" s="475"/>
    </row>
    <row r="1953">
      <c r="A1953" s="285"/>
      <c r="B1953" s="326"/>
      <c r="C1953" s="327"/>
      <c r="D1953" s="327"/>
      <c r="E1953" s="328"/>
      <c r="F1953" s="327"/>
      <c r="G1953" s="328"/>
      <c r="H1953" s="328"/>
      <c r="I1953" s="327"/>
    </row>
    <row r="1954">
      <c r="A1954" s="324"/>
      <c r="B1954" s="326"/>
      <c r="C1954" s="475"/>
      <c r="D1954" s="475"/>
      <c r="E1954" s="477"/>
      <c r="F1954" s="475"/>
      <c r="G1954" s="477"/>
      <c r="H1954" s="477"/>
      <c r="I1954" s="475"/>
    </row>
    <row r="1955">
      <c r="A1955" s="285"/>
      <c r="B1955" s="326"/>
      <c r="C1955" s="327"/>
      <c r="D1955" s="327"/>
      <c r="E1955" s="328"/>
      <c r="F1955" s="327"/>
      <c r="G1955" s="328"/>
      <c r="H1955" s="328"/>
      <c r="I1955" s="327"/>
    </row>
    <row r="1956">
      <c r="A1956" s="324"/>
      <c r="B1956" s="326"/>
      <c r="C1956" s="475"/>
      <c r="D1956" s="475"/>
      <c r="E1956" s="477"/>
      <c r="F1956" s="475"/>
      <c r="G1956" s="477"/>
      <c r="H1956" s="477"/>
      <c r="I1956" s="475"/>
    </row>
    <row r="1957">
      <c r="A1957" s="285"/>
      <c r="B1957" s="326"/>
      <c r="C1957" s="327"/>
      <c r="D1957" s="327"/>
      <c r="E1957" s="328"/>
      <c r="F1957" s="327"/>
      <c r="G1957" s="328"/>
      <c r="H1957" s="328"/>
      <c r="I1957" s="327"/>
    </row>
    <row r="1958">
      <c r="A1958" s="324"/>
      <c r="B1958" s="326"/>
      <c r="C1958" s="475"/>
      <c r="D1958" s="475"/>
      <c r="E1958" s="477"/>
      <c r="F1958" s="475"/>
      <c r="G1958" s="477"/>
      <c r="H1958" s="477"/>
      <c r="I1958" s="475"/>
    </row>
    <row r="1959">
      <c r="A1959" s="285"/>
      <c r="B1959" s="326"/>
      <c r="C1959" s="327"/>
      <c r="D1959" s="327"/>
      <c r="E1959" s="328"/>
      <c r="F1959" s="327"/>
      <c r="G1959" s="328"/>
      <c r="H1959" s="328"/>
      <c r="I1959" s="327"/>
    </row>
    <row r="1960">
      <c r="A1960" s="324"/>
      <c r="B1960" s="326"/>
      <c r="C1960" s="475"/>
      <c r="D1960" s="475"/>
      <c r="E1960" s="477"/>
      <c r="F1960" s="475"/>
      <c r="G1960" s="477"/>
      <c r="H1960" s="477"/>
      <c r="I1960" s="475"/>
    </row>
    <row r="1961">
      <c r="A1961" s="285"/>
      <c r="B1961" s="326"/>
      <c r="C1961" s="327"/>
      <c r="D1961" s="327"/>
      <c r="E1961" s="328"/>
      <c r="F1961" s="327"/>
      <c r="G1961" s="328"/>
      <c r="H1961" s="328"/>
      <c r="I1961" s="327"/>
    </row>
    <row r="1962">
      <c r="A1962" s="324"/>
      <c r="B1962" s="326"/>
      <c r="C1962" s="475"/>
      <c r="D1962" s="475"/>
      <c r="E1962" s="477"/>
      <c r="F1962" s="475"/>
      <c r="G1962" s="477"/>
      <c r="H1962" s="477"/>
      <c r="I1962" s="475"/>
    </row>
    <row r="1963">
      <c r="A1963" s="285"/>
      <c r="B1963" s="326"/>
      <c r="C1963" s="327"/>
      <c r="D1963" s="327"/>
      <c r="E1963" s="328"/>
      <c r="F1963" s="327"/>
      <c r="G1963" s="328"/>
      <c r="H1963" s="328"/>
      <c r="I1963" s="327"/>
    </row>
    <row r="1964">
      <c r="A1964" s="324"/>
      <c r="B1964" s="326"/>
      <c r="C1964" s="475"/>
      <c r="D1964" s="475"/>
      <c r="E1964" s="477"/>
      <c r="F1964" s="475"/>
      <c r="G1964" s="477"/>
      <c r="H1964" s="477"/>
      <c r="I1964" s="475"/>
    </row>
    <row r="1965">
      <c r="A1965" s="285"/>
      <c r="B1965" s="326"/>
      <c r="C1965" s="327"/>
      <c r="D1965" s="327"/>
      <c r="E1965" s="328"/>
      <c r="F1965" s="327"/>
      <c r="G1965" s="328"/>
      <c r="H1965" s="328"/>
      <c r="I1965" s="327"/>
    </row>
    <row r="1966">
      <c r="A1966" s="324"/>
      <c r="B1966" s="326"/>
      <c r="C1966" s="475"/>
      <c r="D1966" s="475"/>
      <c r="E1966" s="477"/>
      <c r="F1966" s="475"/>
      <c r="G1966" s="477"/>
      <c r="H1966" s="477"/>
      <c r="I1966" s="475"/>
    </row>
    <row r="1967">
      <c r="A1967" s="285"/>
      <c r="B1967" s="326"/>
      <c r="C1967" s="327"/>
      <c r="D1967" s="327"/>
      <c r="E1967" s="328"/>
      <c r="F1967" s="327"/>
      <c r="G1967" s="328"/>
      <c r="H1967" s="328"/>
      <c r="I1967" s="327"/>
    </row>
    <row r="1968">
      <c r="A1968" s="324"/>
      <c r="B1968" s="326"/>
      <c r="C1968" s="475"/>
      <c r="D1968" s="475"/>
      <c r="E1968" s="477"/>
      <c r="F1968" s="475"/>
      <c r="G1968" s="477"/>
      <c r="H1968" s="477"/>
      <c r="I1968" s="475"/>
    </row>
    <row r="1969">
      <c r="A1969" s="285"/>
      <c r="B1969" s="326"/>
      <c r="C1969" s="327"/>
      <c r="D1969" s="327"/>
      <c r="E1969" s="328"/>
      <c r="F1969" s="327"/>
      <c r="G1969" s="328"/>
      <c r="H1969" s="328"/>
      <c r="I1969" s="327"/>
    </row>
    <row r="1970">
      <c r="A1970" s="324"/>
      <c r="B1970" s="326"/>
      <c r="C1970" s="475"/>
      <c r="D1970" s="475"/>
      <c r="E1970" s="477"/>
      <c r="F1970" s="475"/>
      <c r="G1970" s="477"/>
      <c r="H1970" s="477"/>
      <c r="I1970" s="475"/>
    </row>
    <row r="1971">
      <c r="A1971" s="285"/>
      <c r="B1971" s="326"/>
      <c r="C1971" s="327"/>
      <c r="D1971" s="327"/>
      <c r="E1971" s="328"/>
      <c r="F1971" s="327"/>
      <c r="G1971" s="328"/>
      <c r="H1971" s="328"/>
      <c r="I1971" s="327"/>
    </row>
    <row r="1972">
      <c r="A1972" s="324"/>
      <c r="B1972" s="326"/>
      <c r="C1972" s="475"/>
      <c r="D1972" s="475"/>
      <c r="E1972" s="477"/>
      <c r="F1972" s="475"/>
      <c r="G1972" s="477"/>
      <c r="H1972" s="477"/>
      <c r="I1972" s="475"/>
    </row>
    <row r="1973">
      <c r="A1973" s="285"/>
      <c r="B1973" s="326"/>
      <c r="C1973" s="327"/>
      <c r="D1973" s="327"/>
      <c r="E1973" s="328"/>
      <c r="F1973" s="327"/>
      <c r="G1973" s="328"/>
      <c r="H1973" s="328"/>
      <c r="I1973" s="327"/>
    </row>
    <row r="1974">
      <c r="A1974" s="324"/>
      <c r="B1974" s="326"/>
      <c r="C1974" s="475"/>
      <c r="D1974" s="475"/>
      <c r="E1974" s="477"/>
      <c r="F1974" s="475"/>
      <c r="G1974" s="477"/>
      <c r="H1974" s="477"/>
      <c r="I1974" s="475"/>
    </row>
    <row r="1975">
      <c r="A1975" s="285"/>
      <c r="B1975" s="326"/>
      <c r="C1975" s="327"/>
      <c r="D1975" s="327"/>
      <c r="E1975" s="328"/>
      <c r="F1975" s="327"/>
      <c r="G1975" s="328"/>
      <c r="H1975" s="328"/>
      <c r="I1975" s="327"/>
    </row>
    <row r="1976">
      <c r="A1976" s="324"/>
      <c r="B1976" s="326"/>
      <c r="C1976" s="475"/>
      <c r="D1976" s="475"/>
      <c r="E1976" s="477"/>
      <c r="F1976" s="475"/>
      <c r="G1976" s="477"/>
      <c r="H1976" s="477"/>
      <c r="I1976" s="475"/>
    </row>
    <row r="1977">
      <c r="A1977" s="285"/>
      <c r="B1977" s="326"/>
      <c r="C1977" s="327"/>
      <c r="D1977" s="327"/>
      <c r="E1977" s="328"/>
      <c r="F1977" s="327"/>
      <c r="G1977" s="328"/>
      <c r="H1977" s="328"/>
      <c r="I1977" s="327"/>
    </row>
    <row r="1978">
      <c r="A1978" s="324"/>
      <c r="B1978" s="326"/>
      <c r="C1978" s="475"/>
      <c r="D1978" s="475"/>
      <c r="E1978" s="477"/>
      <c r="F1978" s="475"/>
      <c r="G1978" s="477"/>
      <c r="H1978" s="477"/>
      <c r="I1978" s="475"/>
    </row>
    <row r="1979">
      <c r="A1979" s="285"/>
      <c r="B1979" s="326"/>
      <c r="C1979" s="327"/>
      <c r="D1979" s="327"/>
      <c r="E1979" s="328"/>
      <c r="F1979" s="327"/>
      <c r="G1979" s="328"/>
      <c r="H1979" s="328"/>
      <c r="I1979" s="327"/>
    </row>
    <row r="1980">
      <c r="A1980" s="324"/>
      <c r="B1980" s="326"/>
      <c r="C1980" s="475"/>
      <c r="D1980" s="475"/>
      <c r="E1980" s="477"/>
      <c r="F1980" s="475"/>
      <c r="G1980" s="477"/>
      <c r="H1980" s="477"/>
      <c r="I1980" s="475"/>
    </row>
    <row r="1981">
      <c r="A1981" s="285"/>
      <c r="B1981" s="326"/>
      <c r="C1981" s="327"/>
      <c r="D1981" s="327"/>
      <c r="E1981" s="328"/>
      <c r="F1981" s="327"/>
      <c r="G1981" s="328"/>
      <c r="H1981" s="328"/>
      <c r="I1981" s="327"/>
    </row>
    <row r="1982">
      <c r="A1982" s="324"/>
      <c r="B1982" s="326"/>
      <c r="C1982" s="475"/>
      <c r="D1982" s="475"/>
      <c r="E1982" s="477"/>
      <c r="F1982" s="475"/>
      <c r="G1982" s="477"/>
      <c r="H1982" s="477"/>
      <c r="I1982" s="475"/>
    </row>
    <row r="1983">
      <c r="A1983" s="285"/>
      <c r="B1983" s="326"/>
      <c r="C1983" s="327"/>
      <c r="D1983" s="327"/>
      <c r="E1983" s="328"/>
      <c r="F1983" s="327"/>
      <c r="G1983" s="328"/>
      <c r="H1983" s="328"/>
      <c r="I1983" s="327"/>
    </row>
    <row r="1984">
      <c r="A1984" s="324"/>
      <c r="B1984" s="326"/>
      <c r="C1984" s="475"/>
      <c r="D1984" s="475"/>
      <c r="E1984" s="477"/>
      <c r="F1984" s="475"/>
      <c r="G1984" s="477"/>
      <c r="H1984" s="477"/>
      <c r="I1984" s="475"/>
    </row>
    <row r="1985">
      <c r="A1985" s="285"/>
      <c r="B1985" s="326"/>
      <c r="C1985" s="327"/>
      <c r="D1985" s="327"/>
      <c r="E1985" s="328"/>
      <c r="F1985" s="327"/>
      <c r="G1985" s="328"/>
      <c r="H1985" s="328"/>
      <c r="I1985" s="327"/>
    </row>
    <row r="1986">
      <c r="A1986" s="324"/>
      <c r="B1986" s="326"/>
      <c r="C1986" s="475"/>
      <c r="D1986" s="475"/>
      <c r="E1986" s="477"/>
      <c r="F1986" s="475"/>
      <c r="G1986" s="477"/>
      <c r="H1986" s="477"/>
      <c r="I1986" s="475"/>
    </row>
    <row r="1987">
      <c r="A1987" s="285"/>
      <c r="B1987" s="326"/>
      <c r="C1987" s="327"/>
      <c r="D1987" s="327"/>
      <c r="E1987" s="328"/>
      <c r="F1987" s="327"/>
      <c r="G1987" s="328"/>
      <c r="H1987" s="328"/>
      <c r="I1987" s="327"/>
    </row>
    <row r="1988">
      <c r="A1988" s="324"/>
      <c r="B1988" s="326"/>
      <c r="C1988" s="475"/>
      <c r="D1988" s="475"/>
      <c r="E1988" s="477"/>
      <c r="F1988" s="475"/>
      <c r="G1988" s="477"/>
      <c r="H1988" s="477"/>
      <c r="I1988" s="475"/>
    </row>
    <row r="1989">
      <c r="A1989" s="285"/>
      <c r="B1989" s="326"/>
      <c r="C1989" s="327"/>
      <c r="D1989" s="327"/>
      <c r="E1989" s="328"/>
      <c r="F1989" s="327"/>
      <c r="G1989" s="328"/>
      <c r="H1989" s="328"/>
      <c r="I1989" s="327"/>
    </row>
    <row r="1990">
      <c r="A1990" s="324"/>
      <c r="B1990" s="326"/>
      <c r="C1990" s="475"/>
      <c r="D1990" s="475"/>
      <c r="E1990" s="477"/>
      <c r="F1990" s="475"/>
      <c r="G1990" s="477"/>
      <c r="H1990" s="477"/>
      <c r="I1990" s="475"/>
    </row>
    <row r="1991">
      <c r="A1991" s="285"/>
      <c r="B1991" s="326"/>
      <c r="C1991" s="327"/>
      <c r="D1991" s="327"/>
      <c r="E1991" s="328"/>
      <c r="F1991" s="327"/>
      <c r="G1991" s="328"/>
      <c r="H1991" s="328"/>
      <c r="I1991" s="327"/>
    </row>
    <row r="1992">
      <c r="A1992" s="324"/>
      <c r="B1992" s="326"/>
      <c r="C1992" s="475"/>
      <c r="D1992" s="475"/>
      <c r="E1992" s="477"/>
      <c r="F1992" s="475"/>
      <c r="G1992" s="477"/>
      <c r="H1992" s="477"/>
      <c r="I1992" s="475"/>
    </row>
    <row r="1993">
      <c r="A1993" s="285"/>
      <c r="B1993" s="326"/>
      <c r="C1993" s="327"/>
      <c r="D1993" s="327"/>
      <c r="E1993" s="328"/>
      <c r="F1993" s="327"/>
      <c r="G1993" s="328"/>
      <c r="H1993" s="328"/>
      <c r="I1993" s="327"/>
    </row>
    <row r="1994">
      <c r="A1994" s="324"/>
      <c r="B1994" s="326"/>
      <c r="C1994" s="475"/>
      <c r="D1994" s="475"/>
      <c r="E1994" s="477"/>
      <c r="F1994" s="475"/>
      <c r="G1994" s="477"/>
      <c r="H1994" s="477"/>
      <c r="I1994" s="475"/>
    </row>
    <row r="1995">
      <c r="A1995" s="285"/>
      <c r="B1995" s="326"/>
      <c r="C1995" s="327"/>
      <c r="D1995" s="327"/>
      <c r="E1995" s="328"/>
      <c r="F1995" s="327"/>
      <c r="G1995" s="328"/>
      <c r="H1995" s="328"/>
      <c r="I1995" s="327"/>
    </row>
    <row r="1996">
      <c r="A1996" s="324"/>
      <c r="B1996" s="326"/>
      <c r="C1996" s="475"/>
      <c r="D1996" s="475"/>
      <c r="E1996" s="477"/>
      <c r="F1996" s="475"/>
      <c r="G1996" s="477"/>
      <c r="H1996" s="477"/>
      <c r="I1996" s="475"/>
    </row>
    <row r="1997">
      <c r="A1997" s="285"/>
      <c r="B1997" s="326"/>
      <c r="C1997" s="327"/>
      <c r="D1997" s="327"/>
      <c r="E1997" s="328"/>
      <c r="F1997" s="327"/>
      <c r="G1997" s="328"/>
      <c r="H1997" s="328"/>
      <c r="I1997" s="327"/>
    </row>
    <row r="1998">
      <c r="A1998" s="324"/>
      <c r="B1998" s="326"/>
      <c r="C1998" s="475"/>
      <c r="D1998" s="475"/>
      <c r="E1998" s="477"/>
      <c r="F1998" s="475"/>
      <c r="G1998" s="477"/>
      <c r="H1998" s="477"/>
      <c r="I1998" s="475"/>
    </row>
    <row r="1999">
      <c r="A1999" s="285"/>
      <c r="B1999" s="326"/>
      <c r="C1999" s="327"/>
      <c r="D1999" s="327"/>
      <c r="E1999" s="328"/>
      <c r="F1999" s="327"/>
      <c r="G1999" s="328"/>
      <c r="H1999" s="328"/>
      <c r="I1999" s="327"/>
    </row>
    <row r="2000">
      <c r="A2000" s="324"/>
      <c r="B2000" s="326"/>
      <c r="C2000" s="475"/>
      <c r="D2000" s="475"/>
      <c r="E2000" s="477"/>
      <c r="F2000" s="475"/>
      <c r="G2000" s="477"/>
      <c r="H2000" s="477"/>
      <c r="I2000" s="475"/>
    </row>
    <row r="2001">
      <c r="A2001" s="285"/>
      <c r="B2001" s="326"/>
      <c r="C2001" s="327"/>
      <c r="D2001" s="327"/>
      <c r="E2001" s="328"/>
      <c r="F2001" s="327"/>
      <c r="G2001" s="328"/>
      <c r="H2001" s="328"/>
      <c r="I2001" s="327"/>
    </row>
    <row r="2002">
      <c r="A2002" s="324"/>
      <c r="B2002" s="326"/>
      <c r="C2002" s="475"/>
      <c r="D2002" s="475"/>
      <c r="E2002" s="477"/>
      <c r="F2002" s="475"/>
      <c r="G2002" s="477"/>
      <c r="H2002" s="477"/>
      <c r="I2002" s="475"/>
    </row>
    <row r="2003">
      <c r="A2003" s="285"/>
      <c r="B2003" s="326"/>
      <c r="C2003" s="327"/>
      <c r="D2003" s="327"/>
      <c r="E2003" s="328"/>
      <c r="F2003" s="327"/>
      <c r="G2003" s="328"/>
      <c r="H2003" s="328"/>
      <c r="I2003" s="327"/>
    </row>
    <row r="2004">
      <c r="A2004" s="324"/>
      <c r="B2004" s="326"/>
      <c r="C2004" s="475"/>
      <c r="D2004" s="475"/>
      <c r="E2004" s="477"/>
      <c r="F2004" s="475"/>
      <c r="G2004" s="477"/>
      <c r="H2004" s="477"/>
      <c r="I2004" s="475"/>
    </row>
    <row r="2005">
      <c r="A2005" s="285"/>
      <c r="B2005" s="326"/>
      <c r="C2005" s="327"/>
      <c r="D2005" s="327"/>
      <c r="E2005" s="328"/>
      <c r="F2005" s="327"/>
      <c r="G2005" s="328"/>
      <c r="H2005" s="328"/>
      <c r="I2005" s="327"/>
    </row>
    <row r="2006">
      <c r="A2006" s="324"/>
      <c r="B2006" s="326"/>
      <c r="C2006" s="475"/>
      <c r="D2006" s="475"/>
      <c r="E2006" s="477"/>
      <c r="F2006" s="475"/>
      <c r="G2006" s="477"/>
      <c r="H2006" s="477"/>
      <c r="I2006" s="475"/>
    </row>
    <row r="2007">
      <c r="A2007" s="285"/>
      <c r="B2007" s="326"/>
      <c r="C2007" s="327"/>
      <c r="D2007" s="327"/>
      <c r="E2007" s="328"/>
      <c r="F2007" s="327"/>
      <c r="G2007" s="328"/>
      <c r="H2007" s="328"/>
      <c r="I2007" s="327"/>
    </row>
    <row r="2008">
      <c r="A2008" s="324"/>
      <c r="B2008" s="326"/>
      <c r="C2008" s="475"/>
      <c r="D2008" s="475"/>
      <c r="E2008" s="477"/>
      <c r="F2008" s="475"/>
      <c r="G2008" s="477"/>
      <c r="H2008" s="477"/>
      <c r="I2008" s="475"/>
    </row>
    <row r="2009">
      <c r="A2009" s="285"/>
      <c r="B2009" s="326"/>
      <c r="C2009" s="327"/>
      <c r="D2009" s="327"/>
      <c r="E2009" s="328"/>
      <c r="F2009" s="327"/>
      <c r="G2009" s="328"/>
      <c r="H2009" s="328"/>
      <c r="I2009" s="327"/>
    </row>
    <row r="2010">
      <c r="A2010" s="324"/>
      <c r="B2010" s="326"/>
      <c r="C2010" s="475"/>
      <c r="D2010" s="475"/>
      <c r="E2010" s="477"/>
      <c r="F2010" s="475"/>
      <c r="G2010" s="477"/>
      <c r="H2010" s="477"/>
      <c r="I2010" s="475"/>
    </row>
    <row r="2011">
      <c r="A2011" s="285"/>
      <c r="B2011" s="326"/>
      <c r="C2011" s="327"/>
      <c r="D2011" s="327"/>
      <c r="E2011" s="328"/>
      <c r="F2011" s="327"/>
      <c r="G2011" s="328"/>
      <c r="H2011" s="328"/>
      <c r="I2011" s="327"/>
    </row>
    <row r="2012">
      <c r="A2012" s="324"/>
      <c r="B2012" s="326"/>
      <c r="C2012" s="475"/>
      <c r="D2012" s="475"/>
      <c r="E2012" s="477"/>
      <c r="F2012" s="475"/>
      <c r="G2012" s="477"/>
      <c r="H2012" s="477"/>
      <c r="I2012" s="475"/>
    </row>
    <row r="2013">
      <c r="A2013" s="285"/>
      <c r="B2013" s="326"/>
      <c r="C2013" s="327"/>
      <c r="D2013" s="327"/>
      <c r="E2013" s="328"/>
      <c r="F2013" s="327"/>
      <c r="G2013" s="328"/>
      <c r="H2013" s="328"/>
      <c r="I2013" s="327"/>
    </row>
    <row r="2014">
      <c r="A2014" s="324"/>
      <c r="B2014" s="326"/>
      <c r="C2014" s="475"/>
      <c r="D2014" s="475"/>
      <c r="E2014" s="477"/>
      <c r="F2014" s="475"/>
      <c r="G2014" s="477"/>
      <c r="H2014" s="477"/>
      <c r="I2014" s="475"/>
    </row>
    <row r="2015">
      <c r="A2015" s="285"/>
      <c r="B2015" s="326"/>
      <c r="C2015" s="327"/>
      <c r="D2015" s="327"/>
      <c r="E2015" s="328"/>
      <c r="F2015" s="327"/>
      <c r="G2015" s="328"/>
      <c r="H2015" s="328"/>
      <c r="I2015" s="327"/>
    </row>
    <row r="2016">
      <c r="A2016" s="324"/>
      <c r="B2016" s="326"/>
      <c r="C2016" s="475"/>
      <c r="D2016" s="475"/>
      <c r="E2016" s="477"/>
      <c r="F2016" s="475"/>
      <c r="G2016" s="477"/>
      <c r="H2016" s="477"/>
      <c r="I2016" s="475"/>
    </row>
    <row r="2017">
      <c r="A2017" s="285"/>
      <c r="B2017" s="326"/>
      <c r="C2017" s="327"/>
      <c r="D2017" s="327"/>
      <c r="E2017" s="328"/>
      <c r="F2017" s="327"/>
      <c r="G2017" s="328"/>
      <c r="H2017" s="328"/>
      <c r="I2017" s="327"/>
    </row>
    <row r="2018">
      <c r="A2018" s="324"/>
      <c r="B2018" s="326"/>
      <c r="C2018" s="475"/>
      <c r="D2018" s="475"/>
      <c r="E2018" s="477"/>
      <c r="F2018" s="475"/>
      <c r="G2018" s="477"/>
      <c r="H2018" s="477"/>
      <c r="I2018" s="475"/>
    </row>
    <row r="2019">
      <c r="A2019" s="285"/>
      <c r="B2019" s="326"/>
      <c r="C2019" s="327"/>
      <c r="D2019" s="327"/>
      <c r="E2019" s="328"/>
      <c r="F2019" s="327"/>
      <c r="G2019" s="328"/>
      <c r="H2019" s="328"/>
      <c r="I2019" s="327"/>
    </row>
    <row r="2020">
      <c r="A2020" s="324"/>
      <c r="B2020" s="326"/>
      <c r="C2020" s="475"/>
      <c r="D2020" s="475"/>
      <c r="E2020" s="477"/>
      <c r="F2020" s="475"/>
      <c r="G2020" s="477"/>
      <c r="H2020" s="477"/>
      <c r="I2020" s="475"/>
    </row>
    <row r="2021">
      <c r="A2021" s="285"/>
      <c r="B2021" s="326"/>
      <c r="C2021" s="327"/>
      <c r="D2021" s="327"/>
      <c r="E2021" s="328"/>
      <c r="F2021" s="327"/>
      <c r="G2021" s="328"/>
      <c r="H2021" s="328"/>
      <c r="I2021" s="327"/>
    </row>
    <row r="2022">
      <c r="A2022" s="324"/>
      <c r="B2022" s="326"/>
      <c r="C2022" s="475"/>
      <c r="D2022" s="475"/>
      <c r="E2022" s="477"/>
      <c r="F2022" s="475"/>
      <c r="G2022" s="477"/>
      <c r="H2022" s="477"/>
      <c r="I2022" s="475"/>
    </row>
    <row r="2023">
      <c r="A2023" s="285"/>
      <c r="B2023" s="326"/>
      <c r="C2023" s="327"/>
      <c r="D2023" s="327"/>
      <c r="E2023" s="328"/>
      <c r="F2023" s="327"/>
      <c r="G2023" s="328"/>
      <c r="H2023" s="328"/>
      <c r="I2023" s="327"/>
    </row>
    <row r="2024">
      <c r="A2024" s="324"/>
      <c r="B2024" s="326"/>
      <c r="C2024" s="475"/>
      <c r="D2024" s="475"/>
      <c r="E2024" s="477"/>
      <c r="F2024" s="475"/>
      <c r="G2024" s="477"/>
      <c r="H2024" s="477"/>
      <c r="I2024" s="475"/>
    </row>
    <row r="2025">
      <c r="A2025" s="285"/>
      <c r="B2025" s="326"/>
      <c r="C2025" s="327"/>
      <c r="D2025" s="327"/>
      <c r="E2025" s="328"/>
      <c r="F2025" s="327"/>
      <c r="G2025" s="328"/>
      <c r="H2025" s="328"/>
      <c r="I2025" s="327"/>
    </row>
    <row r="2026">
      <c r="A2026" s="324"/>
      <c r="B2026" s="326"/>
      <c r="C2026" s="475"/>
      <c r="D2026" s="475"/>
      <c r="E2026" s="477"/>
      <c r="F2026" s="475"/>
      <c r="G2026" s="477"/>
      <c r="H2026" s="477"/>
      <c r="I2026" s="475"/>
    </row>
    <row r="2027">
      <c r="A2027" s="285"/>
      <c r="B2027" s="326"/>
      <c r="C2027" s="327"/>
      <c r="D2027" s="327"/>
      <c r="E2027" s="328"/>
      <c r="F2027" s="327"/>
      <c r="G2027" s="328"/>
      <c r="H2027" s="328"/>
      <c r="I2027" s="327"/>
    </row>
    <row r="2028">
      <c r="A2028" s="324"/>
      <c r="B2028" s="326"/>
      <c r="C2028" s="475"/>
      <c r="D2028" s="475"/>
      <c r="E2028" s="477"/>
      <c r="F2028" s="475"/>
      <c r="G2028" s="477"/>
      <c r="H2028" s="477"/>
      <c r="I2028" s="475"/>
    </row>
    <row r="2029">
      <c r="A2029" s="285"/>
      <c r="B2029" s="326"/>
      <c r="C2029" s="327"/>
      <c r="D2029" s="327"/>
      <c r="E2029" s="328"/>
      <c r="F2029" s="327"/>
      <c r="G2029" s="328"/>
      <c r="H2029" s="328"/>
      <c r="I2029" s="327"/>
    </row>
    <row r="2030">
      <c r="A2030" s="324"/>
      <c r="B2030" s="326"/>
      <c r="C2030" s="475"/>
      <c r="D2030" s="475"/>
      <c r="E2030" s="477"/>
      <c r="F2030" s="475"/>
      <c r="G2030" s="477"/>
      <c r="H2030" s="477"/>
      <c r="I2030" s="475"/>
    </row>
    <row r="2031">
      <c r="A2031" s="285"/>
      <c r="B2031" s="326"/>
      <c r="C2031" s="327"/>
      <c r="D2031" s="327"/>
      <c r="E2031" s="328"/>
      <c r="F2031" s="327"/>
      <c r="G2031" s="328"/>
      <c r="H2031" s="328"/>
      <c r="I2031" s="327"/>
    </row>
    <row r="2032">
      <c r="A2032" s="324"/>
      <c r="B2032" s="326"/>
      <c r="C2032" s="475"/>
      <c r="D2032" s="475"/>
      <c r="E2032" s="477"/>
      <c r="F2032" s="475"/>
      <c r="G2032" s="477"/>
      <c r="H2032" s="477"/>
      <c r="I2032" s="475"/>
    </row>
    <row r="2033">
      <c r="A2033" s="285"/>
      <c r="B2033" s="326"/>
      <c r="C2033" s="327"/>
      <c r="D2033" s="327"/>
      <c r="E2033" s="328"/>
      <c r="F2033" s="327"/>
      <c r="G2033" s="328"/>
      <c r="H2033" s="328"/>
      <c r="I2033" s="327"/>
    </row>
    <row r="2034">
      <c r="A2034" s="324"/>
      <c r="B2034" s="326"/>
      <c r="C2034" s="475"/>
      <c r="D2034" s="475"/>
      <c r="E2034" s="477"/>
      <c r="F2034" s="475"/>
      <c r="G2034" s="477"/>
      <c r="H2034" s="477"/>
      <c r="I2034" s="475"/>
    </row>
    <row r="2035">
      <c r="A2035" s="285"/>
      <c r="B2035" s="326"/>
      <c r="C2035" s="327"/>
      <c r="D2035" s="327"/>
      <c r="E2035" s="328"/>
      <c r="F2035" s="327"/>
      <c r="G2035" s="328"/>
      <c r="H2035" s="328"/>
      <c r="I2035" s="327"/>
    </row>
    <row r="2036">
      <c r="A2036" s="324"/>
      <c r="B2036" s="326"/>
      <c r="C2036" s="475"/>
      <c r="D2036" s="475"/>
      <c r="E2036" s="477"/>
      <c r="F2036" s="475"/>
      <c r="G2036" s="477"/>
      <c r="H2036" s="477"/>
      <c r="I2036" s="475"/>
    </row>
    <row r="2037">
      <c r="A2037" s="285"/>
      <c r="B2037" s="326"/>
      <c r="C2037" s="327"/>
      <c r="D2037" s="327"/>
      <c r="E2037" s="328"/>
      <c r="F2037" s="327"/>
      <c r="G2037" s="328"/>
      <c r="H2037" s="328"/>
      <c r="I2037" s="327"/>
    </row>
    <row r="2038">
      <c r="A2038" s="324"/>
      <c r="B2038" s="326"/>
      <c r="C2038" s="475"/>
      <c r="D2038" s="475"/>
      <c r="E2038" s="477"/>
      <c r="F2038" s="475"/>
      <c r="G2038" s="477"/>
      <c r="H2038" s="477"/>
      <c r="I2038" s="475"/>
    </row>
    <row r="2039">
      <c r="A2039" s="285"/>
      <c r="B2039" s="326"/>
      <c r="C2039" s="327"/>
      <c r="D2039" s="327"/>
      <c r="E2039" s="328"/>
      <c r="F2039" s="327"/>
      <c r="G2039" s="328"/>
      <c r="H2039" s="328"/>
      <c r="I2039" s="327"/>
    </row>
    <row r="2040">
      <c r="A2040" s="324"/>
      <c r="B2040" s="326"/>
      <c r="C2040" s="475"/>
      <c r="D2040" s="475"/>
      <c r="E2040" s="477"/>
      <c r="F2040" s="475"/>
      <c r="G2040" s="477"/>
      <c r="H2040" s="477"/>
      <c r="I2040" s="475"/>
    </row>
  </sheetData>
  <mergeCells count="434">
    <mergeCell ref="F348:F349"/>
    <mergeCell ref="G348:G349"/>
    <mergeCell ref="A371:A372"/>
    <mergeCell ref="B371:B372"/>
    <mergeCell ref="A382:L382"/>
    <mergeCell ref="A384:A385"/>
    <mergeCell ref="B384:B385"/>
    <mergeCell ref="L384:L385"/>
    <mergeCell ref="C384:C385"/>
    <mergeCell ref="K384:K385"/>
    <mergeCell ref="A396:A397"/>
    <mergeCell ref="B396:B397"/>
    <mergeCell ref="C396:C397"/>
    <mergeCell ref="D396:D397"/>
    <mergeCell ref="E396:E397"/>
    <mergeCell ref="H396:H397"/>
    <mergeCell ref="A156:A157"/>
    <mergeCell ref="A178:A179"/>
    <mergeCell ref="B178:B179"/>
    <mergeCell ref="A189:L189"/>
    <mergeCell ref="A190:L190"/>
    <mergeCell ref="A192:A193"/>
    <mergeCell ref="B192:B193"/>
    <mergeCell ref="L192:L193"/>
    <mergeCell ref="C192:C193"/>
    <mergeCell ref="K192:K193"/>
    <mergeCell ref="A204:A205"/>
    <mergeCell ref="B204:B205"/>
    <mergeCell ref="C204:C205"/>
    <mergeCell ref="D204:D205"/>
    <mergeCell ref="E204:E205"/>
    <mergeCell ref="H204:H205"/>
    <mergeCell ref="F204:F205"/>
    <mergeCell ref="G204:G205"/>
    <mergeCell ref="A227:A228"/>
    <mergeCell ref="B227:B228"/>
    <mergeCell ref="A238:L238"/>
    <mergeCell ref="A240:A241"/>
    <mergeCell ref="B240:B241"/>
    <mergeCell ref="L240:L241"/>
    <mergeCell ref="C240:C241"/>
    <mergeCell ref="K240:K241"/>
    <mergeCell ref="A252:A253"/>
    <mergeCell ref="B252:B253"/>
    <mergeCell ref="C252:C253"/>
    <mergeCell ref="D252:D253"/>
    <mergeCell ref="E252:E253"/>
    <mergeCell ref="H252:H253"/>
    <mergeCell ref="F252:F253"/>
    <mergeCell ref="G252:G253"/>
    <mergeCell ref="A275:A276"/>
    <mergeCell ref="B275:B276"/>
    <mergeCell ref="A286:L286"/>
    <mergeCell ref="A288:A289"/>
    <mergeCell ref="B288:B289"/>
    <mergeCell ref="L288:L289"/>
    <mergeCell ref="C288:C289"/>
    <mergeCell ref="K288:K289"/>
    <mergeCell ref="A300:A301"/>
    <mergeCell ref="B300:B301"/>
    <mergeCell ref="C300:C301"/>
    <mergeCell ref="D300:D301"/>
    <mergeCell ref="E300:E301"/>
    <mergeCell ref="H300:H301"/>
    <mergeCell ref="A468:A469"/>
    <mergeCell ref="B468:B469"/>
    <mergeCell ref="A479:L479"/>
    <mergeCell ref="B481:B482"/>
    <mergeCell ref="C481:C482"/>
    <mergeCell ref="K481:K482"/>
    <mergeCell ref="L481:L482"/>
    <mergeCell ref="A60:A61"/>
    <mergeCell ref="A83:A84"/>
    <mergeCell ref="B83:B84"/>
    <mergeCell ref="A95:L95"/>
    <mergeCell ref="A97:A98"/>
    <mergeCell ref="B97:B98"/>
    <mergeCell ref="C97:C98"/>
    <mergeCell ref="B109:B110"/>
    <mergeCell ref="C109:C110"/>
    <mergeCell ref="D109:D110"/>
    <mergeCell ref="E109:E110"/>
    <mergeCell ref="F109:F110"/>
    <mergeCell ref="G109:G110"/>
    <mergeCell ref="H109:H110"/>
    <mergeCell ref="K145:K146"/>
    <mergeCell ref="L145:L146"/>
    <mergeCell ref="A109:A110"/>
    <mergeCell ref="A132:A133"/>
    <mergeCell ref="B132:B133"/>
    <mergeCell ref="A143:L143"/>
    <mergeCell ref="A145:A146"/>
    <mergeCell ref="B145:B146"/>
    <mergeCell ref="C145:C146"/>
    <mergeCell ref="A1:L1"/>
    <mergeCell ref="A2:L2"/>
    <mergeCell ref="A4:A5"/>
    <mergeCell ref="B4:B5"/>
    <mergeCell ref="C4:C5"/>
    <mergeCell ref="K4:K5"/>
    <mergeCell ref="L4:L5"/>
    <mergeCell ref="B15:B16"/>
    <mergeCell ref="C15:C16"/>
    <mergeCell ref="D15:D16"/>
    <mergeCell ref="E15:E16"/>
    <mergeCell ref="F15:F16"/>
    <mergeCell ref="G15:G16"/>
    <mergeCell ref="H15:H16"/>
    <mergeCell ref="K48:K49"/>
    <mergeCell ref="L48:L49"/>
    <mergeCell ref="A15:A16"/>
    <mergeCell ref="A37:A38"/>
    <mergeCell ref="B37:B38"/>
    <mergeCell ref="A46:L46"/>
    <mergeCell ref="A48:A49"/>
    <mergeCell ref="B48:B49"/>
    <mergeCell ref="C48:C49"/>
    <mergeCell ref="B60:B61"/>
    <mergeCell ref="C60:C61"/>
    <mergeCell ref="D60:D61"/>
    <mergeCell ref="E60:E61"/>
    <mergeCell ref="F60:F61"/>
    <mergeCell ref="G60:G61"/>
    <mergeCell ref="H60:H61"/>
    <mergeCell ref="K97:K98"/>
    <mergeCell ref="L97:L98"/>
    <mergeCell ref="B156:B157"/>
    <mergeCell ref="C156:C157"/>
    <mergeCell ref="D156:D157"/>
    <mergeCell ref="E156:E157"/>
    <mergeCell ref="F156:F157"/>
    <mergeCell ref="G156:G157"/>
    <mergeCell ref="H156:H157"/>
    <mergeCell ref="F300:F301"/>
    <mergeCell ref="G300:G301"/>
    <mergeCell ref="A323:A324"/>
    <mergeCell ref="B323:B324"/>
    <mergeCell ref="A334:L334"/>
    <mergeCell ref="A336:A337"/>
    <mergeCell ref="B336:B337"/>
    <mergeCell ref="L336:L337"/>
    <mergeCell ref="C336:C337"/>
    <mergeCell ref="K336:K337"/>
    <mergeCell ref="A348:A349"/>
    <mergeCell ref="B348:B349"/>
    <mergeCell ref="C348:C349"/>
    <mergeCell ref="D348:D349"/>
    <mergeCell ref="E348:E349"/>
    <mergeCell ref="H348:H349"/>
    <mergeCell ref="K433:K434"/>
    <mergeCell ref="L433:L434"/>
    <mergeCell ref="F396:F397"/>
    <mergeCell ref="G396:G397"/>
    <mergeCell ref="A419:A420"/>
    <mergeCell ref="B419:B420"/>
    <mergeCell ref="A430:L430"/>
    <mergeCell ref="A431:L431"/>
    <mergeCell ref="A433:A434"/>
    <mergeCell ref="F445:F446"/>
    <mergeCell ref="G445:G446"/>
    <mergeCell ref="H445:H446"/>
    <mergeCell ref="B433:B434"/>
    <mergeCell ref="C433:C434"/>
    <mergeCell ref="A445:A446"/>
    <mergeCell ref="B445:B446"/>
    <mergeCell ref="C445:C446"/>
    <mergeCell ref="D445:D446"/>
    <mergeCell ref="E445:E446"/>
    <mergeCell ref="G589:G590"/>
    <mergeCell ref="H589:H590"/>
    <mergeCell ref="A577:A578"/>
    <mergeCell ref="A589:A590"/>
    <mergeCell ref="B589:B590"/>
    <mergeCell ref="C589:C590"/>
    <mergeCell ref="D589:D590"/>
    <mergeCell ref="E589:E590"/>
    <mergeCell ref="F589:F590"/>
    <mergeCell ref="B1018:B1019"/>
    <mergeCell ref="C1018:C1019"/>
    <mergeCell ref="D1018:D1019"/>
    <mergeCell ref="E1018:E1019"/>
    <mergeCell ref="F1018:F1019"/>
    <mergeCell ref="G1018:G1019"/>
    <mergeCell ref="H1018:H1019"/>
    <mergeCell ref="A1018:A1019"/>
    <mergeCell ref="A1041:A1042"/>
    <mergeCell ref="B1041:B1042"/>
    <mergeCell ref="A1051:L1051"/>
    <mergeCell ref="A1053:A1054"/>
    <mergeCell ref="B1053:B1054"/>
    <mergeCell ref="C1053:C1054"/>
    <mergeCell ref="K1053:K1054"/>
    <mergeCell ref="L1053:L1054"/>
    <mergeCell ref="A1065:A1066"/>
    <mergeCell ref="B1065:B1066"/>
    <mergeCell ref="C1065:C1066"/>
    <mergeCell ref="D1065:D1066"/>
    <mergeCell ref="E1065:E1066"/>
    <mergeCell ref="H1065:H1066"/>
    <mergeCell ref="F1065:F1066"/>
    <mergeCell ref="G1065:G1066"/>
    <mergeCell ref="A1088:A1089"/>
    <mergeCell ref="B1088:B1089"/>
    <mergeCell ref="A1098:L1098"/>
    <mergeCell ref="A1100:A1101"/>
    <mergeCell ref="B1100:B1101"/>
    <mergeCell ref="L1100:L1101"/>
    <mergeCell ref="F1112:F1113"/>
    <mergeCell ref="G1112:G1113"/>
    <mergeCell ref="A1135:A1136"/>
    <mergeCell ref="B1135:B1136"/>
    <mergeCell ref="A1145:L1145"/>
    <mergeCell ref="A1147:A1148"/>
    <mergeCell ref="B1147:B1148"/>
    <mergeCell ref="L1147:L1148"/>
    <mergeCell ref="C1147:C1148"/>
    <mergeCell ref="K1147:K1148"/>
    <mergeCell ref="A1159:A1160"/>
    <mergeCell ref="B1159:B1160"/>
    <mergeCell ref="C1159:C1160"/>
    <mergeCell ref="D1159:D1160"/>
    <mergeCell ref="E1159:E1160"/>
    <mergeCell ref="H1159:H1160"/>
    <mergeCell ref="F1159:F1160"/>
    <mergeCell ref="G1159:G1160"/>
    <mergeCell ref="A1182:A1183"/>
    <mergeCell ref="B1182:B1183"/>
    <mergeCell ref="A1192:L1192"/>
    <mergeCell ref="A1194:A1195"/>
    <mergeCell ref="B1194:B1195"/>
    <mergeCell ref="L1194:L1195"/>
    <mergeCell ref="F1206:F1207"/>
    <mergeCell ref="G1206:G1207"/>
    <mergeCell ref="C1194:C1195"/>
    <mergeCell ref="K1194:K1195"/>
    <mergeCell ref="A1206:A1207"/>
    <mergeCell ref="B1206:B1207"/>
    <mergeCell ref="C1206:C1207"/>
    <mergeCell ref="D1206:D1207"/>
    <mergeCell ref="E1206:E1207"/>
    <mergeCell ref="A1242:A1243"/>
    <mergeCell ref="B1242:B1243"/>
    <mergeCell ref="C1242:C1243"/>
    <mergeCell ref="D1242:D1243"/>
    <mergeCell ref="E1242:E1243"/>
    <mergeCell ref="F1242:F1243"/>
    <mergeCell ref="G1242:G1243"/>
    <mergeCell ref="H1242:H1243"/>
    <mergeCell ref="H1206:H1207"/>
    <mergeCell ref="A1228:L1228"/>
    <mergeCell ref="A1230:A1231"/>
    <mergeCell ref="B1230:B1231"/>
    <mergeCell ref="C1230:C1231"/>
    <mergeCell ref="K1230:K1231"/>
    <mergeCell ref="L1230:L1231"/>
    <mergeCell ref="G876:G877"/>
    <mergeCell ref="H876:H877"/>
    <mergeCell ref="A864:A865"/>
    <mergeCell ref="A876:A877"/>
    <mergeCell ref="B876:B877"/>
    <mergeCell ref="C876:C877"/>
    <mergeCell ref="D876:D877"/>
    <mergeCell ref="E876:E877"/>
    <mergeCell ref="F876:F877"/>
    <mergeCell ref="A899:A900"/>
    <mergeCell ref="B899:B900"/>
    <mergeCell ref="A909:L909"/>
    <mergeCell ref="B911:B912"/>
    <mergeCell ref="C911:C912"/>
    <mergeCell ref="K911:K912"/>
    <mergeCell ref="L911:L912"/>
    <mergeCell ref="G923:G924"/>
    <mergeCell ref="H923:H924"/>
    <mergeCell ref="A911:A912"/>
    <mergeCell ref="A923:A924"/>
    <mergeCell ref="B923:B924"/>
    <mergeCell ref="C923:C924"/>
    <mergeCell ref="D923:D924"/>
    <mergeCell ref="E923:E924"/>
    <mergeCell ref="F923:F924"/>
    <mergeCell ref="A946:A947"/>
    <mergeCell ref="B946:B947"/>
    <mergeCell ref="A956:L956"/>
    <mergeCell ref="B958:B959"/>
    <mergeCell ref="C958:C959"/>
    <mergeCell ref="K958:K959"/>
    <mergeCell ref="L958:L959"/>
    <mergeCell ref="C1100:C1101"/>
    <mergeCell ref="K1100:K1101"/>
    <mergeCell ref="A1112:A1113"/>
    <mergeCell ref="B1112:B1113"/>
    <mergeCell ref="C1112:C1113"/>
    <mergeCell ref="D1112:D1113"/>
    <mergeCell ref="E1112:E1113"/>
    <mergeCell ref="H1112:H1113"/>
    <mergeCell ref="K626:K627"/>
    <mergeCell ref="L626:L627"/>
    <mergeCell ref="A612:A613"/>
    <mergeCell ref="B612:B613"/>
    <mergeCell ref="A623:L623"/>
    <mergeCell ref="A624:L624"/>
    <mergeCell ref="A626:A627"/>
    <mergeCell ref="B626:B627"/>
    <mergeCell ref="C626:C627"/>
    <mergeCell ref="B638:B639"/>
    <mergeCell ref="C638:C639"/>
    <mergeCell ref="D638:D639"/>
    <mergeCell ref="E638:E639"/>
    <mergeCell ref="F638:F639"/>
    <mergeCell ref="G638:G639"/>
    <mergeCell ref="H638:H639"/>
    <mergeCell ref="A638:A639"/>
    <mergeCell ref="A661:A662"/>
    <mergeCell ref="B661:B662"/>
    <mergeCell ref="A672:L672"/>
    <mergeCell ref="A674:A675"/>
    <mergeCell ref="B674:B675"/>
    <mergeCell ref="C674:C675"/>
    <mergeCell ref="K674:K675"/>
    <mergeCell ref="L674:L675"/>
    <mergeCell ref="A686:A687"/>
    <mergeCell ref="B686:B687"/>
    <mergeCell ref="C686:C687"/>
    <mergeCell ref="D686:D687"/>
    <mergeCell ref="E686:E687"/>
    <mergeCell ref="H686:H687"/>
    <mergeCell ref="F686:F687"/>
    <mergeCell ref="G686:G687"/>
    <mergeCell ref="A709:A710"/>
    <mergeCell ref="B709:B710"/>
    <mergeCell ref="A720:L720"/>
    <mergeCell ref="A722:A723"/>
    <mergeCell ref="B722:B723"/>
    <mergeCell ref="L722:L723"/>
    <mergeCell ref="G493:G494"/>
    <mergeCell ref="H493:H494"/>
    <mergeCell ref="A481:A482"/>
    <mergeCell ref="A493:A494"/>
    <mergeCell ref="B493:B494"/>
    <mergeCell ref="C493:C494"/>
    <mergeCell ref="D493:D494"/>
    <mergeCell ref="E493:E494"/>
    <mergeCell ref="F493:F494"/>
    <mergeCell ref="A516:A517"/>
    <mergeCell ref="B516:B517"/>
    <mergeCell ref="A527:L527"/>
    <mergeCell ref="B529:B530"/>
    <mergeCell ref="C529:C530"/>
    <mergeCell ref="K529:K530"/>
    <mergeCell ref="L529:L530"/>
    <mergeCell ref="G541:G542"/>
    <mergeCell ref="H541:H542"/>
    <mergeCell ref="A529:A530"/>
    <mergeCell ref="A541:A542"/>
    <mergeCell ref="B541:B542"/>
    <mergeCell ref="C541:C542"/>
    <mergeCell ref="D541:D542"/>
    <mergeCell ref="E541:E542"/>
    <mergeCell ref="F541:F542"/>
    <mergeCell ref="A564:A565"/>
    <mergeCell ref="B564:B565"/>
    <mergeCell ref="A575:L575"/>
    <mergeCell ref="B577:B578"/>
    <mergeCell ref="C577:C578"/>
    <mergeCell ref="K577:K578"/>
    <mergeCell ref="L577:L578"/>
    <mergeCell ref="C722:C723"/>
    <mergeCell ref="K722:K723"/>
    <mergeCell ref="A734:A735"/>
    <mergeCell ref="B734:B735"/>
    <mergeCell ref="C734:C735"/>
    <mergeCell ref="D734:D735"/>
    <mergeCell ref="E734:E735"/>
    <mergeCell ref="H734:H735"/>
    <mergeCell ref="F734:F735"/>
    <mergeCell ref="G734:G735"/>
    <mergeCell ref="A757:A758"/>
    <mergeCell ref="B757:B758"/>
    <mergeCell ref="A767:L767"/>
    <mergeCell ref="A769:A770"/>
    <mergeCell ref="B769:B770"/>
    <mergeCell ref="L769:L770"/>
    <mergeCell ref="C769:C770"/>
    <mergeCell ref="K769:K770"/>
    <mergeCell ref="A781:A782"/>
    <mergeCell ref="B781:B782"/>
    <mergeCell ref="C781:C782"/>
    <mergeCell ref="D781:D782"/>
    <mergeCell ref="E781:E782"/>
    <mergeCell ref="H781:H782"/>
    <mergeCell ref="K817:K818"/>
    <mergeCell ref="L817:L818"/>
    <mergeCell ref="F781:F782"/>
    <mergeCell ref="G781:G782"/>
    <mergeCell ref="A804:A805"/>
    <mergeCell ref="B804:B805"/>
    <mergeCell ref="A814:L814"/>
    <mergeCell ref="A815:L815"/>
    <mergeCell ref="A817:A818"/>
    <mergeCell ref="F829:F830"/>
    <mergeCell ref="G829:G830"/>
    <mergeCell ref="H829:H830"/>
    <mergeCell ref="B817:B818"/>
    <mergeCell ref="C817:C818"/>
    <mergeCell ref="A829:A830"/>
    <mergeCell ref="B829:B830"/>
    <mergeCell ref="C829:C830"/>
    <mergeCell ref="D829:D830"/>
    <mergeCell ref="E829:E830"/>
    <mergeCell ref="A852:A853"/>
    <mergeCell ref="B852:B853"/>
    <mergeCell ref="A862:L862"/>
    <mergeCell ref="B864:B865"/>
    <mergeCell ref="C864:C865"/>
    <mergeCell ref="K864:K865"/>
    <mergeCell ref="L864:L865"/>
    <mergeCell ref="G970:G971"/>
    <mergeCell ref="H970:H971"/>
    <mergeCell ref="A958:A959"/>
    <mergeCell ref="A970:A971"/>
    <mergeCell ref="B970:B971"/>
    <mergeCell ref="C970:C971"/>
    <mergeCell ref="D970:D971"/>
    <mergeCell ref="E970:E971"/>
    <mergeCell ref="F970:F971"/>
    <mergeCell ref="K1006:K1007"/>
    <mergeCell ref="L1006:L1007"/>
    <mergeCell ref="A993:A994"/>
    <mergeCell ref="B993:B994"/>
    <mergeCell ref="A1003:L1003"/>
    <mergeCell ref="A1004:L1004"/>
    <mergeCell ref="A1006:A1007"/>
    <mergeCell ref="B1006:B1007"/>
    <mergeCell ref="C1006:C1007"/>
  </mergeCells>
  <conditionalFormatting sqref="A3:A12 B4:L12 A14:A24 B15:H24 A26:A45 B27:F44 G37:I38 A47:A57 B48:L57 A59:A69 B60:H69 A71:A94 B72:F90 G83:I84 C93:D93 E93:F94 G93:I93 A96:A106 B97:L106 A108:A118 B109:H118 A120:A142 B121:F139 G132:I133 B142:I142 A144:A153 B145:L153 A155:A164 I155 B156:H164 A166:A188 B167:F185 G178:I179 B188:I188 A191:A201 B192:L201 A203:A213 I203 B204:H213 A215:A237 B216:F234 G227:I228 B237:I237 A239:A249 B240:L249 A251:A261 I251 B252:H261 A263:A285 B264:F282 G275:I276 B285:I285 A287:A297 B288:L297 A299:A309 I299 B300:H309 A311:A333 B312:F330 G323:I324 B333:I333 A335:A345 B336:L345 A347:A357 I347 B348:H357 A359:A381 B360:F378 G371:I372 B381:I381 A383:A393 B384:L393 A395:A405 I395 B396:H405 A407:A429 B408:F426 G419:I420 B429:I429 A432:A442 B433:L442 A444:A454 I444 B445:H454 A456:A478 B457:F475 G468:I469 B478:I478 A480:A490 B481:L490 A492:A502 I492 B493:H502 A504:A526 B505:F523 G516:I517 B526:I526 A528:A538 B529:L538 A540:A550 I540 B541:H550 A552:A574 B553:F571 G564:I565 B574:I574 A576:A586 B577:L586 A588:A598 I588 B589:H598 A600:A622 B601:F619 G612:I613 B622:I622 A625:A635 B626:L635 A637:A647 I637 B638:H647 A649:A671 B650:F668 G661:I662 B671:I671 A673:A683 B674:L683 A685:A695 I685 B686:H695 A697:A719 B698:F716 G709:I710 B719:I719 A721:A731 B722:L731 A733:A743 I733 B734:H743 A745:A778 B746:F764 G757:I758 B767:I767 B769:L778 A780:A790 I780 B781:H790 A792:A826 B793:F811 G804:I805 B814:I815 B817:L826 A828:A838 I828 B829:H838 A840:A873 B841:F859 G852:I853 B862:I862 B864:L873 A875:A885 I875 B876:H885 A887:A920 B888:F906 G899:I900 B909:I909 B911:L920 A922:A932 I922 B923:H932 A934:A967 B935:F953 G946:I947 B956:I956 B958:L967 A969:A979 I969 B970:H979 A981:A1015 B982:F1000 G993:I994 B1003:I1004 B1006:L1015 A1017:A1027 I1017 B1018:H1027 A1029:A2040 B1030:F1048 G1041:I1042 B1051:I1051 B1053:L1062 I1064 B1065:H1074 B1077:F1095 G1088:I1089 B1098:I1098 B1100:L1109 I1111 B1112:H1121 B1124:F1142 G1135:I1136 B1145:I1145 B1147:L1156 I1158 B1159:H1168 B1171:F1189 G1182:I1183 B1192:I1192 B1194:L1203 I1205 B1206:H1215 B1218:F1228 G1228:I1228 B1230:L1239 I1241 B1242:H1251 B1254:F1263">
    <cfRule type="cellIs" dxfId="5" priority="1" operator="equal">
      <formula>"OFF"</formula>
    </cfRule>
  </conditionalFormatting>
  <conditionalFormatting sqref="A3:A12 B4:L12 A14:A24 B15:H24 A26:A45 B27:F44 G37:I38 A47:A57 B48:L57 A59:A69 B60:H69 A71:A94 B72:F90 G83:I84 C93:D93 E93:F94 G93:I93 A96:A106 B97:L106 A108:A118 B109:H118 A120:A142 B121:F139 G132:I133 B142:I142 A144:A153 B145:L153 A155:A164 I155 B156:H164 A166:A188 B167:F185 G178:I179 B188:I188 A191:A201 B192:L201 A203:A213 I203 B204:H213 A215:A237 B216:F234 G227:I228 B237:I237 A239:A249 B240:L249 A251:A261 I251 B252:H261 A263:A285 B264:F282 G275:I276 B285:I285 A287:A297 B288:L297 A299:A309 I299 B300:H309 A311:A333 B312:F330 G323:I324 B333:I333 A335:A345 B336:L345 A347:A357 I347 B348:H357 A359:A381 B360:F378 G371:I372 B381:I381 A383:A393 B384:L393 A395:A405 I395 B396:H405 A407:A429 B408:F426 G419:I420 B429:I429 A432:A442 B433:L442 A444:A454 I444 B445:H454 A456:A478 B457:F475 G468:I469 B478:I478 A480:A490 B481:L490 A492:A502 I492 B493:H502 A504:A526 B505:F523 G516:I517 B526:I526 A528:A538 B529:L538 A540:A550 I540 B541:H550 A552:A574 B553:F571 G564:I565 B574:I574 A576:A586 B577:L586 A588:A598 I588 B589:H598 A600:A622 B601:F619 G612:I613 B622:I622 A625:A635 B626:L635 A637:A647 I637 B638:H647 A649:A671 B650:F668 G661:I662 B671:I671 A673:A683 B674:L683 A685:A695 I685 B686:H695 A697:A719 B698:F716 G709:I710 B719:I719 A721:A731 B722:L731 A733:A743 I733 B734:H743 A745:A778 B746:F764 G757:I758 B767:I767 B769:L778 A780:A790 I780 B781:H790 A792:A826 B793:F811 G804:I805 B814:I815 B817:L826 A828:A838 I828 B829:H838 A840:A873 B841:F859 G852:I853 B862:I862 B864:L873 A875:A885 I875 B876:H885 A887:A920 B888:F906 G899:I900 B909:I909 B911:L920 A922:A932 I922 B923:H932 A934:A967 B935:F953 G946:I947 B956:I956 B958:L967 A969:A979 I969 B970:H979 A981:A1015 B982:F1000 G993:I994 B1003:I1004 B1006:L1015 A1017:A1027 I1017 B1018:H1027 A1029:A2040 B1030:F1048 G1041:I1042 B1051:I1051 B1053:L1062 I1064 B1065:H1074 B1077:F1095 G1088:I1089 B1098:I1098 B1100:L1109 I1111 B1112:H1121 B1124:F1142 G1135:I1136 B1145:I1145 B1147:L1156 I1158 B1159:H1168 B1171:F1189 G1182:I1183 B1192:I1192 B1194:L1203 I1205 B1206:H1215 B1218:F1228 G1228:I1228 B1230:L1239 I1241 B1242:H1251 B1254:F1263">
    <cfRule type="cellIs" dxfId="8" priority="2" operator="equal">
      <formula>"A"</formula>
    </cfRule>
  </conditionalFormatting>
  <conditionalFormatting sqref="A3:A12 B4:L12 A14:A24 B15:H24 A26:A45 B27:F44 G37:I38 A47:A57 B48:L57 A59:A69 B60:H69 A71:A94 B72:F90 G83:I84 C93:D93 E93:F94 G93:I93 A96:A106 B97:L106 A108:A118 B109:H118 A120:A142 B121:F139 G132:I133 B142:I142 A144:A153 B145:L153 A155:A164 I155 B156:H164 A166:A188 B167:F185 G178:I179 B188:I188 A191:A201 B192:L201 A203:A213 I203 B204:H213 A215:A237 B216:F234 G227:I228 B237:I237 A239:A249 B240:L249 A251:A261 I251 B252:H261 A263:A285 B264:F282 G275:I276 B285:I285 A287:A297 B288:L297 A299:A309 I299 B300:H309 A311:A333 B312:F330 G323:I324 B333:I333 A335:A345 B336:L345 A347:A357 I347 B348:H357 A359:A381 B360:F378 G371:I372 B381:I381 A383:A393 B384:L393 A395:A405 I395 B396:H405 A407:A429 B408:F426 G419:I420 B429:I429 A432:A442 B433:L442 A444:A454 I444 B445:H454 A456:A478 B457:F475 G468:I469 B478:I478 A480:A490 B481:L490 A492:A502 I492 B493:H502 A504:A526 B505:F523 G516:I517 B526:I526 A528:A538 B529:L538 A540:A550 I540 B541:H550 A552:A574 B553:F571 G564:I565 B574:I574 A576:A586 B577:L586 A588:A598 I588 B589:H598 A600:A622 B601:F619 G612:I613 B622:I622 A625:A635 B626:L635 A637:A647 I637 B638:H647 A649:A671 B650:F668 G661:I662 B671:I671 A673:A683 B674:L683 A685:A695 I685 B686:H695 A697:A719 B698:F716 G709:I710 B719:I719 A721:A731 B722:L731 A733:A743 I733 B734:H743 A745:A778 B746:F764 G757:I758 B767:I767 B769:L778 A780:A790 I780 B781:H790 A792:A826 B793:F811 G804:I805 B814:I815 B817:L826 A828:A838 I828 B829:H838 A840:A873 B841:F859 G852:I853 B862:I862 B864:L873 A875:A885 I875 B876:H885 A887:A920 B888:F906 G899:I900 B909:I909 B911:L920 A922:A932 I922 B923:H932 A934:A967 B935:F953 G946:I947 B956:I956 B958:L967 A969:A979 I969 B970:H979 A981:A1015 B982:F1000 G993:I994 B1003:I1004 B1006:L1015 A1017:A1027 I1017 B1018:H1027 A1029:A2040 B1030:F1048 G1041:I1042 B1051:I1051 B1053:L1062 I1064 B1065:H1074 B1077:F1095 G1088:I1089 B1098:I1098 B1100:L1109 I1111 B1112:H1121 B1124:F1142 G1135:I1136 B1145:I1145 B1147:L1156 I1158 B1159:H1168 B1171:F1189 G1182:I1183 B1192:I1192 B1194:L1203 I1205 B1206:H1215 B1218:F1228 G1228:I1228 B1230:L1239 I1241 B1242:H1251 B1254:F1263">
    <cfRule type="cellIs" dxfId="12" priority="3" operator="equal">
      <formula>"LWOP"</formula>
    </cfRule>
  </conditionalFormatting>
  <drawing r:id="rId2"/>
  <legacyDrawing r:id="rId3"/>
  <tableParts count="43">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outlineLevelCol="1"/>
  <cols>
    <col customWidth="1" min="1" max="1" width="31.13"/>
  </cols>
  <sheetData>
    <row r="1" collapsed="1">
      <c r="A1" s="57"/>
      <c r="B1" s="60" t="s">
        <v>63</v>
      </c>
    </row>
    <row r="2" hidden="1" outlineLevel="1">
      <c r="B2" s="60" t="s">
        <v>71</v>
      </c>
    </row>
    <row r="3" hidden="1" outlineLevel="1">
      <c r="A3" s="74" t="s">
        <v>73</v>
      </c>
      <c r="B3" s="74" t="s">
        <v>77</v>
      </c>
      <c r="C3" s="74" t="s">
        <v>78</v>
      </c>
      <c r="D3" s="76">
        <v>46237.0</v>
      </c>
      <c r="E3" s="76">
        <v>46238.0</v>
      </c>
      <c r="F3" s="76">
        <v>46239.0</v>
      </c>
      <c r="G3" s="76">
        <v>46240.0</v>
      </c>
      <c r="H3" s="76">
        <v>46241.0</v>
      </c>
      <c r="I3" s="76">
        <v>46242.0</v>
      </c>
      <c r="J3" s="81">
        <v>46243.0</v>
      </c>
      <c r="K3" s="82" t="s">
        <v>82</v>
      </c>
      <c r="L3" s="82" t="s">
        <v>84</v>
      </c>
    </row>
    <row r="4" hidden="1" outlineLevel="1">
      <c r="A4" s="84"/>
      <c r="B4" s="84"/>
      <c r="C4" s="84"/>
      <c r="D4" s="87" t="str">
        <f t="shared" ref="D4:J4" si="1">text(D3,"ddd")</f>
        <v>Mon</v>
      </c>
      <c r="E4" s="87" t="str">
        <f t="shared" si="1"/>
        <v>Tue</v>
      </c>
      <c r="F4" s="87" t="str">
        <f t="shared" si="1"/>
        <v>Wed</v>
      </c>
      <c r="G4" s="87" t="str">
        <f t="shared" si="1"/>
        <v>Thu</v>
      </c>
      <c r="H4" s="87" t="str">
        <f t="shared" si="1"/>
        <v>Fri</v>
      </c>
      <c r="I4" s="87" t="str">
        <f t="shared" si="1"/>
        <v>Sat</v>
      </c>
      <c r="J4" s="87" t="str">
        <f t="shared" si="1"/>
        <v>Sun</v>
      </c>
      <c r="K4" s="84"/>
      <c r="L4" s="84"/>
    </row>
    <row r="5" hidden="1" outlineLevel="1">
      <c r="A5" s="90" t="s">
        <v>88</v>
      </c>
      <c r="B5" s="94">
        <f>30*5</f>
        <v>150</v>
      </c>
      <c r="C5" s="94">
        <f t="shared" ref="C5:C12" si="2">SUM(D5:J5)</f>
        <v>158</v>
      </c>
      <c r="D5" s="97">
        <v>24.0</v>
      </c>
      <c r="E5" s="97">
        <v>31.0</v>
      </c>
      <c r="F5" s="97">
        <v>28.0</v>
      </c>
      <c r="G5" s="97">
        <v>25.0</v>
      </c>
      <c r="H5" s="97">
        <v>44.0</v>
      </c>
      <c r="I5" s="99">
        <v>6.0</v>
      </c>
      <c r="J5" s="100" t="s">
        <v>92</v>
      </c>
      <c r="K5" s="103">
        <f t="shared" ref="K5:K12" si="3">iferror(C5/B5,"-")</f>
        <v>1.053333333</v>
      </c>
      <c r="L5" s="109">
        <f t="shared" ref="L5:L12" si="4">(IF(K5="",(0),IF(K5&gt;=1,(5),IF(K5&gt;=0.9,(4),IF(K5&gt;=0.8,(3),IF(K5&gt;=0.69,(2),IF(K5&lt;=0.69,(1))))))))</f>
        <v>5</v>
      </c>
    </row>
    <row r="6" hidden="1" outlineLevel="1">
      <c r="A6" s="90" t="s">
        <v>118</v>
      </c>
      <c r="B6" s="94">
        <f>30*4+15</f>
        <v>135</v>
      </c>
      <c r="C6" s="94">
        <f t="shared" si="2"/>
        <v>124</v>
      </c>
      <c r="D6" s="97">
        <v>29.0</v>
      </c>
      <c r="E6" s="97">
        <v>21.0</v>
      </c>
      <c r="F6" s="97">
        <v>24.0</v>
      </c>
      <c r="G6" s="97">
        <v>14.0</v>
      </c>
      <c r="H6" s="97">
        <v>28.0</v>
      </c>
      <c r="I6" s="100" t="s">
        <v>92</v>
      </c>
      <c r="J6" s="99">
        <v>8.0</v>
      </c>
      <c r="K6" s="103">
        <f t="shared" si="3"/>
        <v>0.9185185185</v>
      </c>
      <c r="L6" s="109">
        <f t="shared" si="4"/>
        <v>4</v>
      </c>
    </row>
    <row r="7" hidden="1" outlineLevel="1">
      <c r="A7" s="90" t="s">
        <v>19</v>
      </c>
      <c r="B7" s="94">
        <f>30*5</f>
        <v>150</v>
      </c>
      <c r="C7" s="94">
        <f t="shared" si="2"/>
        <v>168</v>
      </c>
      <c r="D7" s="97">
        <v>33.0</v>
      </c>
      <c r="E7" s="97">
        <v>28.0</v>
      </c>
      <c r="F7" s="100" t="s">
        <v>92</v>
      </c>
      <c r="G7" s="97">
        <v>36.0</v>
      </c>
      <c r="H7" s="97">
        <v>38.0</v>
      </c>
      <c r="I7" s="99">
        <v>33.0</v>
      </c>
      <c r="J7" s="100" t="s">
        <v>92</v>
      </c>
      <c r="K7" s="103">
        <f t="shared" si="3"/>
        <v>1.12</v>
      </c>
      <c r="L7" s="109">
        <f t="shared" si="4"/>
        <v>5</v>
      </c>
    </row>
    <row r="8" hidden="1" outlineLevel="1">
      <c r="A8" s="90" t="s">
        <v>120</v>
      </c>
      <c r="B8" s="94">
        <f>30*3+15+20</f>
        <v>125</v>
      </c>
      <c r="C8" s="94">
        <f t="shared" si="2"/>
        <v>114</v>
      </c>
      <c r="D8" s="97">
        <v>26.0</v>
      </c>
      <c r="E8" s="97">
        <v>23.0</v>
      </c>
      <c r="F8" s="97">
        <v>18.0</v>
      </c>
      <c r="G8" s="97">
        <v>13.0</v>
      </c>
      <c r="H8" s="100" t="s">
        <v>92</v>
      </c>
      <c r="I8" s="99">
        <v>17.0</v>
      </c>
      <c r="J8" s="99">
        <v>17.0</v>
      </c>
      <c r="K8" s="103">
        <f t="shared" si="3"/>
        <v>0.912</v>
      </c>
      <c r="L8" s="109">
        <f t="shared" si="4"/>
        <v>4</v>
      </c>
    </row>
    <row r="9" hidden="1" outlineLevel="1">
      <c r="A9" s="90" t="s">
        <v>22</v>
      </c>
      <c r="B9" s="94">
        <f>30*4+20</f>
        <v>140</v>
      </c>
      <c r="C9" s="94">
        <f t="shared" si="2"/>
        <v>128</v>
      </c>
      <c r="D9" s="97">
        <v>34.0</v>
      </c>
      <c r="E9" s="97">
        <v>24.0</v>
      </c>
      <c r="F9" s="97">
        <v>27.0</v>
      </c>
      <c r="G9" s="97">
        <v>8.0</v>
      </c>
      <c r="H9" s="100" t="s">
        <v>92</v>
      </c>
      <c r="I9" s="99">
        <v>16.0</v>
      </c>
      <c r="J9" s="99">
        <v>19.0</v>
      </c>
      <c r="K9" s="103">
        <f t="shared" si="3"/>
        <v>0.9142857143</v>
      </c>
      <c r="L9" s="109">
        <f t="shared" si="4"/>
        <v>4</v>
      </c>
    </row>
    <row r="10" hidden="1" outlineLevel="1">
      <c r="A10" s="90" t="s">
        <v>129</v>
      </c>
      <c r="B10" s="94">
        <f t="shared" ref="B10:B11" si="5">30*5</f>
        <v>150</v>
      </c>
      <c r="C10" s="94">
        <f t="shared" si="2"/>
        <v>179</v>
      </c>
      <c r="D10" s="97">
        <v>33.0</v>
      </c>
      <c r="E10" s="97">
        <v>36.0</v>
      </c>
      <c r="F10" s="97">
        <v>32.0</v>
      </c>
      <c r="G10" s="97">
        <v>41.0</v>
      </c>
      <c r="H10" s="97">
        <v>27.0</v>
      </c>
      <c r="I10" s="99">
        <v>10.0</v>
      </c>
      <c r="J10" s="100" t="s">
        <v>92</v>
      </c>
      <c r="K10" s="103">
        <f t="shared" si="3"/>
        <v>1.193333333</v>
      </c>
      <c r="L10" s="109">
        <f t="shared" si="4"/>
        <v>5</v>
      </c>
    </row>
    <row r="11" hidden="1" outlineLevel="1">
      <c r="A11" s="90" t="s">
        <v>13</v>
      </c>
      <c r="B11" s="94">
        <f t="shared" si="5"/>
        <v>150</v>
      </c>
      <c r="C11" s="94">
        <f t="shared" si="2"/>
        <v>162</v>
      </c>
      <c r="D11" s="97">
        <v>39.0</v>
      </c>
      <c r="E11" s="97">
        <v>27.0</v>
      </c>
      <c r="F11" s="97">
        <v>42.0</v>
      </c>
      <c r="G11" s="97">
        <v>28.0</v>
      </c>
      <c r="H11" s="97">
        <v>26.0</v>
      </c>
      <c r="I11" s="100" t="s">
        <v>92</v>
      </c>
      <c r="J11" s="100" t="s">
        <v>92</v>
      </c>
      <c r="K11" s="103">
        <f t="shared" si="3"/>
        <v>1.08</v>
      </c>
      <c r="L11" s="109">
        <f t="shared" si="4"/>
        <v>5</v>
      </c>
    </row>
    <row r="12" hidden="1" outlineLevel="1">
      <c r="A12" s="90" t="s">
        <v>64</v>
      </c>
      <c r="B12" s="94">
        <f>30*3+20+15</f>
        <v>125</v>
      </c>
      <c r="C12" s="94">
        <f t="shared" si="2"/>
        <v>116</v>
      </c>
      <c r="D12" s="97">
        <v>18.0</v>
      </c>
      <c r="E12" s="97">
        <v>14.0</v>
      </c>
      <c r="F12" s="100" t="s">
        <v>92</v>
      </c>
      <c r="G12" s="97">
        <v>26.0</v>
      </c>
      <c r="H12" s="97">
        <v>29.0</v>
      </c>
      <c r="I12" s="99">
        <v>17.0</v>
      </c>
      <c r="J12" s="99">
        <v>12.0</v>
      </c>
      <c r="K12" s="103">
        <f t="shared" si="3"/>
        <v>0.928</v>
      </c>
      <c r="L12" s="109">
        <f t="shared" si="4"/>
        <v>4</v>
      </c>
    </row>
    <row r="13" hidden="1" outlineLevel="1"/>
    <row r="14" hidden="1" outlineLevel="1">
      <c r="B14" s="60" t="s">
        <v>135</v>
      </c>
    </row>
    <row r="15" hidden="1" outlineLevel="1">
      <c r="A15" s="74" t="s">
        <v>73</v>
      </c>
      <c r="B15" s="74" t="s">
        <v>137</v>
      </c>
      <c r="C15" s="74" t="s">
        <v>138</v>
      </c>
      <c r="D15" s="74" t="s">
        <v>139</v>
      </c>
      <c r="E15" s="74" t="s">
        <v>140</v>
      </c>
      <c r="F15" s="74" t="s">
        <v>141</v>
      </c>
      <c r="G15" s="74" t="s">
        <v>143</v>
      </c>
      <c r="H15" s="74" t="s">
        <v>145</v>
      </c>
    </row>
    <row r="16" hidden="1" outlineLevel="1">
      <c r="A16" s="84"/>
      <c r="B16" s="84"/>
      <c r="C16" s="84"/>
      <c r="D16" s="84"/>
      <c r="E16" s="84"/>
      <c r="F16" s="84"/>
      <c r="G16" s="84"/>
      <c r="H16" s="84"/>
    </row>
    <row r="17" hidden="1" outlineLevel="1">
      <c r="A17" s="90" t="s">
        <v>88</v>
      </c>
      <c r="B17" s="135">
        <v>167.0</v>
      </c>
      <c r="C17" s="135">
        <v>158.0</v>
      </c>
      <c r="D17" s="138">
        <f t="shared" ref="D17:D24" si="6">B17-C17</f>
        <v>9</v>
      </c>
      <c r="E17" s="140">
        <f t="shared" ref="E17:E24" si="7">Iferror(C17/B17,"")</f>
        <v>0.9461077844</v>
      </c>
      <c r="F17" s="141">
        <v>0.0018865740740740742</v>
      </c>
      <c r="G17" s="145">
        <f t="shared" ref="G17:G24" si="8">IFERROR((IF(E17="",(0),IF(E17&gt;=0.98,(5),IF(E17&gt;=0.95,(4.5),IF(E17&gt;=0.9,(4),IF(E17&gt;=0.8,(3),IF(E17&lt;=0.69,(1)))))))),"")</f>
        <v>4</v>
      </c>
      <c r="H17" s="145">
        <f t="shared" ref="H17:H24" si="9">ROUND(
IF(F17="",
0,
MAX(1, 5 - MAX(0, (F17 - TIME(0,4,0)) / TIME(0,1,0) * 0.5))
),
2
)
</f>
        <v>5</v>
      </c>
    </row>
    <row r="18" hidden="1" outlineLevel="1">
      <c r="A18" s="90" t="s">
        <v>118</v>
      </c>
      <c r="B18" s="135">
        <v>127.0</v>
      </c>
      <c r="C18" s="135">
        <v>124.0</v>
      </c>
      <c r="D18" s="138">
        <f t="shared" si="6"/>
        <v>3</v>
      </c>
      <c r="E18" s="140">
        <f t="shared" si="7"/>
        <v>0.9763779528</v>
      </c>
      <c r="F18" s="141">
        <v>0.003946759259259259</v>
      </c>
      <c r="G18" s="145">
        <f t="shared" si="8"/>
        <v>4.5</v>
      </c>
      <c r="H18" s="145">
        <f t="shared" si="9"/>
        <v>4.16</v>
      </c>
    </row>
    <row r="19" hidden="1" outlineLevel="1">
      <c r="A19" s="90" t="s">
        <v>19</v>
      </c>
      <c r="B19" s="135">
        <v>181.0</v>
      </c>
      <c r="C19" s="135">
        <v>176.0</v>
      </c>
      <c r="D19" s="138">
        <f t="shared" si="6"/>
        <v>5</v>
      </c>
      <c r="E19" s="140">
        <f t="shared" si="7"/>
        <v>0.9723756906</v>
      </c>
      <c r="F19" s="141">
        <v>0.003472222222222222</v>
      </c>
      <c r="G19" s="145">
        <f t="shared" si="8"/>
        <v>4.5</v>
      </c>
      <c r="H19" s="145">
        <f t="shared" si="9"/>
        <v>4.5</v>
      </c>
    </row>
    <row r="20" hidden="1" outlineLevel="1">
      <c r="A20" s="90" t="s">
        <v>120</v>
      </c>
      <c r="B20" s="135">
        <v>115.0</v>
      </c>
      <c r="C20" s="135">
        <v>114.0</v>
      </c>
      <c r="D20" s="138">
        <f t="shared" si="6"/>
        <v>1</v>
      </c>
      <c r="E20" s="140">
        <f t="shared" si="7"/>
        <v>0.9913043478</v>
      </c>
      <c r="F20" s="141">
        <v>0.0035416666666666665</v>
      </c>
      <c r="G20" s="145">
        <f t="shared" si="8"/>
        <v>5</v>
      </c>
      <c r="H20" s="145">
        <f t="shared" si="9"/>
        <v>4.45</v>
      </c>
    </row>
    <row r="21" hidden="1" outlineLevel="1">
      <c r="A21" s="90" t="s">
        <v>22</v>
      </c>
      <c r="B21" s="135">
        <v>131.0</v>
      </c>
      <c r="C21" s="135">
        <v>128.0</v>
      </c>
      <c r="D21" s="138">
        <f t="shared" si="6"/>
        <v>3</v>
      </c>
      <c r="E21" s="140">
        <f t="shared" si="7"/>
        <v>0.9770992366</v>
      </c>
      <c r="F21" s="141">
        <v>0.0024189814814814816</v>
      </c>
      <c r="G21" s="145">
        <f t="shared" si="8"/>
        <v>4.5</v>
      </c>
      <c r="H21" s="145">
        <f t="shared" si="9"/>
        <v>5</v>
      </c>
    </row>
    <row r="22" hidden="1" outlineLevel="1">
      <c r="A22" s="90" t="s">
        <v>129</v>
      </c>
      <c r="B22" s="135">
        <v>180.0</v>
      </c>
      <c r="C22" s="135">
        <v>179.0</v>
      </c>
      <c r="D22" s="138">
        <f t="shared" si="6"/>
        <v>1</v>
      </c>
      <c r="E22" s="140">
        <f t="shared" si="7"/>
        <v>0.9944444444</v>
      </c>
      <c r="F22" s="141">
        <v>0.004618055555555556</v>
      </c>
      <c r="G22" s="145">
        <f t="shared" si="8"/>
        <v>5</v>
      </c>
      <c r="H22" s="145">
        <f t="shared" si="9"/>
        <v>3.68</v>
      </c>
    </row>
    <row r="23" hidden="1" outlineLevel="1">
      <c r="A23" s="90" t="s">
        <v>13</v>
      </c>
      <c r="B23" s="135">
        <v>186.0</v>
      </c>
      <c r="C23" s="135">
        <v>176.0</v>
      </c>
      <c r="D23" s="138">
        <f t="shared" si="6"/>
        <v>10</v>
      </c>
      <c r="E23" s="140">
        <f t="shared" si="7"/>
        <v>0.9462365591</v>
      </c>
      <c r="F23" s="141">
        <v>0.003310185185185185</v>
      </c>
      <c r="G23" s="145">
        <f t="shared" si="8"/>
        <v>4</v>
      </c>
      <c r="H23" s="145">
        <f t="shared" si="9"/>
        <v>4.62</v>
      </c>
    </row>
    <row r="24" hidden="1" outlineLevel="1">
      <c r="A24" s="90" t="s">
        <v>64</v>
      </c>
      <c r="B24" s="135">
        <v>121.0</v>
      </c>
      <c r="C24" s="135">
        <v>116.0</v>
      </c>
      <c r="D24" s="138">
        <f t="shared" si="6"/>
        <v>5</v>
      </c>
      <c r="E24" s="140">
        <f t="shared" si="7"/>
        <v>0.958677686</v>
      </c>
      <c r="F24" s="141">
        <v>0.0036574074074074074</v>
      </c>
      <c r="G24" s="145">
        <f t="shared" si="8"/>
        <v>4.5</v>
      </c>
      <c r="H24" s="145">
        <f t="shared" si="9"/>
        <v>4.37</v>
      </c>
    </row>
    <row r="25" hidden="1" outlineLevel="1"/>
    <row r="26" hidden="1" outlineLevel="1"/>
    <row r="27" hidden="1" outlineLevel="1">
      <c r="B27" s="60" t="s">
        <v>160</v>
      </c>
      <c r="H27" s="57" t="s">
        <v>162</v>
      </c>
    </row>
    <row r="28" hidden="1" outlineLevel="1">
      <c r="A28" s="74" t="s">
        <v>73</v>
      </c>
      <c r="B28" s="74" t="s">
        <v>164</v>
      </c>
      <c r="C28" s="74" t="s">
        <v>165</v>
      </c>
      <c r="D28" s="74" t="s">
        <v>166</v>
      </c>
      <c r="E28" s="74" t="s">
        <v>167</v>
      </c>
      <c r="F28" s="74" t="s">
        <v>168</v>
      </c>
      <c r="H28" s="162" t="s">
        <v>169</v>
      </c>
    </row>
    <row r="29" ht="19.5" hidden="1" customHeight="1" outlineLevel="1">
      <c r="A29" s="84"/>
      <c r="B29" s="84"/>
      <c r="C29" s="84"/>
      <c r="D29" s="84"/>
      <c r="E29" s="84"/>
      <c r="F29" s="84"/>
      <c r="H29" s="162" t="s">
        <v>171</v>
      </c>
    </row>
    <row r="30" hidden="1" outlineLevel="1">
      <c r="A30" s="90" t="s">
        <v>88</v>
      </c>
      <c r="B30" s="163">
        <v>1.0</v>
      </c>
      <c r="C30" s="163">
        <f>Dan!D90</f>
        <v>1</v>
      </c>
      <c r="D30" s="169">
        <f t="shared" ref="D30:D37" si="10">(B30*0.3)+(C30*0.1)</f>
        <v>0.4</v>
      </c>
      <c r="E30" s="169">
        <f t="shared" ref="E30:E37" si="11">(L5+G17+H17)/15*0.3</f>
        <v>0.28</v>
      </c>
      <c r="F30" s="173">
        <f t="shared" ref="F30:F37" si="12">(E30/30%)*10</f>
        <v>9.333333333</v>
      </c>
      <c r="H30" s="162" t="s">
        <v>173</v>
      </c>
    </row>
    <row r="31" hidden="1" outlineLevel="1">
      <c r="A31" s="90" t="s">
        <v>118</v>
      </c>
      <c r="B31" s="163">
        <v>1.0</v>
      </c>
      <c r="C31" s="177">
        <f>Godwin!D72</f>
        <v>1</v>
      </c>
      <c r="D31" s="169">
        <f t="shared" si="10"/>
        <v>0.4</v>
      </c>
      <c r="E31" s="169">
        <f t="shared" si="11"/>
        <v>0.2532</v>
      </c>
      <c r="F31" s="173">
        <f t="shared" si="12"/>
        <v>8.44</v>
      </c>
    </row>
    <row r="32" hidden="1" outlineLevel="1">
      <c r="A32" s="90" t="s">
        <v>19</v>
      </c>
      <c r="B32" s="163">
        <v>1.0</v>
      </c>
      <c r="C32" s="177">
        <f>Candy!D72</f>
        <v>1</v>
      </c>
      <c r="D32" s="169">
        <f t="shared" si="10"/>
        <v>0.4</v>
      </c>
      <c r="E32" s="169">
        <f t="shared" si="11"/>
        <v>0.28</v>
      </c>
      <c r="F32" s="173">
        <f t="shared" si="12"/>
        <v>9.333333333</v>
      </c>
      <c r="H32" s="57" t="s">
        <v>175</v>
      </c>
    </row>
    <row r="33" hidden="1" outlineLevel="1">
      <c r="A33" s="90" t="s">
        <v>120</v>
      </c>
      <c r="B33" s="163">
        <v>1.0</v>
      </c>
      <c r="C33" s="177">
        <f>Claudette!D54</f>
        <v>1</v>
      </c>
      <c r="D33" s="169">
        <f t="shared" si="10"/>
        <v>0.4</v>
      </c>
      <c r="E33" s="169">
        <f t="shared" si="11"/>
        <v>0.269</v>
      </c>
      <c r="F33" s="173">
        <f t="shared" si="12"/>
        <v>8.966666667</v>
      </c>
      <c r="H33" s="183" t="s">
        <v>177</v>
      </c>
      <c r="J33" s="184" t="s">
        <v>178</v>
      </c>
    </row>
    <row r="34" hidden="1" outlineLevel="1">
      <c r="A34" s="90" t="s">
        <v>22</v>
      </c>
      <c r="B34" s="163">
        <v>0.85</v>
      </c>
      <c r="C34" s="177">
        <f>Sofhia!D54</f>
        <v>1</v>
      </c>
      <c r="D34" s="169">
        <f t="shared" si="10"/>
        <v>0.355</v>
      </c>
      <c r="E34" s="169">
        <f t="shared" si="11"/>
        <v>0.27</v>
      </c>
      <c r="F34" s="173">
        <f t="shared" si="12"/>
        <v>9</v>
      </c>
      <c r="H34" s="183" t="s">
        <v>179</v>
      </c>
      <c r="J34" s="184" t="s">
        <v>180</v>
      </c>
    </row>
    <row r="35" hidden="1" outlineLevel="1">
      <c r="A35" s="90" t="s">
        <v>129</v>
      </c>
      <c r="B35" s="163">
        <v>1.0</v>
      </c>
      <c r="C35" s="177">
        <f>Cherry!D36</f>
        <v>1</v>
      </c>
      <c r="D35" s="169">
        <f t="shared" si="10"/>
        <v>0.4</v>
      </c>
      <c r="E35" s="169">
        <f t="shared" si="11"/>
        <v>0.2736</v>
      </c>
      <c r="F35" s="173">
        <f t="shared" si="12"/>
        <v>9.12</v>
      </c>
    </row>
    <row r="36" hidden="1" outlineLevel="1">
      <c r="A36" s="90" t="s">
        <v>13</v>
      </c>
      <c r="B36" s="163">
        <v>0.25</v>
      </c>
      <c r="C36" s="177">
        <f>Lyra!D503</f>
        <v>1</v>
      </c>
      <c r="D36" s="169">
        <f t="shared" si="10"/>
        <v>0.175</v>
      </c>
      <c r="E36" s="169">
        <f t="shared" si="11"/>
        <v>0.2724</v>
      </c>
      <c r="F36" s="173">
        <f t="shared" si="12"/>
        <v>9.08</v>
      </c>
    </row>
    <row r="37" hidden="1" outlineLevel="1">
      <c r="A37" s="90" t="s">
        <v>64</v>
      </c>
      <c r="B37" s="163">
        <v>1.0</v>
      </c>
      <c r="C37" s="177">
        <f>Mikka!D448</f>
        <v>1</v>
      </c>
      <c r="D37" s="169">
        <f t="shared" si="10"/>
        <v>0.4</v>
      </c>
      <c r="E37" s="169">
        <f t="shared" si="11"/>
        <v>0.2574</v>
      </c>
      <c r="F37" s="173">
        <f t="shared" si="12"/>
        <v>8.58</v>
      </c>
    </row>
    <row r="38" collapsed="1">
      <c r="A38" s="57"/>
      <c r="B38" s="60" t="s">
        <v>182</v>
      </c>
    </row>
    <row r="39" hidden="1" outlineLevel="1">
      <c r="B39" s="60" t="s">
        <v>71</v>
      </c>
    </row>
    <row r="40" hidden="1" outlineLevel="1">
      <c r="A40" s="74" t="s">
        <v>73</v>
      </c>
      <c r="B40" s="74" t="s">
        <v>77</v>
      </c>
      <c r="C40" s="74" t="s">
        <v>78</v>
      </c>
      <c r="D40" s="76">
        <v>46244.0</v>
      </c>
      <c r="E40" s="76">
        <v>46245.0</v>
      </c>
      <c r="F40" s="76">
        <v>46246.0</v>
      </c>
      <c r="G40" s="76">
        <v>46247.0</v>
      </c>
      <c r="H40" s="76">
        <v>46248.0</v>
      </c>
      <c r="I40" s="76">
        <v>46249.0</v>
      </c>
      <c r="J40" s="76">
        <v>46250.0</v>
      </c>
      <c r="K40" s="82" t="s">
        <v>82</v>
      </c>
      <c r="L40" s="82" t="s">
        <v>84</v>
      </c>
    </row>
    <row r="41" hidden="1" outlineLevel="1">
      <c r="A41" s="84"/>
      <c r="B41" s="84"/>
      <c r="C41" s="84"/>
      <c r="D41" s="87" t="str">
        <f t="shared" ref="D41:J41" si="13">text(D40,"ddd")</f>
        <v>Mon</v>
      </c>
      <c r="E41" s="87" t="str">
        <f t="shared" si="13"/>
        <v>Tue</v>
      </c>
      <c r="F41" s="87" t="str">
        <f t="shared" si="13"/>
        <v>Wed</v>
      </c>
      <c r="G41" s="87" t="str">
        <f t="shared" si="13"/>
        <v>Thu</v>
      </c>
      <c r="H41" s="87" t="str">
        <f t="shared" si="13"/>
        <v>Fri</v>
      </c>
      <c r="I41" s="87" t="str">
        <f t="shared" si="13"/>
        <v>Sat</v>
      </c>
      <c r="J41" s="87" t="str">
        <f t="shared" si="13"/>
        <v>Sun</v>
      </c>
      <c r="K41" s="84"/>
      <c r="L41" s="84"/>
    </row>
    <row r="42" hidden="1" outlineLevel="1">
      <c r="A42" s="90" t="s">
        <v>88</v>
      </c>
      <c r="B42" s="94">
        <f>30*5</f>
        <v>150</v>
      </c>
      <c r="C42" s="94">
        <f t="shared" ref="C42:C49" si="14">SUM(D42:J42)</f>
        <v>155</v>
      </c>
      <c r="D42" s="191">
        <v>28.0</v>
      </c>
      <c r="E42" s="191">
        <v>22.0</v>
      </c>
      <c r="F42" s="191">
        <v>32.0</v>
      </c>
      <c r="G42" s="191">
        <v>29.0</v>
      </c>
      <c r="H42" s="191">
        <v>35.0</v>
      </c>
      <c r="I42" s="191">
        <v>9.0</v>
      </c>
      <c r="J42" s="193" t="s">
        <v>92</v>
      </c>
      <c r="K42" s="103">
        <f t="shared" ref="K42:K49" si="15">iferror(C42/B42,"-")</f>
        <v>1.033333333</v>
      </c>
      <c r="L42" s="109">
        <f t="shared" ref="L42:L49" si="16">(IF(K42="",(0),IF(K42&gt;=1,(5),IF(K42&gt;=0.9,(4),IF(K42&gt;=0.8,(3),IF(K42&gt;=0.69,(2),IF(K42&lt;=0.69,(1))))))))</f>
        <v>5</v>
      </c>
    </row>
    <row r="43" hidden="1" outlineLevel="1">
      <c r="A43" s="90" t="s">
        <v>118</v>
      </c>
      <c r="B43" s="94">
        <f>30*4+15+25</f>
        <v>160</v>
      </c>
      <c r="C43" s="94">
        <f t="shared" si="14"/>
        <v>143</v>
      </c>
      <c r="D43" s="191">
        <v>25.0</v>
      </c>
      <c r="E43" s="191">
        <v>27.0</v>
      </c>
      <c r="F43" s="191">
        <v>21.0</v>
      </c>
      <c r="G43" s="191">
        <v>30.0</v>
      </c>
      <c r="H43" s="191">
        <v>29.0</v>
      </c>
      <c r="I43" s="191" t="s">
        <v>92</v>
      </c>
      <c r="J43" s="200">
        <v>11.0</v>
      </c>
      <c r="K43" s="103">
        <f t="shared" si="15"/>
        <v>0.89375</v>
      </c>
      <c r="L43" s="109">
        <f t="shared" si="16"/>
        <v>3</v>
      </c>
    </row>
    <row r="44" hidden="1" outlineLevel="1">
      <c r="A44" s="90" t="s">
        <v>19</v>
      </c>
      <c r="B44" s="94">
        <f>30*5+15</f>
        <v>165</v>
      </c>
      <c r="C44" s="94">
        <f t="shared" si="14"/>
        <v>176</v>
      </c>
      <c r="D44" s="191">
        <v>39.0</v>
      </c>
      <c r="E44" s="191">
        <v>28.0</v>
      </c>
      <c r="F44" s="191" t="s">
        <v>92</v>
      </c>
      <c r="G44" s="191">
        <v>38.0</v>
      </c>
      <c r="H44" s="191">
        <v>25.0</v>
      </c>
      <c r="I44" s="191">
        <v>34.0</v>
      </c>
      <c r="J44" s="191">
        <v>12.0</v>
      </c>
      <c r="K44" s="103">
        <f t="shared" si="15"/>
        <v>1.066666667</v>
      </c>
      <c r="L44" s="109">
        <f t="shared" si="16"/>
        <v>5</v>
      </c>
    </row>
    <row r="45" hidden="1" outlineLevel="1">
      <c r="A45" s="90" t="s">
        <v>120</v>
      </c>
      <c r="B45" s="94">
        <f>30*3+15+25+15</f>
        <v>145</v>
      </c>
      <c r="C45" s="94">
        <f t="shared" si="14"/>
        <v>131</v>
      </c>
      <c r="D45" s="191">
        <v>27.0</v>
      </c>
      <c r="E45" s="191">
        <v>27.0</v>
      </c>
      <c r="F45" s="191">
        <v>17.0</v>
      </c>
      <c r="G45" s="191">
        <v>15.0</v>
      </c>
      <c r="H45" s="191" t="s">
        <v>92</v>
      </c>
      <c r="I45" s="191">
        <v>26.0</v>
      </c>
      <c r="J45" s="191">
        <v>19.0</v>
      </c>
      <c r="K45" s="103">
        <f t="shared" si="15"/>
        <v>0.9034482759</v>
      </c>
      <c r="L45" s="109">
        <f t="shared" si="16"/>
        <v>4</v>
      </c>
    </row>
    <row r="46" hidden="1" outlineLevel="1">
      <c r="A46" s="90" t="s">
        <v>22</v>
      </c>
      <c r="B46" s="94">
        <f>30*4+20</f>
        <v>140</v>
      </c>
      <c r="C46" s="94">
        <f t="shared" si="14"/>
        <v>129</v>
      </c>
      <c r="D46" s="191">
        <v>34.0</v>
      </c>
      <c r="E46" s="191">
        <v>18.0</v>
      </c>
      <c r="F46" s="191">
        <v>31.0</v>
      </c>
      <c r="G46" s="191">
        <v>15.0</v>
      </c>
      <c r="H46" s="191" t="s">
        <v>92</v>
      </c>
      <c r="I46" s="191">
        <v>17.0</v>
      </c>
      <c r="J46" s="191">
        <v>14.0</v>
      </c>
      <c r="K46" s="103">
        <f t="shared" si="15"/>
        <v>0.9214285714</v>
      </c>
      <c r="L46" s="109">
        <f t="shared" si="16"/>
        <v>4</v>
      </c>
    </row>
    <row r="47" hidden="1" outlineLevel="1">
      <c r="A47" s="90" t="s">
        <v>129</v>
      </c>
      <c r="B47" s="94">
        <f>30*6</f>
        <v>180</v>
      </c>
      <c r="C47" s="94">
        <f t="shared" si="14"/>
        <v>185</v>
      </c>
      <c r="D47" s="191">
        <v>39.0</v>
      </c>
      <c r="E47" s="191">
        <v>30.0</v>
      </c>
      <c r="F47" s="191">
        <v>39.0</v>
      </c>
      <c r="G47" s="191">
        <v>32.0</v>
      </c>
      <c r="H47" s="191">
        <v>27.0</v>
      </c>
      <c r="I47" s="191">
        <v>18.0</v>
      </c>
      <c r="J47" s="191" t="s">
        <v>92</v>
      </c>
      <c r="K47" s="103">
        <f t="shared" si="15"/>
        <v>1.027777778</v>
      </c>
      <c r="L47" s="109">
        <f t="shared" si="16"/>
        <v>5</v>
      </c>
    </row>
    <row r="48" hidden="1" outlineLevel="1">
      <c r="A48" s="90" t="s">
        <v>13</v>
      </c>
      <c r="B48" s="94">
        <f>30*4</f>
        <v>120</v>
      </c>
      <c r="C48" s="94">
        <f t="shared" si="14"/>
        <v>96</v>
      </c>
      <c r="D48" s="191">
        <v>34.0</v>
      </c>
      <c r="E48" s="191">
        <v>32.0</v>
      </c>
      <c r="F48" s="191">
        <v>30.0</v>
      </c>
      <c r="G48" s="208" t="s">
        <v>196</v>
      </c>
      <c r="H48" s="210" t="s">
        <v>197</v>
      </c>
      <c r="I48" s="191" t="s">
        <v>92</v>
      </c>
      <c r="J48" s="191" t="s">
        <v>92</v>
      </c>
      <c r="K48" s="103">
        <f t="shared" si="15"/>
        <v>0.8</v>
      </c>
      <c r="L48" s="109">
        <f t="shared" si="16"/>
        <v>3</v>
      </c>
    </row>
    <row r="49" hidden="1" outlineLevel="1">
      <c r="A49" s="90" t="s">
        <v>64</v>
      </c>
      <c r="B49" s="94">
        <f>25+15+30+30+25+15</f>
        <v>140</v>
      </c>
      <c r="C49" s="94">
        <f t="shared" si="14"/>
        <v>113</v>
      </c>
      <c r="D49" s="191">
        <v>18.0</v>
      </c>
      <c r="E49" s="191">
        <v>10.0</v>
      </c>
      <c r="F49" s="191" t="s">
        <v>92</v>
      </c>
      <c r="G49" s="191">
        <v>22.0</v>
      </c>
      <c r="H49" s="191">
        <v>22.0</v>
      </c>
      <c r="I49" s="191">
        <v>26.0</v>
      </c>
      <c r="J49" s="191">
        <v>15.0</v>
      </c>
      <c r="K49" s="103">
        <f t="shared" si="15"/>
        <v>0.8071428571</v>
      </c>
      <c r="L49" s="109">
        <f t="shared" si="16"/>
        <v>3</v>
      </c>
    </row>
    <row r="50" hidden="1" outlineLevel="1"/>
    <row r="51" hidden="1" outlineLevel="1">
      <c r="B51" s="60" t="s">
        <v>135</v>
      </c>
    </row>
    <row r="52" hidden="1" outlineLevel="1">
      <c r="A52" s="74" t="s">
        <v>73</v>
      </c>
      <c r="B52" s="74" t="s">
        <v>137</v>
      </c>
      <c r="C52" s="74" t="s">
        <v>138</v>
      </c>
      <c r="D52" s="74" t="s">
        <v>139</v>
      </c>
      <c r="E52" s="74" t="s">
        <v>140</v>
      </c>
      <c r="F52" s="74" t="s">
        <v>141</v>
      </c>
      <c r="G52" s="74" t="s">
        <v>143</v>
      </c>
      <c r="H52" s="74" t="s">
        <v>145</v>
      </c>
    </row>
    <row r="53" hidden="1" outlineLevel="1">
      <c r="A53" s="84"/>
      <c r="B53" s="84"/>
      <c r="C53" s="84"/>
      <c r="D53" s="84"/>
      <c r="E53" s="84"/>
      <c r="F53" s="84"/>
      <c r="G53" s="84"/>
      <c r="H53" s="84"/>
    </row>
    <row r="54" hidden="1" outlineLevel="1">
      <c r="A54" s="90" t="s">
        <v>88</v>
      </c>
      <c r="B54" s="135">
        <v>161.0</v>
      </c>
      <c r="C54" s="135">
        <v>155.0</v>
      </c>
      <c r="D54" s="138">
        <f t="shared" ref="D54:D61" si="17">B54-C54</f>
        <v>6</v>
      </c>
      <c r="E54" s="140">
        <f t="shared" ref="E54:E61" si="18">Iferror(C54/B54,"")</f>
        <v>0.9627329193</v>
      </c>
      <c r="F54" s="141">
        <v>0.001990740740740741</v>
      </c>
      <c r="G54" s="145">
        <f t="shared" ref="G54:G61" si="19">IFERROR((IF(E54="",(0),IF(E54&gt;=0.98,(5),IF(E54&gt;=0.95,(4.5),IF(E54&gt;=0.9,(4),IF(E54&gt;=0.8,(3),IF(E54&lt;=0.69,(1)))))))),"")</f>
        <v>4.5</v>
      </c>
      <c r="H54" s="145">
        <f t="shared" ref="H54:H61" si="20">ROUND(
IF(F54="",
0,
MAX(1, 5 - MAX(0, (F54 - TIME(0,4,0)) / TIME(0,1,0) * 0.5))
),
2
)
</f>
        <v>5</v>
      </c>
    </row>
    <row r="55" hidden="1" outlineLevel="1">
      <c r="A55" s="90" t="s">
        <v>118</v>
      </c>
      <c r="B55" s="135">
        <v>146.0</v>
      </c>
      <c r="C55" s="135">
        <v>143.0</v>
      </c>
      <c r="D55" s="138">
        <f t="shared" si="17"/>
        <v>3</v>
      </c>
      <c r="E55" s="140">
        <f t="shared" si="18"/>
        <v>0.9794520548</v>
      </c>
      <c r="F55" s="141">
        <v>0.0036689814814814814</v>
      </c>
      <c r="G55" s="145">
        <f t="shared" si="19"/>
        <v>4.5</v>
      </c>
      <c r="H55" s="145">
        <f t="shared" si="20"/>
        <v>4.36</v>
      </c>
    </row>
    <row r="56" hidden="1" outlineLevel="1">
      <c r="A56" s="90" t="s">
        <v>19</v>
      </c>
      <c r="B56" s="135">
        <v>190.0</v>
      </c>
      <c r="C56" s="135">
        <v>176.0</v>
      </c>
      <c r="D56" s="138">
        <f t="shared" si="17"/>
        <v>14</v>
      </c>
      <c r="E56" s="140">
        <f t="shared" si="18"/>
        <v>0.9263157895</v>
      </c>
      <c r="F56" s="141">
        <v>0.003287037037037037</v>
      </c>
      <c r="G56" s="145">
        <f t="shared" si="19"/>
        <v>4</v>
      </c>
      <c r="H56" s="145">
        <f t="shared" si="20"/>
        <v>4.63</v>
      </c>
    </row>
    <row r="57" hidden="1" outlineLevel="1">
      <c r="A57" s="90" t="s">
        <v>120</v>
      </c>
      <c r="B57" s="135">
        <v>131.0</v>
      </c>
      <c r="C57" s="135">
        <v>130.0</v>
      </c>
      <c r="D57" s="138">
        <f t="shared" si="17"/>
        <v>1</v>
      </c>
      <c r="E57" s="140">
        <f t="shared" si="18"/>
        <v>0.9923664122</v>
      </c>
      <c r="F57" s="141">
        <v>0.0035300925925925925</v>
      </c>
      <c r="G57" s="145">
        <f t="shared" si="19"/>
        <v>5</v>
      </c>
      <c r="H57" s="145">
        <f t="shared" si="20"/>
        <v>4.46</v>
      </c>
    </row>
    <row r="58" hidden="1" outlineLevel="1">
      <c r="A58" s="90" t="s">
        <v>22</v>
      </c>
      <c r="B58" s="135">
        <v>132.0</v>
      </c>
      <c r="C58" s="135">
        <v>128.0</v>
      </c>
      <c r="D58" s="138">
        <f t="shared" si="17"/>
        <v>4</v>
      </c>
      <c r="E58" s="140">
        <f t="shared" si="18"/>
        <v>0.9696969697</v>
      </c>
      <c r="F58" s="141">
        <v>0.002013888888888889</v>
      </c>
      <c r="G58" s="145">
        <f t="shared" si="19"/>
        <v>4.5</v>
      </c>
      <c r="H58" s="145">
        <f t="shared" si="20"/>
        <v>5</v>
      </c>
    </row>
    <row r="59" hidden="1" outlineLevel="1">
      <c r="A59" s="90" t="s">
        <v>129</v>
      </c>
      <c r="B59" s="135">
        <v>189.0</v>
      </c>
      <c r="C59" s="135">
        <v>185.0</v>
      </c>
      <c r="D59" s="138">
        <f t="shared" si="17"/>
        <v>4</v>
      </c>
      <c r="E59" s="140">
        <f t="shared" si="18"/>
        <v>0.9788359788</v>
      </c>
      <c r="F59" s="141">
        <v>0.004155092592592592</v>
      </c>
      <c r="G59" s="145">
        <f t="shared" si="19"/>
        <v>4.5</v>
      </c>
      <c r="H59" s="145">
        <f t="shared" si="20"/>
        <v>4.01</v>
      </c>
    </row>
    <row r="60" hidden="1" outlineLevel="1">
      <c r="A60" s="90" t="s">
        <v>13</v>
      </c>
      <c r="B60" s="135">
        <v>96.0</v>
      </c>
      <c r="C60" s="135">
        <v>96.0</v>
      </c>
      <c r="D60" s="138">
        <f t="shared" si="17"/>
        <v>0</v>
      </c>
      <c r="E60" s="140">
        <f t="shared" si="18"/>
        <v>1</v>
      </c>
      <c r="F60" s="141">
        <v>0.0034375</v>
      </c>
      <c r="G60" s="145">
        <f t="shared" si="19"/>
        <v>5</v>
      </c>
      <c r="H60" s="145">
        <f t="shared" si="20"/>
        <v>4.53</v>
      </c>
    </row>
    <row r="61" hidden="1" outlineLevel="1">
      <c r="A61" s="90" t="s">
        <v>64</v>
      </c>
      <c r="B61" s="135">
        <v>119.0</v>
      </c>
      <c r="C61" s="135">
        <v>113.0</v>
      </c>
      <c r="D61" s="138">
        <f t="shared" si="17"/>
        <v>6</v>
      </c>
      <c r="E61" s="140">
        <f t="shared" si="18"/>
        <v>0.9495798319</v>
      </c>
      <c r="F61" s="141">
        <v>0.004537037037037037</v>
      </c>
      <c r="G61" s="145">
        <f t="shared" si="19"/>
        <v>4</v>
      </c>
      <c r="H61" s="145">
        <f t="shared" si="20"/>
        <v>3.73</v>
      </c>
    </row>
    <row r="62" hidden="1" outlineLevel="1"/>
    <row r="63" hidden="1" outlineLevel="1"/>
    <row r="64" hidden="1" outlineLevel="1">
      <c r="B64" s="60" t="s">
        <v>160</v>
      </c>
      <c r="H64" s="57" t="s">
        <v>162</v>
      </c>
    </row>
    <row r="65" hidden="1" outlineLevel="1">
      <c r="A65" s="74" t="s">
        <v>73</v>
      </c>
      <c r="B65" s="74" t="s">
        <v>214</v>
      </c>
      <c r="C65" s="74" t="s">
        <v>215</v>
      </c>
      <c r="D65" s="74" t="s">
        <v>166</v>
      </c>
      <c r="E65" s="74" t="s">
        <v>167</v>
      </c>
      <c r="F65" s="74" t="s">
        <v>168</v>
      </c>
      <c r="H65" s="162" t="s">
        <v>169</v>
      </c>
    </row>
    <row r="66" ht="19.5" hidden="1" customHeight="1" outlineLevel="1">
      <c r="A66" s="84"/>
      <c r="B66" s="84"/>
      <c r="C66" s="84"/>
      <c r="D66" s="84"/>
      <c r="E66" s="84"/>
      <c r="F66" s="84"/>
      <c r="H66" s="162" t="s">
        <v>171</v>
      </c>
    </row>
    <row r="67" hidden="1" outlineLevel="1">
      <c r="A67" s="90" t="s">
        <v>88</v>
      </c>
      <c r="B67" s="163">
        <v>1.0</v>
      </c>
      <c r="C67" s="163">
        <v>1.0</v>
      </c>
      <c r="D67" s="169">
        <f t="shared" ref="D67:D74" si="21">(B67*0.3)+(C67*0.1)</f>
        <v>0.4</v>
      </c>
      <c r="E67" s="169">
        <f t="shared" ref="E67:E74" si="22">(L42+G54+H54)/15*0.3</f>
        <v>0.29</v>
      </c>
      <c r="F67" s="173">
        <f t="shared" ref="F67:F74" si="23">(E67/30%)*10</f>
        <v>9.666666667</v>
      </c>
      <c r="H67" s="162" t="s">
        <v>173</v>
      </c>
    </row>
    <row r="68" hidden="1" outlineLevel="1">
      <c r="A68" s="90" t="s">
        <v>118</v>
      </c>
      <c r="B68" s="163">
        <v>1.0</v>
      </c>
      <c r="C68" s="163">
        <v>1.0</v>
      </c>
      <c r="D68" s="169">
        <f t="shared" si="21"/>
        <v>0.4</v>
      </c>
      <c r="E68" s="169">
        <f t="shared" si="22"/>
        <v>0.2372</v>
      </c>
      <c r="F68" s="173">
        <f t="shared" si="23"/>
        <v>7.906666667</v>
      </c>
    </row>
    <row r="69" hidden="1" outlineLevel="1">
      <c r="A69" s="90" t="s">
        <v>19</v>
      </c>
      <c r="B69" s="163">
        <v>0.8</v>
      </c>
      <c r="C69" s="163">
        <v>1.0</v>
      </c>
      <c r="D69" s="169">
        <f t="shared" si="21"/>
        <v>0.34</v>
      </c>
      <c r="E69" s="169">
        <f t="shared" si="22"/>
        <v>0.2726</v>
      </c>
      <c r="F69" s="173">
        <f t="shared" si="23"/>
        <v>9.086666667</v>
      </c>
      <c r="H69" s="57" t="s">
        <v>175</v>
      </c>
    </row>
    <row r="70" hidden="1" outlineLevel="1">
      <c r="A70" s="90" t="s">
        <v>120</v>
      </c>
      <c r="B70" s="163">
        <v>1.0</v>
      </c>
      <c r="C70" s="163">
        <v>1.0</v>
      </c>
      <c r="D70" s="169">
        <f t="shared" si="21"/>
        <v>0.4</v>
      </c>
      <c r="E70" s="169">
        <f t="shared" si="22"/>
        <v>0.2692</v>
      </c>
      <c r="F70" s="173">
        <f t="shared" si="23"/>
        <v>8.973333333</v>
      </c>
      <c r="H70" s="183" t="s">
        <v>177</v>
      </c>
      <c r="J70" s="184" t="s">
        <v>178</v>
      </c>
    </row>
    <row r="71" hidden="1" outlineLevel="1">
      <c r="A71" s="90" t="s">
        <v>22</v>
      </c>
      <c r="B71" s="163">
        <v>0.85</v>
      </c>
      <c r="C71" s="163">
        <v>1.0</v>
      </c>
      <c r="D71" s="169">
        <f t="shared" si="21"/>
        <v>0.355</v>
      </c>
      <c r="E71" s="169">
        <f t="shared" si="22"/>
        <v>0.27</v>
      </c>
      <c r="F71" s="173">
        <f t="shared" si="23"/>
        <v>9</v>
      </c>
      <c r="H71" s="183" t="s">
        <v>179</v>
      </c>
      <c r="J71" s="184" t="s">
        <v>180</v>
      </c>
    </row>
    <row r="72" hidden="1" outlineLevel="1">
      <c r="A72" s="90" t="s">
        <v>129</v>
      </c>
      <c r="B72" s="163">
        <v>1.0</v>
      </c>
      <c r="C72" s="163">
        <v>1.0</v>
      </c>
      <c r="D72" s="169">
        <f t="shared" si="21"/>
        <v>0.4</v>
      </c>
      <c r="E72" s="169">
        <f t="shared" si="22"/>
        <v>0.2702</v>
      </c>
      <c r="F72" s="173">
        <f t="shared" si="23"/>
        <v>9.006666667</v>
      </c>
    </row>
    <row r="73" hidden="1" outlineLevel="1">
      <c r="A73" s="90" t="s">
        <v>13</v>
      </c>
      <c r="B73" s="163">
        <v>1.0</v>
      </c>
      <c r="C73" s="163">
        <v>0.8</v>
      </c>
      <c r="D73" s="169">
        <f t="shared" si="21"/>
        <v>0.38</v>
      </c>
      <c r="E73" s="169">
        <f t="shared" si="22"/>
        <v>0.2506</v>
      </c>
      <c r="F73" s="173">
        <f t="shared" si="23"/>
        <v>8.353333333</v>
      </c>
    </row>
    <row r="74" hidden="1" outlineLevel="1">
      <c r="A74" s="90" t="s">
        <v>64</v>
      </c>
      <c r="B74" s="163">
        <v>1.0</v>
      </c>
      <c r="C74" s="163">
        <v>1.0</v>
      </c>
      <c r="D74" s="169">
        <f t="shared" si="21"/>
        <v>0.4</v>
      </c>
      <c r="E74" s="169">
        <f t="shared" si="22"/>
        <v>0.2146</v>
      </c>
      <c r="F74" s="173">
        <f t="shared" si="23"/>
        <v>7.153333333</v>
      </c>
    </row>
    <row r="75" collapsed="1">
      <c r="A75" s="57"/>
      <c r="B75" s="60" t="s">
        <v>223</v>
      </c>
    </row>
    <row r="76" hidden="1" outlineLevel="1">
      <c r="B76" s="60" t="s">
        <v>71</v>
      </c>
    </row>
    <row r="77" hidden="1" outlineLevel="1">
      <c r="A77" s="74" t="s">
        <v>73</v>
      </c>
      <c r="B77" s="74" t="s">
        <v>77</v>
      </c>
      <c r="C77" s="74" t="s">
        <v>78</v>
      </c>
      <c r="D77" s="76">
        <v>46251.0</v>
      </c>
      <c r="E77" s="76">
        <v>46252.0</v>
      </c>
      <c r="F77" s="76">
        <v>46253.0</v>
      </c>
      <c r="G77" s="76">
        <v>46254.0</v>
      </c>
      <c r="H77" s="76">
        <v>46255.0</v>
      </c>
      <c r="I77" s="76">
        <v>46256.0</v>
      </c>
      <c r="J77" s="76">
        <v>46257.0</v>
      </c>
      <c r="K77" s="82" t="s">
        <v>82</v>
      </c>
      <c r="L77" s="82" t="s">
        <v>84</v>
      </c>
    </row>
    <row r="78" hidden="1" outlineLevel="1">
      <c r="A78" s="84"/>
      <c r="B78" s="84"/>
      <c r="C78" s="84"/>
      <c r="D78" s="87" t="str">
        <f t="shared" ref="D78:J78" si="24">text(D77,"ddd")</f>
        <v>Mon</v>
      </c>
      <c r="E78" s="87" t="str">
        <f t="shared" si="24"/>
        <v>Tue</v>
      </c>
      <c r="F78" s="87" t="str">
        <f t="shared" si="24"/>
        <v>Wed</v>
      </c>
      <c r="G78" s="87" t="str">
        <f t="shared" si="24"/>
        <v>Thu</v>
      </c>
      <c r="H78" s="87" t="str">
        <f t="shared" si="24"/>
        <v>Fri</v>
      </c>
      <c r="I78" s="87" t="str">
        <f t="shared" si="24"/>
        <v>Sat</v>
      </c>
      <c r="J78" s="87" t="str">
        <f t="shared" si="24"/>
        <v>Sun</v>
      </c>
      <c r="K78" s="84"/>
      <c r="L78" s="84"/>
    </row>
    <row r="79" hidden="1" outlineLevel="1">
      <c r="A79" s="90" t="s">
        <v>88</v>
      </c>
      <c r="B79" s="94">
        <f>30*4+15</f>
        <v>135</v>
      </c>
      <c r="C79" s="94">
        <f t="shared" ref="C79:C86" si="25">SUM(D79:J79)</f>
        <v>127</v>
      </c>
      <c r="D79" s="191">
        <v>29.0</v>
      </c>
      <c r="E79" s="191">
        <v>22.0</v>
      </c>
      <c r="F79" s="191">
        <v>14.0</v>
      </c>
      <c r="G79" s="191">
        <v>21.0</v>
      </c>
      <c r="H79" s="191" t="s">
        <v>92</v>
      </c>
      <c r="I79" s="191">
        <v>24.0</v>
      </c>
      <c r="J79" s="191">
        <v>17.0</v>
      </c>
      <c r="K79" s="103">
        <f t="shared" ref="K79:K86" si="26">iferror(C79/B79,"-")</f>
        <v>0.9407407407</v>
      </c>
      <c r="L79" s="109">
        <f t="shared" ref="L79:L86" si="27">(IF(K79="",(0),IF(K79&gt;=1,(5),IF(K79&gt;=0.9,(4),IF(K79&gt;=0.8,(3),IF(K79&gt;=0.69,(2),IF(K79&lt;=0.69,(1))))))))</f>
        <v>4</v>
      </c>
    </row>
    <row r="80" hidden="1" outlineLevel="1">
      <c r="A80" s="90" t="s">
        <v>118</v>
      </c>
      <c r="B80" s="94">
        <f>35*5</f>
        <v>175</v>
      </c>
      <c r="C80" s="94">
        <f t="shared" si="25"/>
        <v>174</v>
      </c>
      <c r="D80" s="191">
        <v>30.0</v>
      </c>
      <c r="E80" s="191">
        <v>38.0</v>
      </c>
      <c r="F80" s="191">
        <v>28.0</v>
      </c>
      <c r="G80" s="191">
        <v>41.0</v>
      </c>
      <c r="H80" s="191">
        <v>37.0</v>
      </c>
      <c r="I80" s="191" t="s">
        <v>92</v>
      </c>
      <c r="J80" s="191" t="s">
        <v>92</v>
      </c>
      <c r="K80" s="103">
        <f t="shared" si="26"/>
        <v>0.9942857143</v>
      </c>
      <c r="L80" s="109">
        <f t="shared" si="27"/>
        <v>4</v>
      </c>
    </row>
    <row r="81" hidden="1" outlineLevel="1">
      <c r="A81" s="90" t="s">
        <v>19</v>
      </c>
      <c r="B81" s="94">
        <f>30*5+15</f>
        <v>165</v>
      </c>
      <c r="C81" s="94">
        <f t="shared" si="25"/>
        <v>150</v>
      </c>
      <c r="D81" s="191">
        <v>44.0</v>
      </c>
      <c r="E81" s="191">
        <v>27.0</v>
      </c>
      <c r="F81" s="191" t="s">
        <v>92</v>
      </c>
      <c r="G81" s="191">
        <v>15.0</v>
      </c>
      <c r="H81" s="191">
        <v>31.0</v>
      </c>
      <c r="I81" s="191">
        <v>26.0</v>
      </c>
      <c r="J81" s="191">
        <v>7.0</v>
      </c>
      <c r="K81" s="103">
        <f t="shared" si="26"/>
        <v>0.9090909091</v>
      </c>
      <c r="L81" s="109">
        <f t="shared" si="27"/>
        <v>4</v>
      </c>
    </row>
    <row r="82" hidden="1" outlineLevel="1">
      <c r="A82" s="90" t="s">
        <v>120</v>
      </c>
      <c r="B82" s="94">
        <f>30*3+20+15</f>
        <v>125</v>
      </c>
      <c r="C82" s="94">
        <f t="shared" si="25"/>
        <v>117</v>
      </c>
      <c r="D82" s="191">
        <v>28.0</v>
      </c>
      <c r="E82" s="191">
        <v>28.0</v>
      </c>
      <c r="F82" s="191">
        <v>25.0</v>
      </c>
      <c r="G82" s="191" t="s">
        <v>92</v>
      </c>
      <c r="H82" s="191" t="s">
        <v>92</v>
      </c>
      <c r="I82" s="191">
        <v>20.0</v>
      </c>
      <c r="J82" s="191">
        <v>16.0</v>
      </c>
      <c r="K82" s="103">
        <f t="shared" si="26"/>
        <v>0.936</v>
      </c>
      <c r="L82" s="109">
        <f t="shared" si="27"/>
        <v>4</v>
      </c>
    </row>
    <row r="83" hidden="1" outlineLevel="1">
      <c r="A83" s="90" t="s">
        <v>22</v>
      </c>
      <c r="B83" s="94">
        <f>30*4+20</f>
        <v>140</v>
      </c>
      <c r="C83" s="94">
        <f t="shared" si="25"/>
        <v>151</v>
      </c>
      <c r="D83" s="191">
        <v>38.0</v>
      </c>
      <c r="E83" s="191">
        <v>20.0</v>
      </c>
      <c r="F83" s="191">
        <v>26.0</v>
      </c>
      <c r="G83" s="191">
        <v>29.0</v>
      </c>
      <c r="H83" s="191">
        <v>38.0</v>
      </c>
      <c r="I83" s="191" t="s">
        <v>92</v>
      </c>
      <c r="J83" s="191" t="s">
        <v>92</v>
      </c>
      <c r="K83" s="103">
        <f t="shared" si="26"/>
        <v>1.078571429</v>
      </c>
      <c r="L83" s="109">
        <f t="shared" si="27"/>
        <v>5</v>
      </c>
    </row>
    <row r="84" hidden="1" outlineLevel="1">
      <c r="A84" s="90" t="s">
        <v>129</v>
      </c>
      <c r="B84" s="94">
        <f>30*6</f>
        <v>180</v>
      </c>
      <c r="C84" s="94">
        <f t="shared" si="25"/>
        <v>190</v>
      </c>
      <c r="D84" s="191">
        <v>40.0</v>
      </c>
      <c r="E84" s="191">
        <v>32.0</v>
      </c>
      <c r="F84" s="191">
        <v>39.0</v>
      </c>
      <c r="G84" s="191">
        <v>34.0</v>
      </c>
      <c r="H84" s="191">
        <v>27.0</v>
      </c>
      <c r="I84" s="191">
        <v>18.0</v>
      </c>
      <c r="J84" s="191" t="s">
        <v>92</v>
      </c>
      <c r="K84" s="103">
        <f t="shared" si="26"/>
        <v>1.055555556</v>
      </c>
      <c r="L84" s="109">
        <f t="shared" si="27"/>
        <v>5</v>
      </c>
    </row>
    <row r="85" hidden="1" outlineLevel="1">
      <c r="A85" s="90" t="s">
        <v>13</v>
      </c>
      <c r="B85" s="94">
        <f>30*4</f>
        <v>120</v>
      </c>
      <c r="C85" s="94">
        <f t="shared" si="25"/>
        <v>142</v>
      </c>
      <c r="D85" s="191">
        <v>30.0</v>
      </c>
      <c r="E85" s="191">
        <v>34.0</v>
      </c>
      <c r="F85" s="191">
        <v>33.0</v>
      </c>
      <c r="G85" s="191">
        <v>22.0</v>
      </c>
      <c r="H85" s="191">
        <v>23.0</v>
      </c>
      <c r="I85" s="191" t="s">
        <v>92</v>
      </c>
      <c r="J85" s="191" t="s">
        <v>92</v>
      </c>
      <c r="K85" s="103">
        <f t="shared" si="26"/>
        <v>1.183333333</v>
      </c>
      <c r="L85" s="109">
        <f t="shared" si="27"/>
        <v>5</v>
      </c>
    </row>
    <row r="86" hidden="1" outlineLevel="1">
      <c r="A86" s="90" t="s">
        <v>64</v>
      </c>
      <c r="B86" s="94">
        <f>25+15+30+30+25+15</f>
        <v>140</v>
      </c>
      <c r="C86" s="94">
        <f t="shared" si="25"/>
        <v>106</v>
      </c>
      <c r="D86" s="191">
        <v>22.0</v>
      </c>
      <c r="E86" s="191" t="s">
        <v>92</v>
      </c>
      <c r="F86" s="191" t="s">
        <v>92</v>
      </c>
      <c r="G86" s="191">
        <v>19.0</v>
      </c>
      <c r="H86" s="191">
        <v>26.0</v>
      </c>
      <c r="I86" s="191">
        <v>25.0</v>
      </c>
      <c r="J86" s="191">
        <v>14.0</v>
      </c>
      <c r="K86" s="103">
        <f t="shared" si="26"/>
        <v>0.7571428571</v>
      </c>
      <c r="L86" s="109">
        <f t="shared" si="27"/>
        <v>2</v>
      </c>
    </row>
    <row r="87" hidden="1" outlineLevel="1"/>
    <row r="88" hidden="1" outlineLevel="1">
      <c r="B88" s="60" t="s">
        <v>135</v>
      </c>
    </row>
    <row r="89" hidden="1" outlineLevel="1">
      <c r="A89" s="74" t="s">
        <v>73</v>
      </c>
      <c r="B89" s="74" t="s">
        <v>137</v>
      </c>
      <c r="C89" s="74" t="s">
        <v>138</v>
      </c>
      <c r="D89" s="74" t="s">
        <v>139</v>
      </c>
      <c r="E89" s="74" t="s">
        <v>140</v>
      </c>
      <c r="F89" s="74" t="s">
        <v>141</v>
      </c>
      <c r="G89" s="74" t="s">
        <v>143</v>
      </c>
      <c r="H89" s="74" t="s">
        <v>145</v>
      </c>
    </row>
    <row r="90" hidden="1" outlineLevel="1">
      <c r="A90" s="84"/>
      <c r="B90" s="84"/>
      <c r="C90" s="84"/>
      <c r="D90" s="84"/>
      <c r="E90" s="84"/>
      <c r="F90" s="84"/>
      <c r="G90" s="84"/>
      <c r="H90" s="84"/>
    </row>
    <row r="91" hidden="1" outlineLevel="1">
      <c r="A91" s="90" t="s">
        <v>88</v>
      </c>
      <c r="B91" s="135">
        <v>130.0</v>
      </c>
      <c r="C91" s="135">
        <v>127.0</v>
      </c>
      <c r="D91" s="138">
        <f t="shared" ref="D91:D98" si="28">B91-C91</f>
        <v>3</v>
      </c>
      <c r="E91" s="140">
        <f t="shared" ref="E91:E98" si="29">Iferror(C91/B91,"")</f>
        <v>0.9769230769</v>
      </c>
      <c r="F91" s="141">
        <v>0.0019675925925925924</v>
      </c>
      <c r="G91" s="145">
        <f t="shared" ref="G91:G98" si="30">IFERROR((IF(E91="",(0),IF(E91&gt;=0.98,(5),IF(E91&gt;=0.95,(4.5),IF(E91&gt;=0.9,(4),IF(E91&gt;=0.8,(3),IF(E91&lt;=0.69,(1)))))))),"")</f>
        <v>4.5</v>
      </c>
      <c r="H91" s="145">
        <f t="shared" ref="H91:H98" si="31">ROUND(
IF(F91="",
0,
MAX(1, 5 - MAX(0, (F91 - TIME(0,4,0)) / TIME(0,1,0) * 0.5))
),
2
)
</f>
        <v>5</v>
      </c>
    </row>
    <row r="92" hidden="1" outlineLevel="1">
      <c r="A92" s="90" t="s">
        <v>118</v>
      </c>
      <c r="B92" s="135">
        <v>175.0</v>
      </c>
      <c r="C92" s="135">
        <v>174.0</v>
      </c>
      <c r="D92" s="138">
        <f t="shared" si="28"/>
        <v>1</v>
      </c>
      <c r="E92" s="140">
        <f t="shared" si="29"/>
        <v>0.9942857143</v>
      </c>
      <c r="F92" s="141">
        <v>0.0033680555555555556</v>
      </c>
      <c r="G92" s="145">
        <f t="shared" si="30"/>
        <v>5</v>
      </c>
      <c r="H92" s="145">
        <f t="shared" si="31"/>
        <v>4.58</v>
      </c>
    </row>
    <row r="93" hidden="1" outlineLevel="1">
      <c r="A93" s="90" t="s">
        <v>19</v>
      </c>
      <c r="B93" s="135">
        <v>169.0</v>
      </c>
      <c r="C93" s="135">
        <v>166.0</v>
      </c>
      <c r="D93" s="138">
        <f t="shared" si="28"/>
        <v>3</v>
      </c>
      <c r="E93" s="140">
        <f t="shared" si="29"/>
        <v>0.9822485207</v>
      </c>
      <c r="F93" s="141">
        <v>0.0031944444444444446</v>
      </c>
      <c r="G93" s="145">
        <f t="shared" si="30"/>
        <v>5</v>
      </c>
      <c r="H93" s="145">
        <f t="shared" si="31"/>
        <v>4.7</v>
      </c>
    </row>
    <row r="94" hidden="1" outlineLevel="1">
      <c r="A94" s="90" t="s">
        <v>120</v>
      </c>
      <c r="B94" s="135">
        <v>137.0</v>
      </c>
      <c r="C94" s="135">
        <v>132.0</v>
      </c>
      <c r="D94" s="138">
        <f t="shared" si="28"/>
        <v>5</v>
      </c>
      <c r="E94" s="140">
        <f t="shared" si="29"/>
        <v>0.9635036496</v>
      </c>
      <c r="F94" s="141">
        <v>0.0031944444444444446</v>
      </c>
      <c r="G94" s="145">
        <f t="shared" si="30"/>
        <v>4.5</v>
      </c>
      <c r="H94" s="145">
        <f t="shared" si="31"/>
        <v>4.7</v>
      </c>
    </row>
    <row r="95" hidden="1" outlineLevel="1">
      <c r="A95" s="90" t="s">
        <v>22</v>
      </c>
      <c r="B95" s="135">
        <v>158.0</v>
      </c>
      <c r="C95" s="135">
        <v>151.0</v>
      </c>
      <c r="D95" s="138">
        <f t="shared" si="28"/>
        <v>7</v>
      </c>
      <c r="E95" s="140">
        <f t="shared" si="29"/>
        <v>0.9556962025</v>
      </c>
      <c r="F95" s="141">
        <v>0.002210648148148148</v>
      </c>
      <c r="G95" s="145">
        <f t="shared" si="30"/>
        <v>4.5</v>
      </c>
      <c r="H95" s="145">
        <f t="shared" si="31"/>
        <v>5</v>
      </c>
    </row>
    <row r="96" hidden="1" outlineLevel="1">
      <c r="A96" s="90" t="s">
        <v>129</v>
      </c>
      <c r="B96" s="135">
        <v>200.0</v>
      </c>
      <c r="C96" s="135">
        <v>190.0</v>
      </c>
      <c r="D96" s="138">
        <f t="shared" si="28"/>
        <v>10</v>
      </c>
      <c r="E96" s="140">
        <f t="shared" si="29"/>
        <v>0.95</v>
      </c>
      <c r="F96" s="141">
        <v>0.004409722222222222</v>
      </c>
      <c r="G96" s="145">
        <f t="shared" si="30"/>
        <v>4.5</v>
      </c>
      <c r="H96" s="145">
        <f t="shared" si="31"/>
        <v>3.83</v>
      </c>
    </row>
    <row r="97" hidden="1" outlineLevel="1">
      <c r="A97" s="90" t="s">
        <v>13</v>
      </c>
      <c r="B97" s="135">
        <v>147.0</v>
      </c>
      <c r="C97" s="135">
        <v>142.0</v>
      </c>
      <c r="D97" s="138">
        <f t="shared" si="28"/>
        <v>5</v>
      </c>
      <c r="E97" s="140">
        <f t="shared" si="29"/>
        <v>0.9659863946</v>
      </c>
      <c r="F97" s="141">
        <v>0.0033680555555555556</v>
      </c>
      <c r="G97" s="145">
        <f t="shared" si="30"/>
        <v>4.5</v>
      </c>
      <c r="H97" s="145">
        <f t="shared" si="31"/>
        <v>4.58</v>
      </c>
    </row>
    <row r="98" hidden="1" outlineLevel="1">
      <c r="A98" s="90" t="s">
        <v>64</v>
      </c>
      <c r="B98" s="135">
        <v>108.0</v>
      </c>
      <c r="C98" s="135">
        <v>106.0</v>
      </c>
      <c r="D98" s="138">
        <f t="shared" si="28"/>
        <v>2</v>
      </c>
      <c r="E98" s="140">
        <f t="shared" si="29"/>
        <v>0.9814814815</v>
      </c>
      <c r="F98" s="141">
        <v>0.004178240740740741</v>
      </c>
      <c r="G98" s="145">
        <f t="shared" si="30"/>
        <v>5</v>
      </c>
      <c r="H98" s="145">
        <f t="shared" si="31"/>
        <v>3.99</v>
      </c>
    </row>
    <row r="99" hidden="1" outlineLevel="1"/>
    <row r="100" hidden="1" outlineLevel="1"/>
    <row r="101" hidden="1" outlineLevel="1">
      <c r="B101" s="60" t="s">
        <v>160</v>
      </c>
      <c r="H101" s="57" t="s">
        <v>162</v>
      </c>
    </row>
    <row r="102" hidden="1" outlineLevel="1">
      <c r="A102" s="74" t="s">
        <v>73</v>
      </c>
      <c r="B102" s="74" t="s">
        <v>235</v>
      </c>
      <c r="C102" s="74" t="s">
        <v>236</v>
      </c>
      <c r="D102" s="74" t="s">
        <v>166</v>
      </c>
      <c r="E102" s="74" t="s">
        <v>167</v>
      </c>
      <c r="F102" s="74" t="s">
        <v>168</v>
      </c>
      <c r="H102" s="162" t="s">
        <v>169</v>
      </c>
    </row>
    <row r="103" ht="19.5" hidden="1" customHeight="1" outlineLevel="1">
      <c r="A103" s="84"/>
      <c r="B103" s="84"/>
      <c r="C103" s="84"/>
      <c r="D103" s="84"/>
      <c r="E103" s="84"/>
      <c r="F103" s="84"/>
      <c r="H103" s="162" t="s">
        <v>171</v>
      </c>
    </row>
    <row r="104" hidden="1" outlineLevel="1">
      <c r="A104" s="90" t="s">
        <v>88</v>
      </c>
      <c r="B104" s="163">
        <v>1.0</v>
      </c>
      <c r="C104" s="163">
        <v>1.0</v>
      </c>
      <c r="D104" s="169">
        <f t="shared" ref="D104:D111" si="32">(B104*0.3)+(C104*0.1)</f>
        <v>0.4</v>
      </c>
      <c r="E104" s="169">
        <f t="shared" ref="E104:E111" si="33">(L79+G91+H91)/15*0.3</f>
        <v>0.27</v>
      </c>
      <c r="F104" s="173">
        <f t="shared" ref="F104:F111" si="34">(E104/30%)*10</f>
        <v>9</v>
      </c>
      <c r="H104" s="162" t="s">
        <v>173</v>
      </c>
    </row>
    <row r="105" hidden="1" outlineLevel="1">
      <c r="A105" s="90" t="s">
        <v>118</v>
      </c>
      <c r="B105" s="163">
        <v>1.0</v>
      </c>
      <c r="C105" s="163">
        <v>1.0</v>
      </c>
      <c r="D105" s="169">
        <f t="shared" si="32"/>
        <v>0.4</v>
      </c>
      <c r="E105" s="169">
        <f t="shared" si="33"/>
        <v>0.2716</v>
      </c>
      <c r="F105" s="173">
        <f t="shared" si="34"/>
        <v>9.053333333</v>
      </c>
    </row>
    <row r="106" hidden="1" outlineLevel="1">
      <c r="A106" s="90" t="s">
        <v>19</v>
      </c>
      <c r="B106" s="163">
        <v>0.7</v>
      </c>
      <c r="C106" s="163">
        <v>1.0</v>
      </c>
      <c r="D106" s="169">
        <f t="shared" si="32"/>
        <v>0.31</v>
      </c>
      <c r="E106" s="169">
        <f t="shared" si="33"/>
        <v>0.274</v>
      </c>
      <c r="F106" s="173">
        <f t="shared" si="34"/>
        <v>9.133333333</v>
      </c>
      <c r="H106" s="57" t="s">
        <v>175</v>
      </c>
    </row>
    <row r="107" hidden="1" outlineLevel="1">
      <c r="A107" s="90" t="s">
        <v>120</v>
      </c>
      <c r="B107" s="163">
        <v>0.7</v>
      </c>
      <c r="C107" s="163">
        <v>1.0</v>
      </c>
      <c r="D107" s="169">
        <f t="shared" si="32"/>
        <v>0.31</v>
      </c>
      <c r="E107" s="169">
        <f t="shared" si="33"/>
        <v>0.264</v>
      </c>
      <c r="F107" s="173">
        <f t="shared" si="34"/>
        <v>8.8</v>
      </c>
      <c r="H107" s="183" t="s">
        <v>177</v>
      </c>
      <c r="J107" s="184" t="s">
        <v>178</v>
      </c>
    </row>
    <row r="108" hidden="1" outlineLevel="1">
      <c r="A108" s="90" t="s">
        <v>22</v>
      </c>
      <c r="B108" s="163">
        <v>1.0</v>
      </c>
      <c r="C108" s="163">
        <v>1.0</v>
      </c>
      <c r="D108" s="169">
        <f t="shared" si="32"/>
        <v>0.4</v>
      </c>
      <c r="E108" s="169">
        <f t="shared" si="33"/>
        <v>0.29</v>
      </c>
      <c r="F108" s="173">
        <f t="shared" si="34"/>
        <v>9.666666667</v>
      </c>
      <c r="H108" s="183" t="s">
        <v>179</v>
      </c>
      <c r="J108" s="184" t="s">
        <v>180</v>
      </c>
    </row>
    <row r="109" hidden="1" outlineLevel="1">
      <c r="A109" s="90" t="s">
        <v>129</v>
      </c>
      <c r="B109" s="163">
        <v>1.0</v>
      </c>
      <c r="C109" s="163">
        <v>1.0</v>
      </c>
      <c r="D109" s="169">
        <f t="shared" si="32"/>
        <v>0.4</v>
      </c>
      <c r="E109" s="169">
        <f t="shared" si="33"/>
        <v>0.2666</v>
      </c>
      <c r="F109" s="173">
        <f t="shared" si="34"/>
        <v>8.886666667</v>
      </c>
    </row>
    <row r="110" hidden="1" outlineLevel="1">
      <c r="A110" s="90" t="s">
        <v>13</v>
      </c>
      <c r="B110" s="163">
        <v>1.0</v>
      </c>
      <c r="C110" s="163">
        <v>1.0</v>
      </c>
      <c r="D110" s="169">
        <f t="shared" si="32"/>
        <v>0.4</v>
      </c>
      <c r="E110" s="169">
        <f t="shared" si="33"/>
        <v>0.2816</v>
      </c>
      <c r="F110" s="173">
        <f t="shared" si="34"/>
        <v>9.386666667</v>
      </c>
    </row>
    <row r="111" hidden="1" outlineLevel="1">
      <c r="A111" s="90" t="s">
        <v>64</v>
      </c>
      <c r="B111" s="163">
        <v>1.0</v>
      </c>
      <c r="C111" s="163">
        <v>1.0</v>
      </c>
      <c r="D111" s="169">
        <f t="shared" si="32"/>
        <v>0.4</v>
      </c>
      <c r="E111" s="169">
        <f t="shared" si="33"/>
        <v>0.2198</v>
      </c>
      <c r="F111" s="173">
        <f t="shared" si="34"/>
        <v>7.326666667</v>
      </c>
    </row>
    <row r="112" collapsed="1">
      <c r="A112" s="57"/>
      <c r="B112" s="60" t="s">
        <v>261</v>
      </c>
    </row>
    <row r="113" hidden="1" outlineLevel="1">
      <c r="B113" s="60" t="s">
        <v>71</v>
      </c>
    </row>
    <row r="114" hidden="1" outlineLevel="1">
      <c r="A114" s="74" t="s">
        <v>73</v>
      </c>
      <c r="B114" s="74" t="s">
        <v>77</v>
      </c>
      <c r="C114" s="74" t="s">
        <v>78</v>
      </c>
      <c r="D114" s="76">
        <v>46258.0</v>
      </c>
      <c r="E114" s="76">
        <v>46259.0</v>
      </c>
      <c r="F114" s="76">
        <v>46260.0</v>
      </c>
      <c r="G114" s="76">
        <v>46261.0</v>
      </c>
      <c r="H114" s="76">
        <v>46262.0</v>
      </c>
      <c r="I114" s="76">
        <v>46263.0</v>
      </c>
      <c r="J114" s="76">
        <v>46264.0</v>
      </c>
      <c r="K114" s="82" t="s">
        <v>82</v>
      </c>
      <c r="L114" s="82" t="s">
        <v>84</v>
      </c>
    </row>
    <row r="115" hidden="1" outlineLevel="1">
      <c r="A115" s="84"/>
      <c r="B115" s="84"/>
      <c r="C115" s="84"/>
      <c r="D115" s="87" t="str">
        <f t="shared" ref="D115:J115" si="35">text(D114,"ddd")</f>
        <v>Mon</v>
      </c>
      <c r="E115" s="87" t="str">
        <f t="shared" si="35"/>
        <v>Tue</v>
      </c>
      <c r="F115" s="87" t="str">
        <f t="shared" si="35"/>
        <v>Wed</v>
      </c>
      <c r="G115" s="87" t="str">
        <f t="shared" si="35"/>
        <v>Thu</v>
      </c>
      <c r="H115" s="87" t="str">
        <f t="shared" si="35"/>
        <v>Fri</v>
      </c>
      <c r="I115" s="87" t="str">
        <f t="shared" si="35"/>
        <v>Sat</v>
      </c>
      <c r="J115" s="87" t="str">
        <f t="shared" si="35"/>
        <v>Sun</v>
      </c>
      <c r="K115" s="84"/>
      <c r="L115" s="84"/>
    </row>
    <row r="116" hidden="1" outlineLevel="1">
      <c r="A116" s="90" t="s">
        <v>88</v>
      </c>
      <c r="B116" s="94">
        <f>25*5+15</f>
        <v>140</v>
      </c>
      <c r="C116" s="94">
        <f t="shared" ref="C116:C123" si="36">SUM(D116:J116)</f>
        <v>139</v>
      </c>
      <c r="D116" s="191">
        <v>37.0</v>
      </c>
      <c r="E116" s="191">
        <v>22.0</v>
      </c>
      <c r="F116" s="191">
        <v>25.0</v>
      </c>
      <c r="G116" s="191">
        <v>12.0</v>
      </c>
      <c r="H116" s="191" t="s">
        <v>92</v>
      </c>
      <c r="I116" s="191">
        <v>20.0</v>
      </c>
      <c r="J116" s="191">
        <v>23.0</v>
      </c>
      <c r="K116" s="103">
        <f t="shared" ref="K116:K123" si="37">iferror(C116/B116,"-")</f>
        <v>0.9928571429</v>
      </c>
      <c r="L116" s="109">
        <f t="shared" ref="L116:L123" si="38">(IF(K116="",(0),IF(K116&gt;=1,(5),IF(K116&gt;=0.9,(4),IF(K116&gt;=0.8,(3),IF(K116&gt;=0.69,(2),IF(K116&lt;=0.69,(1))))))))</f>
        <v>4</v>
      </c>
    </row>
    <row r="117" hidden="1" outlineLevel="1">
      <c r="A117" s="90" t="s">
        <v>118</v>
      </c>
      <c r="B117" s="94">
        <f>35*5</f>
        <v>175</v>
      </c>
      <c r="C117" s="94">
        <f t="shared" si="36"/>
        <v>155</v>
      </c>
      <c r="D117" s="191">
        <v>30.0</v>
      </c>
      <c r="E117" s="191">
        <v>29.0</v>
      </c>
      <c r="F117" s="191">
        <v>26.0</v>
      </c>
      <c r="G117" s="191">
        <v>34.0</v>
      </c>
      <c r="H117" s="191">
        <v>36.0</v>
      </c>
      <c r="I117" s="191" t="s">
        <v>92</v>
      </c>
      <c r="J117" s="191" t="s">
        <v>92</v>
      </c>
      <c r="K117" s="103">
        <f t="shared" si="37"/>
        <v>0.8857142857</v>
      </c>
      <c r="L117" s="109">
        <f t="shared" si="38"/>
        <v>3</v>
      </c>
    </row>
    <row r="118" hidden="1" outlineLevel="1">
      <c r="A118" s="90" t="s">
        <v>19</v>
      </c>
      <c r="B118" s="94">
        <f t="shared" ref="B118:B119" si="39">25*5+15</f>
        <v>140</v>
      </c>
      <c r="C118" s="94">
        <f t="shared" si="36"/>
        <v>134</v>
      </c>
      <c r="D118" s="191">
        <v>40.0</v>
      </c>
      <c r="E118" s="191">
        <v>23.0</v>
      </c>
      <c r="F118" s="191" t="s">
        <v>92</v>
      </c>
      <c r="G118" s="191">
        <v>21.0</v>
      </c>
      <c r="H118" s="191">
        <v>27.0</v>
      </c>
      <c r="I118" s="191">
        <v>23.0</v>
      </c>
      <c r="J118" s="191" t="s">
        <v>92</v>
      </c>
      <c r="K118" s="103">
        <f t="shared" si="37"/>
        <v>0.9571428571</v>
      </c>
      <c r="L118" s="109">
        <f t="shared" si="38"/>
        <v>4</v>
      </c>
    </row>
    <row r="119" hidden="1" outlineLevel="1">
      <c r="A119" s="90" t="s">
        <v>120</v>
      </c>
      <c r="B119" s="94">
        <f t="shared" si="39"/>
        <v>140</v>
      </c>
      <c r="C119" s="94">
        <f t="shared" si="36"/>
        <v>141</v>
      </c>
      <c r="D119" s="191">
        <v>30.0</v>
      </c>
      <c r="E119" s="191">
        <v>24.0</v>
      </c>
      <c r="F119" s="191">
        <v>22.0</v>
      </c>
      <c r="G119" s="191">
        <v>19.0</v>
      </c>
      <c r="H119" s="191" t="s">
        <v>92</v>
      </c>
      <c r="I119" s="191">
        <v>24.0</v>
      </c>
      <c r="J119" s="191">
        <v>22.0</v>
      </c>
      <c r="K119" s="103">
        <f t="shared" si="37"/>
        <v>1.007142857</v>
      </c>
      <c r="L119" s="109">
        <f t="shared" si="38"/>
        <v>5</v>
      </c>
    </row>
    <row r="120" hidden="1" outlineLevel="1">
      <c r="A120" s="90" t="s">
        <v>22</v>
      </c>
      <c r="B120" s="94">
        <f>30*4+10</f>
        <v>130</v>
      </c>
      <c r="C120" s="94">
        <f t="shared" si="36"/>
        <v>110</v>
      </c>
      <c r="D120" s="300" t="s">
        <v>197</v>
      </c>
      <c r="E120" s="191">
        <v>8.0</v>
      </c>
      <c r="F120" s="191">
        <v>37.0</v>
      </c>
      <c r="G120" s="191">
        <v>24.0</v>
      </c>
      <c r="H120" s="191">
        <v>24.0</v>
      </c>
      <c r="I120" s="191">
        <v>17.0</v>
      </c>
      <c r="J120" s="191" t="s">
        <v>92</v>
      </c>
      <c r="K120" s="103">
        <f t="shared" si="37"/>
        <v>0.8461538462</v>
      </c>
      <c r="L120" s="109">
        <f t="shared" si="38"/>
        <v>3</v>
      </c>
    </row>
    <row r="121" hidden="1" outlineLevel="1">
      <c r="A121" s="90" t="s">
        <v>129</v>
      </c>
      <c r="B121" s="94">
        <f>30*5+15</f>
        <v>165</v>
      </c>
      <c r="C121" s="94">
        <f t="shared" si="36"/>
        <v>178</v>
      </c>
      <c r="D121" s="191">
        <v>33.0</v>
      </c>
      <c r="E121" s="191">
        <v>24.0</v>
      </c>
      <c r="F121" s="191">
        <v>39.0</v>
      </c>
      <c r="G121" s="191">
        <v>35.0</v>
      </c>
      <c r="H121" s="191">
        <v>32.0</v>
      </c>
      <c r="I121" s="191">
        <v>15.0</v>
      </c>
      <c r="J121" s="191" t="s">
        <v>92</v>
      </c>
      <c r="K121" s="103">
        <f t="shared" si="37"/>
        <v>1.078787879</v>
      </c>
      <c r="L121" s="109">
        <f t="shared" si="38"/>
        <v>5</v>
      </c>
    </row>
    <row r="122" hidden="1" outlineLevel="1">
      <c r="A122" s="90" t="s">
        <v>13</v>
      </c>
      <c r="B122" s="94">
        <f>30*4</f>
        <v>120</v>
      </c>
      <c r="C122" s="94">
        <f t="shared" si="36"/>
        <v>107</v>
      </c>
      <c r="D122" s="191">
        <v>34.0</v>
      </c>
      <c r="E122" s="191">
        <v>32.0</v>
      </c>
      <c r="F122" s="191">
        <v>41.0</v>
      </c>
      <c r="G122" s="208" t="s">
        <v>196</v>
      </c>
      <c r="H122" s="300" t="s">
        <v>197</v>
      </c>
      <c r="I122" s="191" t="s">
        <v>92</v>
      </c>
      <c r="J122" s="191" t="s">
        <v>92</v>
      </c>
      <c r="K122" s="103">
        <f t="shared" si="37"/>
        <v>0.8916666667</v>
      </c>
      <c r="L122" s="109">
        <f t="shared" si="38"/>
        <v>3</v>
      </c>
    </row>
    <row r="123" hidden="1" outlineLevel="1">
      <c r="A123" s="90" t="s">
        <v>64</v>
      </c>
      <c r="B123" s="94">
        <f>25*5+15</f>
        <v>140</v>
      </c>
      <c r="C123" s="94">
        <f t="shared" si="36"/>
        <v>125</v>
      </c>
      <c r="D123" s="191">
        <v>16.0</v>
      </c>
      <c r="E123" s="191">
        <v>16.0</v>
      </c>
      <c r="F123" s="191" t="s">
        <v>92</v>
      </c>
      <c r="G123" s="191">
        <v>18.0</v>
      </c>
      <c r="H123" s="191">
        <v>33.0</v>
      </c>
      <c r="I123" s="191">
        <v>26.0</v>
      </c>
      <c r="J123" s="191">
        <v>16.0</v>
      </c>
      <c r="K123" s="103">
        <f t="shared" si="37"/>
        <v>0.8928571429</v>
      </c>
      <c r="L123" s="109">
        <f t="shared" si="38"/>
        <v>3</v>
      </c>
    </row>
    <row r="124" hidden="1" outlineLevel="1"/>
    <row r="125" hidden="1" outlineLevel="1">
      <c r="B125" s="60" t="s">
        <v>135</v>
      </c>
    </row>
    <row r="126" hidden="1" outlineLevel="1">
      <c r="A126" s="74" t="s">
        <v>73</v>
      </c>
      <c r="B126" s="74" t="s">
        <v>137</v>
      </c>
      <c r="C126" s="74" t="s">
        <v>138</v>
      </c>
      <c r="D126" s="74" t="s">
        <v>139</v>
      </c>
      <c r="E126" s="74" t="s">
        <v>140</v>
      </c>
      <c r="F126" s="74" t="s">
        <v>141</v>
      </c>
      <c r="G126" s="74" t="s">
        <v>143</v>
      </c>
      <c r="H126" s="74" t="s">
        <v>145</v>
      </c>
    </row>
    <row r="127" hidden="1" outlineLevel="1">
      <c r="A127" s="84"/>
      <c r="B127" s="84"/>
      <c r="C127" s="84"/>
      <c r="D127" s="84"/>
      <c r="E127" s="84"/>
      <c r="F127" s="84"/>
      <c r="G127" s="84"/>
      <c r="H127" s="84"/>
    </row>
    <row r="128" hidden="1" outlineLevel="1">
      <c r="A128" s="90" t="s">
        <v>88</v>
      </c>
      <c r="B128" s="135">
        <v>142.0</v>
      </c>
      <c r="C128" s="135">
        <v>139.0</v>
      </c>
      <c r="D128" s="138">
        <f t="shared" ref="D128:D135" si="40">B128-C128</f>
        <v>3</v>
      </c>
      <c r="E128" s="140">
        <f t="shared" ref="E128:E135" si="41">Iferror(C128/B128,"")</f>
        <v>0.9788732394</v>
      </c>
      <c r="F128" s="141">
        <v>0.0021759259259259258</v>
      </c>
      <c r="G128" s="145">
        <f t="shared" ref="G128:G135" si="42">IFERROR((IF(E128="",(0),IF(E128&gt;=0.98,(5),IF(E128&gt;=0.95,(4.5),IF(E128&gt;=0.9,(4),IF(E128&gt;=0.8,(3),IF(E128&lt;=0.69,(1)))))))),"")</f>
        <v>4.5</v>
      </c>
      <c r="H128" s="145">
        <f t="shared" ref="H128:H135" si="43">ROUND(
IF(F128="",
0,
MAX(1, 5 - MAX(0, (F128 - TIME(0,4,0)) / TIME(0,1,0) * 0.5))
),
2
)
</f>
        <v>5</v>
      </c>
    </row>
    <row r="129" hidden="1" outlineLevel="1">
      <c r="A129" s="90" t="s">
        <v>118</v>
      </c>
      <c r="B129" s="135">
        <v>156.0</v>
      </c>
      <c r="C129" s="135">
        <v>155.0</v>
      </c>
      <c r="D129" s="138">
        <f t="shared" si="40"/>
        <v>1</v>
      </c>
      <c r="E129" s="140">
        <f t="shared" si="41"/>
        <v>0.9935897436</v>
      </c>
      <c r="F129" s="141">
        <v>0.0037731481481481483</v>
      </c>
      <c r="G129" s="145">
        <f t="shared" si="42"/>
        <v>5</v>
      </c>
      <c r="H129" s="145">
        <f t="shared" si="43"/>
        <v>4.28</v>
      </c>
    </row>
    <row r="130" hidden="1" outlineLevel="1">
      <c r="A130" s="90" t="s">
        <v>19</v>
      </c>
      <c r="B130" s="135">
        <v>143.0</v>
      </c>
      <c r="C130" s="135">
        <v>134.0</v>
      </c>
      <c r="D130" s="138">
        <f t="shared" si="40"/>
        <v>9</v>
      </c>
      <c r="E130" s="140">
        <f t="shared" si="41"/>
        <v>0.9370629371</v>
      </c>
      <c r="F130" s="141">
        <v>0.0034375</v>
      </c>
      <c r="G130" s="145">
        <f t="shared" si="42"/>
        <v>4</v>
      </c>
      <c r="H130" s="145">
        <f t="shared" si="43"/>
        <v>4.53</v>
      </c>
    </row>
    <row r="131" hidden="1" outlineLevel="1">
      <c r="A131" s="90" t="s">
        <v>120</v>
      </c>
      <c r="B131" s="135">
        <v>147.0</v>
      </c>
      <c r="C131" s="135">
        <v>141.0</v>
      </c>
      <c r="D131" s="138">
        <f t="shared" si="40"/>
        <v>6</v>
      </c>
      <c r="E131" s="140">
        <f t="shared" si="41"/>
        <v>0.9591836735</v>
      </c>
      <c r="F131" s="141">
        <v>0.003275462962962963</v>
      </c>
      <c r="G131" s="145">
        <f t="shared" si="42"/>
        <v>4.5</v>
      </c>
      <c r="H131" s="145">
        <f t="shared" si="43"/>
        <v>4.64</v>
      </c>
    </row>
    <row r="132" hidden="1" outlineLevel="1">
      <c r="A132" s="90" t="s">
        <v>22</v>
      </c>
      <c r="B132" s="135">
        <v>111.0</v>
      </c>
      <c r="C132" s="135">
        <v>110.0</v>
      </c>
      <c r="D132" s="138">
        <f t="shared" si="40"/>
        <v>1</v>
      </c>
      <c r="E132" s="140">
        <f t="shared" si="41"/>
        <v>0.990990991</v>
      </c>
      <c r="F132" s="141">
        <v>0.002384259259259259</v>
      </c>
      <c r="G132" s="145">
        <f t="shared" si="42"/>
        <v>5</v>
      </c>
      <c r="H132" s="145">
        <f t="shared" si="43"/>
        <v>5</v>
      </c>
    </row>
    <row r="133" hidden="1" outlineLevel="1">
      <c r="A133" s="90" t="s">
        <v>129</v>
      </c>
      <c r="B133" s="135">
        <v>183.0</v>
      </c>
      <c r="C133" s="135">
        <v>178.0</v>
      </c>
      <c r="D133" s="138">
        <f t="shared" si="40"/>
        <v>5</v>
      </c>
      <c r="E133" s="140">
        <f t="shared" si="41"/>
        <v>0.9726775956</v>
      </c>
      <c r="F133" s="141">
        <v>0.004930555555555555</v>
      </c>
      <c r="G133" s="145">
        <f t="shared" si="42"/>
        <v>4.5</v>
      </c>
      <c r="H133" s="145">
        <f t="shared" si="43"/>
        <v>3.45</v>
      </c>
    </row>
    <row r="134" hidden="1" outlineLevel="1">
      <c r="A134" s="90" t="s">
        <v>13</v>
      </c>
      <c r="B134" s="135">
        <v>108.0</v>
      </c>
      <c r="C134" s="135">
        <v>107.0</v>
      </c>
      <c r="D134" s="138">
        <f t="shared" si="40"/>
        <v>1</v>
      </c>
      <c r="E134" s="140">
        <f t="shared" si="41"/>
        <v>0.9907407407</v>
      </c>
      <c r="F134" s="141">
        <v>0.003703703703703704</v>
      </c>
      <c r="G134" s="145">
        <f t="shared" si="42"/>
        <v>5</v>
      </c>
      <c r="H134" s="145">
        <f t="shared" si="43"/>
        <v>4.33</v>
      </c>
    </row>
    <row r="135" hidden="1" outlineLevel="1">
      <c r="A135" s="90" t="s">
        <v>64</v>
      </c>
      <c r="B135" s="135">
        <v>128.0</v>
      </c>
      <c r="C135" s="135">
        <v>125.0</v>
      </c>
      <c r="D135" s="138">
        <f t="shared" si="40"/>
        <v>3</v>
      </c>
      <c r="E135" s="140">
        <f t="shared" si="41"/>
        <v>0.9765625</v>
      </c>
      <c r="F135" s="141">
        <v>0.0043287037037037035</v>
      </c>
      <c r="G135" s="145">
        <f t="shared" si="42"/>
        <v>4.5</v>
      </c>
      <c r="H135" s="145">
        <f t="shared" si="43"/>
        <v>3.88</v>
      </c>
    </row>
    <row r="136" hidden="1" outlineLevel="1"/>
    <row r="137" hidden="1" outlineLevel="1"/>
    <row r="138" hidden="1" outlineLevel="1">
      <c r="B138" s="60" t="s">
        <v>160</v>
      </c>
      <c r="H138" s="57" t="s">
        <v>162</v>
      </c>
    </row>
    <row r="139" hidden="1" outlineLevel="1">
      <c r="A139" s="74" t="s">
        <v>73</v>
      </c>
      <c r="B139" s="74" t="s">
        <v>290</v>
      </c>
      <c r="C139" s="74" t="s">
        <v>291</v>
      </c>
      <c r="D139" s="74" t="s">
        <v>166</v>
      </c>
      <c r="E139" s="74" t="s">
        <v>167</v>
      </c>
      <c r="F139" s="74" t="s">
        <v>168</v>
      </c>
      <c r="H139" s="162" t="s">
        <v>169</v>
      </c>
    </row>
    <row r="140" ht="19.5" hidden="1" customHeight="1" outlineLevel="1">
      <c r="A140" s="84"/>
      <c r="B140" s="84"/>
      <c r="C140" s="84"/>
      <c r="D140" s="84"/>
      <c r="E140" s="84"/>
      <c r="F140" s="84"/>
      <c r="H140" s="162" t="s">
        <v>171</v>
      </c>
    </row>
    <row r="141" hidden="1" outlineLevel="1">
      <c r="A141" s="90" t="s">
        <v>88</v>
      </c>
      <c r="B141" s="163">
        <v>0.7</v>
      </c>
      <c r="C141" s="163">
        <v>1.0</v>
      </c>
      <c r="D141" s="169">
        <f t="shared" ref="D141:D148" si="44">(B141*0.3)+(C141*0.1)</f>
        <v>0.31</v>
      </c>
      <c r="E141" s="169">
        <f t="shared" ref="E141:E148" si="45">(L116+G128+H128)/15*0.3</f>
        <v>0.27</v>
      </c>
      <c r="F141" s="173">
        <f t="shared" ref="F141:F148" si="46">(E141/30%)*10</f>
        <v>9</v>
      </c>
      <c r="H141" s="162" t="s">
        <v>173</v>
      </c>
    </row>
    <row r="142" hidden="1" outlineLevel="1">
      <c r="A142" s="90" t="s">
        <v>118</v>
      </c>
      <c r="B142" s="163">
        <v>1.0</v>
      </c>
      <c r="C142" s="163">
        <v>1.0</v>
      </c>
      <c r="D142" s="169">
        <f t="shared" si="44"/>
        <v>0.4</v>
      </c>
      <c r="E142" s="169">
        <f t="shared" si="45"/>
        <v>0.2456</v>
      </c>
      <c r="F142" s="173">
        <f t="shared" si="46"/>
        <v>8.186666667</v>
      </c>
    </row>
    <row r="143" hidden="1" outlineLevel="1">
      <c r="A143" s="90" t="s">
        <v>19</v>
      </c>
      <c r="B143" s="163">
        <v>0.85</v>
      </c>
      <c r="C143" s="163">
        <v>1.0</v>
      </c>
      <c r="D143" s="169">
        <f t="shared" si="44"/>
        <v>0.355</v>
      </c>
      <c r="E143" s="169">
        <f t="shared" si="45"/>
        <v>0.2506</v>
      </c>
      <c r="F143" s="173">
        <f t="shared" si="46"/>
        <v>8.353333333</v>
      </c>
      <c r="H143" s="57" t="s">
        <v>175</v>
      </c>
    </row>
    <row r="144" hidden="1" outlineLevel="1">
      <c r="A144" s="90" t="s">
        <v>120</v>
      </c>
      <c r="B144" s="163">
        <v>1.0</v>
      </c>
      <c r="C144" s="163">
        <v>1.0</v>
      </c>
      <c r="D144" s="169">
        <f t="shared" si="44"/>
        <v>0.4</v>
      </c>
      <c r="E144" s="169">
        <f t="shared" si="45"/>
        <v>0.2828</v>
      </c>
      <c r="F144" s="173">
        <f t="shared" si="46"/>
        <v>9.426666667</v>
      </c>
      <c r="H144" s="183" t="s">
        <v>177</v>
      </c>
      <c r="J144" s="184" t="s">
        <v>178</v>
      </c>
    </row>
    <row r="145" hidden="1" outlineLevel="1">
      <c r="A145" s="90" t="s">
        <v>22</v>
      </c>
      <c r="B145" s="163">
        <v>1.0</v>
      </c>
      <c r="C145" s="163">
        <v>1.0</v>
      </c>
      <c r="D145" s="169">
        <f t="shared" si="44"/>
        <v>0.4</v>
      </c>
      <c r="E145" s="169">
        <f t="shared" si="45"/>
        <v>0.26</v>
      </c>
      <c r="F145" s="173">
        <f t="shared" si="46"/>
        <v>8.666666667</v>
      </c>
      <c r="H145" s="183" t="s">
        <v>179</v>
      </c>
      <c r="J145" s="184" t="s">
        <v>180</v>
      </c>
    </row>
    <row r="146" hidden="1" outlineLevel="1">
      <c r="A146" s="90" t="s">
        <v>129</v>
      </c>
      <c r="B146" s="163">
        <v>0.7</v>
      </c>
      <c r="C146" s="163">
        <v>1.0</v>
      </c>
      <c r="D146" s="169">
        <f t="shared" si="44"/>
        <v>0.31</v>
      </c>
      <c r="E146" s="169">
        <f t="shared" si="45"/>
        <v>0.259</v>
      </c>
      <c r="F146" s="173">
        <f t="shared" si="46"/>
        <v>8.633333333</v>
      </c>
    </row>
    <row r="147" hidden="1" outlineLevel="1">
      <c r="A147" s="90" t="s">
        <v>13</v>
      </c>
      <c r="B147" s="163">
        <v>1.0</v>
      </c>
      <c r="C147" s="163">
        <v>1.0</v>
      </c>
      <c r="D147" s="169">
        <f t="shared" si="44"/>
        <v>0.4</v>
      </c>
      <c r="E147" s="169">
        <f t="shared" si="45"/>
        <v>0.2466</v>
      </c>
      <c r="F147" s="173">
        <f t="shared" si="46"/>
        <v>8.22</v>
      </c>
    </row>
    <row r="148" hidden="1" outlineLevel="1">
      <c r="A148" s="90" t="s">
        <v>64</v>
      </c>
      <c r="B148" s="163">
        <v>1.0</v>
      </c>
      <c r="C148" s="163">
        <v>1.0</v>
      </c>
      <c r="D148" s="169">
        <f t="shared" si="44"/>
        <v>0.4</v>
      </c>
      <c r="E148" s="169">
        <f t="shared" si="45"/>
        <v>0.2276</v>
      </c>
      <c r="F148" s="173">
        <f t="shared" si="46"/>
        <v>7.586666667</v>
      </c>
    </row>
    <row r="149" collapsed="1">
      <c r="A149" s="57"/>
      <c r="B149" s="60" t="s">
        <v>305</v>
      </c>
    </row>
    <row r="150" hidden="1" outlineLevel="1">
      <c r="B150" s="60" t="s">
        <v>71</v>
      </c>
    </row>
    <row r="151" hidden="1" outlineLevel="1">
      <c r="A151" s="74" t="s">
        <v>73</v>
      </c>
      <c r="B151" s="74" t="s">
        <v>77</v>
      </c>
      <c r="C151" s="74" t="s">
        <v>78</v>
      </c>
      <c r="D151" s="76">
        <v>46265.0</v>
      </c>
      <c r="E151" s="76">
        <v>46266.0</v>
      </c>
      <c r="F151" s="76">
        <v>46267.0</v>
      </c>
      <c r="G151" s="76">
        <v>46268.0</v>
      </c>
      <c r="H151" s="76">
        <v>46269.0</v>
      </c>
      <c r="I151" s="76">
        <v>46270.0</v>
      </c>
      <c r="J151" s="76">
        <v>46271.0</v>
      </c>
      <c r="K151" s="82" t="s">
        <v>82</v>
      </c>
      <c r="L151" s="82" t="s">
        <v>84</v>
      </c>
    </row>
    <row r="152" hidden="1" outlineLevel="1">
      <c r="A152" s="84"/>
      <c r="B152" s="84"/>
      <c r="C152" s="84"/>
      <c r="D152" s="87" t="str">
        <f t="shared" ref="D152:J152" si="47">text(D151,"ddd")</f>
        <v>Mon</v>
      </c>
      <c r="E152" s="87" t="str">
        <f t="shared" si="47"/>
        <v>Tue</v>
      </c>
      <c r="F152" s="87" t="str">
        <f t="shared" si="47"/>
        <v>Wed</v>
      </c>
      <c r="G152" s="87" t="str">
        <f t="shared" si="47"/>
        <v>Thu</v>
      </c>
      <c r="H152" s="87" t="str">
        <f t="shared" si="47"/>
        <v>Fri</v>
      </c>
      <c r="I152" s="87" t="str">
        <f t="shared" si="47"/>
        <v>Sat</v>
      </c>
      <c r="J152" s="87" t="str">
        <f t="shared" si="47"/>
        <v>Sun</v>
      </c>
      <c r="K152" s="84"/>
      <c r="L152" s="84"/>
    </row>
    <row r="153" hidden="1" outlineLevel="1">
      <c r="A153" s="90" t="s">
        <v>88</v>
      </c>
      <c r="B153" s="94">
        <f>25*5+15</f>
        <v>140</v>
      </c>
      <c r="C153" s="94">
        <f t="shared" ref="C153:C160" si="48">SUM(D153:J153)</f>
        <v>141</v>
      </c>
      <c r="D153" s="191">
        <v>26.0</v>
      </c>
      <c r="E153" s="191">
        <v>25.0</v>
      </c>
      <c r="F153" s="191">
        <v>30.0</v>
      </c>
      <c r="G153" s="191">
        <v>40.0</v>
      </c>
      <c r="H153" s="191">
        <v>20.0</v>
      </c>
      <c r="I153" s="191" t="s">
        <v>92</v>
      </c>
      <c r="J153" s="191" t="s">
        <v>92</v>
      </c>
      <c r="K153" s="103">
        <f t="shared" ref="K153:K160" si="49">iferror(C153/B153,"-")</f>
        <v>1.007142857</v>
      </c>
      <c r="L153" s="109">
        <f t="shared" ref="L153:L160" si="50">(IF(K153="",(0),IF(K153&gt;=1,(5),IF(K153&gt;=0.9,(4),IF(K153&gt;=0.8,(3),IF(K153&gt;=0.69,(2),IF(K153&lt;=0.69,(1))))))))</f>
        <v>5</v>
      </c>
    </row>
    <row r="154" hidden="1" outlineLevel="1">
      <c r="A154" s="90" t="s">
        <v>118</v>
      </c>
      <c r="B154" s="94">
        <f>35*5</f>
        <v>175</v>
      </c>
      <c r="C154" s="94">
        <f t="shared" si="48"/>
        <v>160</v>
      </c>
      <c r="D154" s="191">
        <v>26.0</v>
      </c>
      <c r="E154" s="191">
        <v>32.0</v>
      </c>
      <c r="F154" s="191">
        <v>28.0</v>
      </c>
      <c r="G154" s="191">
        <v>40.0</v>
      </c>
      <c r="H154" s="191">
        <v>34.0</v>
      </c>
      <c r="I154" s="191" t="s">
        <v>92</v>
      </c>
      <c r="J154" s="191" t="s">
        <v>92</v>
      </c>
      <c r="K154" s="103">
        <f t="shared" si="49"/>
        <v>0.9142857143</v>
      </c>
      <c r="L154" s="109">
        <f t="shared" si="50"/>
        <v>4</v>
      </c>
    </row>
    <row r="155" hidden="1" outlineLevel="1">
      <c r="A155" s="90" t="s">
        <v>19</v>
      </c>
      <c r="B155" s="94">
        <f t="shared" ref="B155:B156" si="51">25*5+15</f>
        <v>140</v>
      </c>
      <c r="C155" s="94">
        <f t="shared" si="48"/>
        <v>168</v>
      </c>
      <c r="D155" s="191">
        <v>36.0</v>
      </c>
      <c r="E155" s="191">
        <v>32.0</v>
      </c>
      <c r="F155" s="191" t="s">
        <v>92</v>
      </c>
      <c r="G155" s="191">
        <v>35.0</v>
      </c>
      <c r="H155" s="191">
        <v>30.0</v>
      </c>
      <c r="I155" s="191">
        <v>23.0</v>
      </c>
      <c r="J155" s="191">
        <v>12.0</v>
      </c>
      <c r="K155" s="103">
        <f t="shared" si="49"/>
        <v>1.2</v>
      </c>
      <c r="L155" s="109">
        <f t="shared" si="50"/>
        <v>5</v>
      </c>
    </row>
    <row r="156" hidden="1" outlineLevel="1">
      <c r="A156" s="90" t="s">
        <v>120</v>
      </c>
      <c r="B156" s="94">
        <f t="shared" si="51"/>
        <v>140</v>
      </c>
      <c r="C156" s="94">
        <f t="shared" si="48"/>
        <v>146</v>
      </c>
      <c r="D156" s="191">
        <v>20.0</v>
      </c>
      <c r="E156" s="191">
        <v>36.0</v>
      </c>
      <c r="F156" s="191">
        <v>20.0</v>
      </c>
      <c r="G156" s="191">
        <v>27.0</v>
      </c>
      <c r="H156" s="191" t="s">
        <v>92</v>
      </c>
      <c r="I156" s="191">
        <v>26.0</v>
      </c>
      <c r="J156" s="191">
        <v>17.0</v>
      </c>
      <c r="K156" s="103">
        <f t="shared" si="49"/>
        <v>1.042857143</v>
      </c>
      <c r="L156" s="109">
        <f t="shared" si="50"/>
        <v>5</v>
      </c>
    </row>
    <row r="157" hidden="1" outlineLevel="1">
      <c r="A157" s="90" t="s">
        <v>22</v>
      </c>
      <c r="B157" s="94">
        <f>30*4+10</f>
        <v>130</v>
      </c>
      <c r="C157" s="94">
        <f t="shared" si="48"/>
        <v>149</v>
      </c>
      <c r="D157" s="191">
        <v>34.0</v>
      </c>
      <c r="E157" s="191">
        <v>26.0</v>
      </c>
      <c r="F157" s="191">
        <v>39.0</v>
      </c>
      <c r="G157" s="191" t="s">
        <v>92</v>
      </c>
      <c r="H157" s="191">
        <v>15.0</v>
      </c>
      <c r="I157" s="191">
        <v>15.0</v>
      </c>
      <c r="J157" s="191">
        <v>20.0</v>
      </c>
      <c r="K157" s="103">
        <f t="shared" si="49"/>
        <v>1.146153846</v>
      </c>
      <c r="L157" s="109">
        <f t="shared" si="50"/>
        <v>5</v>
      </c>
    </row>
    <row r="158" hidden="1" outlineLevel="1">
      <c r="A158" s="90" t="s">
        <v>129</v>
      </c>
      <c r="B158" s="94">
        <f>30*5+15</f>
        <v>165</v>
      </c>
      <c r="C158" s="94">
        <f t="shared" si="48"/>
        <v>183</v>
      </c>
      <c r="D158" s="191">
        <v>38.0</v>
      </c>
      <c r="E158" s="191">
        <v>28.0</v>
      </c>
      <c r="F158" s="191">
        <v>46.0</v>
      </c>
      <c r="G158" s="191">
        <v>28.0</v>
      </c>
      <c r="H158" s="191">
        <v>27.0</v>
      </c>
      <c r="I158" s="191">
        <v>16.0</v>
      </c>
      <c r="J158" s="191" t="s">
        <v>92</v>
      </c>
      <c r="K158" s="103">
        <f t="shared" si="49"/>
        <v>1.109090909</v>
      </c>
      <c r="L158" s="109">
        <f t="shared" si="50"/>
        <v>5</v>
      </c>
    </row>
    <row r="159" hidden="1" outlineLevel="1">
      <c r="A159" s="90" t="s">
        <v>13</v>
      </c>
      <c r="B159" s="94">
        <f>30*4</f>
        <v>120</v>
      </c>
      <c r="C159" s="94">
        <f t="shared" si="48"/>
        <v>190</v>
      </c>
      <c r="D159" s="191">
        <v>38.0</v>
      </c>
      <c r="E159" s="191">
        <v>35.0</v>
      </c>
      <c r="F159" s="191">
        <v>53.0</v>
      </c>
      <c r="G159" s="191">
        <v>31.0</v>
      </c>
      <c r="H159" s="191">
        <v>33.0</v>
      </c>
      <c r="I159" s="191" t="s">
        <v>92</v>
      </c>
      <c r="J159" s="191" t="s">
        <v>92</v>
      </c>
      <c r="K159" s="103">
        <f t="shared" si="49"/>
        <v>1.583333333</v>
      </c>
      <c r="L159" s="109">
        <f t="shared" si="50"/>
        <v>5</v>
      </c>
    </row>
    <row r="160" hidden="1" outlineLevel="1">
      <c r="A160" s="90" t="s">
        <v>64</v>
      </c>
      <c r="B160" s="94">
        <f>25*3+15</f>
        <v>90</v>
      </c>
      <c r="C160" s="94">
        <f t="shared" si="48"/>
        <v>84</v>
      </c>
      <c r="D160" s="191">
        <v>26.0</v>
      </c>
      <c r="E160" s="191" t="s">
        <v>92</v>
      </c>
      <c r="F160" s="191" t="s">
        <v>92</v>
      </c>
      <c r="G160" s="323" t="s">
        <v>197</v>
      </c>
      <c r="H160" s="191">
        <v>23.0</v>
      </c>
      <c r="I160" s="191">
        <v>23.0</v>
      </c>
      <c r="J160" s="191">
        <v>12.0</v>
      </c>
      <c r="K160" s="103">
        <f t="shared" si="49"/>
        <v>0.9333333333</v>
      </c>
      <c r="L160" s="109">
        <f t="shared" si="50"/>
        <v>4</v>
      </c>
    </row>
    <row r="161" hidden="1" outlineLevel="1"/>
    <row r="162" hidden="1" outlineLevel="1">
      <c r="B162" s="60" t="s">
        <v>135</v>
      </c>
    </row>
    <row r="163" hidden="1" outlineLevel="1">
      <c r="A163" s="74" t="s">
        <v>73</v>
      </c>
      <c r="B163" s="74" t="s">
        <v>137</v>
      </c>
      <c r="C163" s="74" t="s">
        <v>138</v>
      </c>
      <c r="D163" s="74" t="s">
        <v>139</v>
      </c>
      <c r="E163" s="74" t="s">
        <v>140</v>
      </c>
      <c r="F163" s="74" t="s">
        <v>141</v>
      </c>
      <c r="G163" s="74" t="s">
        <v>143</v>
      </c>
      <c r="H163" s="74" t="s">
        <v>145</v>
      </c>
    </row>
    <row r="164" hidden="1" outlineLevel="1">
      <c r="A164" s="84"/>
      <c r="B164" s="84"/>
      <c r="C164" s="84"/>
      <c r="D164" s="84"/>
      <c r="E164" s="84"/>
      <c r="F164" s="84"/>
      <c r="G164" s="84"/>
      <c r="H164" s="84"/>
    </row>
    <row r="165" hidden="1" outlineLevel="1">
      <c r="A165" s="90" t="s">
        <v>88</v>
      </c>
      <c r="B165" s="135">
        <v>142.0</v>
      </c>
      <c r="C165" s="135">
        <v>141.0</v>
      </c>
      <c r="D165" s="138">
        <f t="shared" ref="D165:D172" si="52">B165-C165</f>
        <v>1</v>
      </c>
      <c r="E165" s="140">
        <f t="shared" ref="E165:E172" si="53">Iferror(C165/B165,"")</f>
        <v>0.9929577465</v>
      </c>
      <c r="F165" s="141">
        <v>0.002002314814814815</v>
      </c>
      <c r="G165" s="145">
        <f t="shared" ref="G165:G172" si="54">IFERROR((IF(E165="",(0),IF(E165&gt;=0.98,(5),IF(E165&gt;=0.95,(4.5),IF(E165&gt;=0.9,(4),IF(E165&gt;=0.8,(3),IF(E165&lt;=0.69,(1)))))))),"")</f>
        <v>5</v>
      </c>
      <c r="H165" s="145">
        <f t="shared" ref="H165:H172" si="55">ROUND(
IF(F165="",
0,
MAX(1, 5 - MAX(0, (F165 - TIME(0,4,0)) / TIME(0,1,0) * 0.5))
),
2
)
</f>
        <v>5</v>
      </c>
    </row>
    <row r="166" hidden="1" outlineLevel="1">
      <c r="A166" s="90" t="s">
        <v>118</v>
      </c>
      <c r="B166" s="135">
        <v>165.0</v>
      </c>
      <c r="C166" s="135">
        <v>160.0</v>
      </c>
      <c r="D166" s="138">
        <f t="shared" si="52"/>
        <v>5</v>
      </c>
      <c r="E166" s="140">
        <f t="shared" si="53"/>
        <v>0.9696969697</v>
      </c>
      <c r="F166" s="141">
        <v>0.003738425925925926</v>
      </c>
      <c r="G166" s="145">
        <f t="shared" si="54"/>
        <v>4.5</v>
      </c>
      <c r="H166" s="145">
        <f t="shared" si="55"/>
        <v>4.31</v>
      </c>
    </row>
    <row r="167" hidden="1" outlineLevel="1">
      <c r="A167" s="90" t="s">
        <v>19</v>
      </c>
      <c r="B167" s="135">
        <v>174.0</v>
      </c>
      <c r="C167" s="135">
        <v>168.0</v>
      </c>
      <c r="D167" s="138">
        <f t="shared" si="52"/>
        <v>6</v>
      </c>
      <c r="E167" s="140">
        <f t="shared" si="53"/>
        <v>0.9655172414</v>
      </c>
      <c r="F167" s="141">
        <v>0.0032407407407407406</v>
      </c>
      <c r="G167" s="145">
        <f t="shared" si="54"/>
        <v>4.5</v>
      </c>
      <c r="H167" s="145">
        <f t="shared" si="55"/>
        <v>4.67</v>
      </c>
    </row>
    <row r="168" hidden="1" outlineLevel="1">
      <c r="A168" s="90" t="s">
        <v>120</v>
      </c>
      <c r="B168" s="135">
        <v>158.0</v>
      </c>
      <c r="C168" s="135">
        <v>149.0</v>
      </c>
      <c r="D168" s="138">
        <f t="shared" si="52"/>
        <v>9</v>
      </c>
      <c r="E168" s="140">
        <f t="shared" si="53"/>
        <v>0.9430379747</v>
      </c>
      <c r="F168" s="141">
        <v>0.0031944444444444446</v>
      </c>
      <c r="G168" s="145">
        <f t="shared" si="54"/>
        <v>4</v>
      </c>
      <c r="H168" s="145">
        <f t="shared" si="55"/>
        <v>4.7</v>
      </c>
    </row>
    <row r="169" hidden="1" outlineLevel="1">
      <c r="A169" s="90" t="s">
        <v>22</v>
      </c>
      <c r="B169" s="135">
        <v>157.0</v>
      </c>
      <c r="C169" s="135">
        <v>149.0</v>
      </c>
      <c r="D169" s="138">
        <f t="shared" si="52"/>
        <v>8</v>
      </c>
      <c r="E169" s="140">
        <f t="shared" si="53"/>
        <v>0.949044586</v>
      </c>
      <c r="F169" s="141">
        <v>0.0021643518518518518</v>
      </c>
      <c r="G169" s="145">
        <f t="shared" si="54"/>
        <v>4</v>
      </c>
      <c r="H169" s="145">
        <f t="shared" si="55"/>
        <v>5</v>
      </c>
    </row>
    <row r="170" hidden="1" outlineLevel="1">
      <c r="A170" s="90" t="s">
        <v>129</v>
      </c>
      <c r="B170" s="135">
        <v>194.0</v>
      </c>
      <c r="C170" s="135">
        <v>183.0</v>
      </c>
      <c r="D170" s="138">
        <f t="shared" si="52"/>
        <v>11</v>
      </c>
      <c r="E170" s="140">
        <f t="shared" si="53"/>
        <v>0.9432989691</v>
      </c>
      <c r="F170" s="141">
        <v>0.004583333333333333</v>
      </c>
      <c r="G170" s="145">
        <f t="shared" si="54"/>
        <v>4</v>
      </c>
      <c r="H170" s="145">
        <f t="shared" si="55"/>
        <v>3.7</v>
      </c>
    </row>
    <row r="171" hidden="1" outlineLevel="1">
      <c r="A171" s="90" t="s">
        <v>13</v>
      </c>
      <c r="B171" s="135">
        <v>195.0</v>
      </c>
      <c r="C171" s="135">
        <v>190.0</v>
      </c>
      <c r="D171" s="138">
        <f t="shared" si="52"/>
        <v>5</v>
      </c>
      <c r="E171" s="140">
        <f t="shared" si="53"/>
        <v>0.9743589744</v>
      </c>
      <c r="F171" s="141">
        <v>0.0035300925925925925</v>
      </c>
      <c r="G171" s="145">
        <f t="shared" si="54"/>
        <v>4.5</v>
      </c>
      <c r="H171" s="145">
        <f t="shared" si="55"/>
        <v>4.46</v>
      </c>
    </row>
    <row r="172" hidden="1" outlineLevel="1">
      <c r="A172" s="90" t="s">
        <v>64</v>
      </c>
      <c r="B172" s="135">
        <v>85.0</v>
      </c>
      <c r="C172" s="135">
        <v>84.0</v>
      </c>
      <c r="D172" s="138">
        <f t="shared" si="52"/>
        <v>1</v>
      </c>
      <c r="E172" s="140">
        <f t="shared" si="53"/>
        <v>0.9882352941</v>
      </c>
      <c r="F172" s="141">
        <v>0.004675925925925926</v>
      </c>
      <c r="G172" s="145">
        <f t="shared" si="54"/>
        <v>5</v>
      </c>
      <c r="H172" s="145">
        <f t="shared" si="55"/>
        <v>3.63</v>
      </c>
    </row>
    <row r="173" hidden="1" outlineLevel="1"/>
    <row r="174" hidden="1" outlineLevel="1"/>
    <row r="175" hidden="1" outlineLevel="1">
      <c r="B175" s="60" t="s">
        <v>160</v>
      </c>
      <c r="H175" s="57" t="s">
        <v>162</v>
      </c>
    </row>
    <row r="176" hidden="1" outlineLevel="1">
      <c r="A176" s="74" t="s">
        <v>73</v>
      </c>
      <c r="B176" s="74" t="s">
        <v>337</v>
      </c>
      <c r="C176" s="74" t="s">
        <v>338</v>
      </c>
      <c r="D176" s="74" t="s">
        <v>166</v>
      </c>
      <c r="E176" s="74" t="s">
        <v>167</v>
      </c>
      <c r="F176" s="74" t="s">
        <v>168</v>
      </c>
      <c r="H176" s="162" t="s">
        <v>169</v>
      </c>
    </row>
    <row r="177" ht="19.5" hidden="1" customHeight="1" outlineLevel="1">
      <c r="A177" s="84"/>
      <c r="B177" s="84"/>
      <c r="C177" s="84"/>
      <c r="D177" s="84"/>
      <c r="E177" s="84"/>
      <c r="F177" s="84"/>
      <c r="H177" s="162" t="s">
        <v>171</v>
      </c>
    </row>
    <row r="178" hidden="1" outlineLevel="1">
      <c r="A178" s="90" t="s">
        <v>88</v>
      </c>
      <c r="B178" s="163">
        <v>1.0</v>
      </c>
      <c r="C178" s="163">
        <v>1.0</v>
      </c>
      <c r="D178" s="169">
        <f t="shared" ref="D178:D185" si="56">(B178*0.3)+(C178*0.1)</f>
        <v>0.4</v>
      </c>
      <c r="E178" s="169">
        <f t="shared" ref="E178:E185" si="57">(L153+G165+H165)/15*0.3</f>
        <v>0.3</v>
      </c>
      <c r="F178" s="173">
        <f t="shared" ref="F178:F185" si="58">(E178/30%)*10</f>
        <v>10</v>
      </c>
      <c r="H178" s="162" t="s">
        <v>173</v>
      </c>
    </row>
    <row r="179" hidden="1" outlineLevel="1">
      <c r="A179" s="90" t="s">
        <v>118</v>
      </c>
      <c r="B179" s="163">
        <v>0.4</v>
      </c>
      <c r="C179" s="163">
        <v>1.0</v>
      </c>
      <c r="D179" s="169">
        <f t="shared" si="56"/>
        <v>0.22</v>
      </c>
      <c r="E179" s="169">
        <f t="shared" si="57"/>
        <v>0.2562</v>
      </c>
      <c r="F179" s="173">
        <f t="shared" si="58"/>
        <v>8.54</v>
      </c>
    </row>
    <row r="180" hidden="1" outlineLevel="1">
      <c r="A180" s="90" t="s">
        <v>19</v>
      </c>
      <c r="B180" s="163">
        <v>1.0</v>
      </c>
      <c r="C180" s="163">
        <v>1.0</v>
      </c>
      <c r="D180" s="169">
        <f t="shared" si="56"/>
        <v>0.4</v>
      </c>
      <c r="E180" s="169">
        <f t="shared" si="57"/>
        <v>0.2834</v>
      </c>
      <c r="F180" s="173">
        <f t="shared" si="58"/>
        <v>9.446666667</v>
      </c>
      <c r="H180" s="57" t="s">
        <v>175</v>
      </c>
    </row>
    <row r="181" hidden="1" outlineLevel="1">
      <c r="A181" s="90" t="s">
        <v>120</v>
      </c>
      <c r="B181" s="163">
        <v>1.0</v>
      </c>
      <c r="C181" s="163">
        <v>1.0</v>
      </c>
      <c r="D181" s="169">
        <f t="shared" si="56"/>
        <v>0.4</v>
      </c>
      <c r="E181" s="169">
        <f t="shared" si="57"/>
        <v>0.274</v>
      </c>
      <c r="F181" s="173">
        <f t="shared" si="58"/>
        <v>9.133333333</v>
      </c>
      <c r="H181" s="183" t="s">
        <v>177</v>
      </c>
      <c r="J181" s="184" t="s">
        <v>178</v>
      </c>
    </row>
    <row r="182" hidden="1" outlineLevel="1">
      <c r="A182" s="90" t="s">
        <v>22</v>
      </c>
      <c r="B182" s="163">
        <v>0.6</v>
      </c>
      <c r="C182" s="163">
        <v>1.0</v>
      </c>
      <c r="D182" s="169">
        <f t="shared" si="56"/>
        <v>0.28</v>
      </c>
      <c r="E182" s="169">
        <f t="shared" si="57"/>
        <v>0.28</v>
      </c>
      <c r="F182" s="173">
        <f t="shared" si="58"/>
        <v>9.333333333</v>
      </c>
      <c r="H182" s="183" t="s">
        <v>179</v>
      </c>
      <c r="J182" s="184" t="s">
        <v>180</v>
      </c>
    </row>
    <row r="183" hidden="1" outlineLevel="1">
      <c r="A183" s="90" t="s">
        <v>129</v>
      </c>
      <c r="B183" s="163">
        <v>1.0</v>
      </c>
      <c r="C183" s="163">
        <v>1.0</v>
      </c>
      <c r="D183" s="169">
        <f t="shared" si="56"/>
        <v>0.4</v>
      </c>
      <c r="E183" s="169">
        <f t="shared" si="57"/>
        <v>0.254</v>
      </c>
      <c r="F183" s="173">
        <f t="shared" si="58"/>
        <v>8.466666667</v>
      </c>
    </row>
    <row r="184" hidden="1" outlineLevel="1">
      <c r="A184" s="90" t="s">
        <v>13</v>
      </c>
      <c r="B184" s="163">
        <v>1.0</v>
      </c>
      <c r="C184" s="163">
        <v>1.0</v>
      </c>
      <c r="D184" s="169">
        <f t="shared" si="56"/>
        <v>0.4</v>
      </c>
      <c r="E184" s="169">
        <f t="shared" si="57"/>
        <v>0.2792</v>
      </c>
      <c r="F184" s="173">
        <f t="shared" si="58"/>
        <v>9.306666667</v>
      </c>
    </row>
    <row r="185" hidden="1" outlineLevel="1">
      <c r="A185" s="90" t="s">
        <v>64</v>
      </c>
      <c r="B185" s="163">
        <v>1.0</v>
      </c>
      <c r="C185" s="163">
        <v>1.0</v>
      </c>
      <c r="D185" s="169">
        <f t="shared" si="56"/>
        <v>0.4</v>
      </c>
      <c r="E185" s="169">
        <f t="shared" si="57"/>
        <v>0.2526</v>
      </c>
      <c r="F185" s="173">
        <f t="shared" si="58"/>
        <v>8.42</v>
      </c>
    </row>
    <row r="186" collapsed="1">
      <c r="A186" s="57"/>
      <c r="B186" s="60" t="s">
        <v>344</v>
      </c>
    </row>
    <row r="187" hidden="1" outlineLevel="1">
      <c r="B187" s="60" t="s">
        <v>71</v>
      </c>
    </row>
    <row r="188" hidden="1" outlineLevel="1">
      <c r="A188" s="74" t="s">
        <v>73</v>
      </c>
      <c r="B188" s="74" t="s">
        <v>77</v>
      </c>
      <c r="C188" s="74" t="s">
        <v>78</v>
      </c>
      <c r="D188" s="76">
        <v>46272.0</v>
      </c>
      <c r="E188" s="76">
        <v>46273.0</v>
      </c>
      <c r="F188" s="76">
        <v>46274.0</v>
      </c>
      <c r="G188" s="76">
        <v>46275.0</v>
      </c>
      <c r="H188" s="76">
        <v>46276.0</v>
      </c>
      <c r="I188" s="76">
        <v>46277.0</v>
      </c>
      <c r="J188" s="76">
        <v>46278.0</v>
      </c>
      <c r="K188" s="82" t="s">
        <v>82</v>
      </c>
      <c r="L188" s="82" t="s">
        <v>84</v>
      </c>
    </row>
    <row r="189" hidden="1" outlineLevel="1">
      <c r="A189" s="84"/>
      <c r="B189" s="84"/>
      <c r="C189" s="84"/>
      <c r="D189" s="87" t="str">
        <f t="shared" ref="D189:J189" si="59">text(D188,"ddd")</f>
        <v>Mon</v>
      </c>
      <c r="E189" s="87" t="str">
        <f t="shared" si="59"/>
        <v>Tue</v>
      </c>
      <c r="F189" s="87" t="str">
        <f t="shared" si="59"/>
        <v>Wed</v>
      </c>
      <c r="G189" s="87" t="str">
        <f t="shared" si="59"/>
        <v>Thu</v>
      </c>
      <c r="H189" s="87" t="str">
        <f t="shared" si="59"/>
        <v>Fri</v>
      </c>
      <c r="I189" s="87" t="str">
        <f t="shared" si="59"/>
        <v>Sat</v>
      </c>
      <c r="J189" s="87" t="str">
        <f t="shared" si="59"/>
        <v>Sun</v>
      </c>
      <c r="K189" s="84"/>
      <c r="L189" s="84"/>
    </row>
    <row r="190" hidden="1" outlineLevel="1">
      <c r="A190" s="90" t="s">
        <v>88</v>
      </c>
      <c r="B190" s="94">
        <f>10+(20*4)+10</f>
        <v>100</v>
      </c>
      <c r="C190" s="94">
        <f t="shared" ref="C190:C197" si="60">SUM(D190:J190)</f>
        <v>106</v>
      </c>
      <c r="D190" s="191">
        <v>11.0</v>
      </c>
      <c r="E190" s="191">
        <v>25.0</v>
      </c>
      <c r="F190" s="191">
        <v>26.0</v>
      </c>
      <c r="G190" s="191">
        <v>22.0</v>
      </c>
      <c r="H190" s="191">
        <v>13.0</v>
      </c>
      <c r="I190" s="191">
        <v>9.0</v>
      </c>
      <c r="J190" s="191" t="s">
        <v>92</v>
      </c>
      <c r="K190" s="103">
        <f t="shared" ref="K190:K197" si="61">iferror(C190/B190,"-")</f>
        <v>1.06</v>
      </c>
      <c r="L190" s="109">
        <f t="shared" ref="L190:L197" si="62">(IF(K190="",(0),IF(K190&gt;=1,(5),IF(K190&gt;=0.9,(4),IF(K190&gt;=0.8,(3),IF(K190&gt;=0.69,(2),IF(K190&lt;=0.69,(1))))))))</f>
        <v>5</v>
      </c>
    </row>
    <row r="191" hidden="1" outlineLevel="1">
      <c r="A191" s="90" t="s">
        <v>118</v>
      </c>
      <c r="B191" s="94">
        <f>35*5</f>
        <v>175</v>
      </c>
      <c r="C191" s="94">
        <f t="shared" si="60"/>
        <v>170</v>
      </c>
      <c r="D191" s="191">
        <v>28.0</v>
      </c>
      <c r="E191" s="191">
        <v>41.0</v>
      </c>
      <c r="F191" s="191">
        <v>31.0</v>
      </c>
      <c r="G191" s="191">
        <v>38.0</v>
      </c>
      <c r="H191" s="191">
        <v>32.0</v>
      </c>
      <c r="I191" s="191" t="s">
        <v>92</v>
      </c>
      <c r="J191" s="191" t="s">
        <v>92</v>
      </c>
      <c r="K191" s="103">
        <f t="shared" si="61"/>
        <v>0.9714285714</v>
      </c>
      <c r="L191" s="109">
        <f t="shared" si="62"/>
        <v>4</v>
      </c>
    </row>
    <row r="192" hidden="1" outlineLevel="1">
      <c r="A192" s="90" t="s">
        <v>19</v>
      </c>
      <c r="B192" s="94">
        <f>25*5+15</f>
        <v>140</v>
      </c>
      <c r="C192" s="94">
        <f t="shared" si="60"/>
        <v>145</v>
      </c>
      <c r="D192" s="191">
        <v>16.0</v>
      </c>
      <c r="E192" s="191">
        <v>32.0</v>
      </c>
      <c r="F192" s="191" t="s">
        <v>92</v>
      </c>
      <c r="G192" s="191">
        <v>35.0</v>
      </c>
      <c r="H192" s="191">
        <v>24.0</v>
      </c>
      <c r="I192" s="191">
        <v>27.0</v>
      </c>
      <c r="J192" s="191">
        <v>11.0</v>
      </c>
      <c r="K192" s="103">
        <f t="shared" si="61"/>
        <v>1.035714286</v>
      </c>
      <c r="L192" s="109">
        <f t="shared" si="62"/>
        <v>5</v>
      </c>
    </row>
    <row r="193" hidden="1" outlineLevel="1">
      <c r="A193" s="90" t="s">
        <v>120</v>
      </c>
      <c r="B193" s="94">
        <f>25*4+15+20</f>
        <v>135</v>
      </c>
      <c r="C193" s="94">
        <f t="shared" si="60"/>
        <v>129</v>
      </c>
      <c r="D193" s="191">
        <v>17.0</v>
      </c>
      <c r="E193" s="191">
        <v>36.0</v>
      </c>
      <c r="F193" s="191">
        <v>38.0</v>
      </c>
      <c r="G193" s="191">
        <v>32.0</v>
      </c>
      <c r="H193" s="191" t="s">
        <v>92</v>
      </c>
      <c r="I193" s="191" t="s">
        <v>92</v>
      </c>
      <c r="J193" s="191">
        <v>6.0</v>
      </c>
      <c r="K193" s="103">
        <f t="shared" si="61"/>
        <v>0.9555555556</v>
      </c>
      <c r="L193" s="109">
        <f t="shared" si="62"/>
        <v>4</v>
      </c>
    </row>
    <row r="194" hidden="1" outlineLevel="1">
      <c r="A194" s="90" t="s">
        <v>22</v>
      </c>
      <c r="B194" s="94">
        <f>30*4+10</f>
        <v>130</v>
      </c>
      <c r="C194" s="94">
        <f t="shared" si="60"/>
        <v>140</v>
      </c>
      <c r="D194" s="191">
        <v>10.0</v>
      </c>
      <c r="E194" s="191">
        <v>23.0</v>
      </c>
      <c r="F194" s="191">
        <v>46.0</v>
      </c>
      <c r="G194" s="191">
        <v>18.0</v>
      </c>
      <c r="H194" s="191" t="s">
        <v>92</v>
      </c>
      <c r="I194" s="191">
        <v>20.0</v>
      </c>
      <c r="J194" s="191">
        <v>23.0</v>
      </c>
      <c r="K194" s="103">
        <f t="shared" si="61"/>
        <v>1.076923077</v>
      </c>
      <c r="L194" s="109">
        <f t="shared" si="62"/>
        <v>5</v>
      </c>
    </row>
    <row r="195" hidden="1" outlineLevel="1">
      <c r="A195" s="90" t="s">
        <v>129</v>
      </c>
      <c r="B195" s="94">
        <f>30*5+15</f>
        <v>165</v>
      </c>
      <c r="C195" s="94">
        <f t="shared" si="60"/>
        <v>154</v>
      </c>
      <c r="D195" s="191" t="s">
        <v>92</v>
      </c>
      <c r="E195" s="191">
        <v>44.0</v>
      </c>
      <c r="F195" s="191">
        <v>41.0</v>
      </c>
      <c r="G195" s="191">
        <v>27.0</v>
      </c>
      <c r="H195" s="191">
        <v>25.0</v>
      </c>
      <c r="I195" s="191">
        <v>17.0</v>
      </c>
      <c r="J195" s="191" t="s">
        <v>92</v>
      </c>
      <c r="K195" s="103">
        <f t="shared" si="61"/>
        <v>0.9333333333</v>
      </c>
      <c r="L195" s="109">
        <f t="shared" si="62"/>
        <v>4</v>
      </c>
    </row>
    <row r="196" hidden="1" outlineLevel="1">
      <c r="A196" s="90" t="s">
        <v>13</v>
      </c>
      <c r="B196" s="94">
        <f>30*4</f>
        <v>120</v>
      </c>
      <c r="C196" s="94">
        <f t="shared" si="60"/>
        <v>72</v>
      </c>
      <c r="D196" s="191" t="s">
        <v>92</v>
      </c>
      <c r="E196" s="208" t="s">
        <v>196</v>
      </c>
      <c r="F196" s="208" t="s">
        <v>196</v>
      </c>
      <c r="G196" s="191">
        <v>31.0</v>
      </c>
      <c r="H196" s="191">
        <v>25.0</v>
      </c>
      <c r="I196" s="191">
        <v>16.0</v>
      </c>
      <c r="J196" s="191" t="s">
        <v>92</v>
      </c>
      <c r="K196" s="103">
        <f t="shared" si="61"/>
        <v>0.6</v>
      </c>
      <c r="L196" s="109">
        <f t="shared" si="62"/>
        <v>1</v>
      </c>
    </row>
    <row r="197" hidden="1" outlineLevel="1">
      <c r="A197" s="90" t="s">
        <v>64</v>
      </c>
      <c r="B197" s="94">
        <f>25*3+15</f>
        <v>90</v>
      </c>
      <c r="C197" s="94">
        <f t="shared" si="60"/>
        <v>95</v>
      </c>
      <c r="D197" s="191">
        <v>14.0</v>
      </c>
      <c r="E197" s="191">
        <v>18.0</v>
      </c>
      <c r="F197" s="191" t="s">
        <v>92</v>
      </c>
      <c r="G197" s="191" t="s">
        <v>92</v>
      </c>
      <c r="H197" s="191">
        <v>26.0</v>
      </c>
      <c r="I197" s="191">
        <v>22.0</v>
      </c>
      <c r="J197" s="191">
        <v>15.0</v>
      </c>
      <c r="K197" s="103">
        <f t="shared" si="61"/>
        <v>1.055555556</v>
      </c>
      <c r="L197" s="109">
        <f t="shared" si="62"/>
        <v>5</v>
      </c>
    </row>
    <row r="198" hidden="1" outlineLevel="1"/>
    <row r="199" hidden="1" outlineLevel="1">
      <c r="B199" s="60" t="s">
        <v>135</v>
      </c>
    </row>
    <row r="200" hidden="1" outlineLevel="1">
      <c r="A200" s="74" t="s">
        <v>73</v>
      </c>
      <c r="B200" s="74" t="s">
        <v>137</v>
      </c>
      <c r="C200" s="74" t="s">
        <v>138</v>
      </c>
      <c r="D200" s="74" t="s">
        <v>139</v>
      </c>
      <c r="E200" s="74" t="s">
        <v>140</v>
      </c>
      <c r="F200" s="74" t="s">
        <v>141</v>
      </c>
      <c r="G200" s="74" t="s">
        <v>143</v>
      </c>
      <c r="H200" s="74" t="s">
        <v>145</v>
      </c>
    </row>
    <row r="201" hidden="1" outlineLevel="1">
      <c r="A201" s="84"/>
      <c r="B201" s="84"/>
      <c r="C201" s="84"/>
      <c r="D201" s="84"/>
      <c r="E201" s="84"/>
      <c r="F201" s="84"/>
      <c r="G201" s="84"/>
      <c r="H201" s="84"/>
    </row>
    <row r="202" hidden="1" outlineLevel="1">
      <c r="A202" s="90" t="s">
        <v>88</v>
      </c>
      <c r="B202" s="135">
        <v>109.0</v>
      </c>
      <c r="C202" s="135">
        <v>106.0</v>
      </c>
      <c r="D202" s="138">
        <f t="shared" ref="D202:D209" si="63">B202-C202</f>
        <v>3</v>
      </c>
      <c r="E202" s="140">
        <f t="shared" ref="E202:E209" si="64">Iferror(C202/B202,"")</f>
        <v>0.9724770642</v>
      </c>
      <c r="F202" s="141">
        <v>0.002361111111111111</v>
      </c>
      <c r="G202" s="145">
        <f t="shared" ref="G202:G209" si="65">IFERROR((IF(E202="",(0),IF(E202&gt;=0.98,(5),IF(E202&gt;=0.95,(4.5),IF(E202&gt;=0.9,(4),IF(E202&gt;=0.8,(3),IF(E202&lt;=0.69,(1)))))))),"")</f>
        <v>4.5</v>
      </c>
      <c r="H202" s="145">
        <f t="shared" ref="H202:H209" si="66">ROUND(
IF(F202="",
0,
MAX(1, 5 - MAX(0, (F202 - TIME(0,4,0)) / TIME(0,1,0) * 0.5))
),
2
)
</f>
        <v>5</v>
      </c>
    </row>
    <row r="203" hidden="1" outlineLevel="1">
      <c r="A203" s="90" t="s">
        <v>118</v>
      </c>
      <c r="B203" s="135">
        <v>176.0</v>
      </c>
      <c r="C203" s="135">
        <v>170.0</v>
      </c>
      <c r="D203" s="138">
        <f t="shared" si="63"/>
        <v>6</v>
      </c>
      <c r="E203" s="140">
        <f t="shared" si="64"/>
        <v>0.9659090909</v>
      </c>
      <c r="F203" s="141">
        <v>0.003946759259259259</v>
      </c>
      <c r="G203" s="145">
        <f t="shared" si="65"/>
        <v>4.5</v>
      </c>
      <c r="H203" s="145">
        <f t="shared" si="66"/>
        <v>4.16</v>
      </c>
    </row>
    <row r="204" hidden="1" outlineLevel="1">
      <c r="A204" s="90" t="s">
        <v>19</v>
      </c>
      <c r="B204" s="135">
        <v>149.0</v>
      </c>
      <c r="C204" s="135">
        <v>145.0</v>
      </c>
      <c r="D204" s="138">
        <f t="shared" si="63"/>
        <v>4</v>
      </c>
      <c r="E204" s="140">
        <f t="shared" si="64"/>
        <v>0.9731543624</v>
      </c>
      <c r="F204" s="141">
        <v>0.003449074074074074</v>
      </c>
      <c r="G204" s="145">
        <f t="shared" si="65"/>
        <v>4.5</v>
      </c>
      <c r="H204" s="145">
        <f t="shared" si="66"/>
        <v>4.52</v>
      </c>
    </row>
    <row r="205" hidden="1" outlineLevel="1">
      <c r="A205" s="90" t="s">
        <v>120</v>
      </c>
      <c r="B205" s="135">
        <v>131.0</v>
      </c>
      <c r="C205" s="135">
        <v>129.0</v>
      </c>
      <c r="D205" s="138">
        <f t="shared" si="63"/>
        <v>2</v>
      </c>
      <c r="E205" s="140">
        <f t="shared" si="64"/>
        <v>0.9847328244</v>
      </c>
      <c r="F205" s="141">
        <v>0.0029745370370370373</v>
      </c>
      <c r="G205" s="145">
        <f t="shared" si="65"/>
        <v>5</v>
      </c>
      <c r="H205" s="145">
        <f t="shared" si="66"/>
        <v>4.86</v>
      </c>
    </row>
    <row r="206" hidden="1" outlineLevel="1">
      <c r="A206" s="90" t="s">
        <v>22</v>
      </c>
      <c r="B206" s="135">
        <v>142.0</v>
      </c>
      <c r="C206" s="135">
        <v>140.0</v>
      </c>
      <c r="D206" s="138">
        <f t="shared" si="63"/>
        <v>2</v>
      </c>
      <c r="E206" s="140">
        <f t="shared" si="64"/>
        <v>0.985915493</v>
      </c>
      <c r="F206" s="141">
        <v>0.002372685185185185</v>
      </c>
      <c r="G206" s="145">
        <f t="shared" si="65"/>
        <v>5</v>
      </c>
      <c r="H206" s="145">
        <f t="shared" si="66"/>
        <v>5</v>
      </c>
    </row>
    <row r="207" hidden="1" outlineLevel="1">
      <c r="A207" s="90" t="s">
        <v>129</v>
      </c>
      <c r="B207" s="135">
        <v>155.0</v>
      </c>
      <c r="C207" s="135">
        <v>154.0</v>
      </c>
      <c r="D207" s="138">
        <f t="shared" si="63"/>
        <v>1</v>
      </c>
      <c r="E207" s="140">
        <f t="shared" si="64"/>
        <v>0.9935483871</v>
      </c>
      <c r="F207" s="141">
        <v>0.004872685185185185</v>
      </c>
      <c r="G207" s="145">
        <f t="shared" si="65"/>
        <v>5</v>
      </c>
      <c r="H207" s="145">
        <f t="shared" si="66"/>
        <v>3.49</v>
      </c>
    </row>
    <row r="208" hidden="1" outlineLevel="1">
      <c r="A208" s="90" t="s">
        <v>13</v>
      </c>
      <c r="B208" s="135">
        <v>73.0</v>
      </c>
      <c r="C208" s="135">
        <v>72.0</v>
      </c>
      <c r="D208" s="138">
        <f t="shared" si="63"/>
        <v>1</v>
      </c>
      <c r="E208" s="140">
        <f t="shared" si="64"/>
        <v>0.9863013699</v>
      </c>
      <c r="F208" s="141">
        <v>0.0036805555555555554</v>
      </c>
      <c r="G208" s="145">
        <f t="shared" si="65"/>
        <v>5</v>
      </c>
      <c r="H208" s="145">
        <f t="shared" si="66"/>
        <v>4.35</v>
      </c>
    </row>
    <row r="209" hidden="1" outlineLevel="1">
      <c r="A209" s="90" t="s">
        <v>64</v>
      </c>
      <c r="B209" s="135">
        <v>97.0</v>
      </c>
      <c r="C209" s="135">
        <v>95.0</v>
      </c>
      <c r="D209" s="138">
        <f t="shared" si="63"/>
        <v>2</v>
      </c>
      <c r="E209" s="140">
        <f t="shared" si="64"/>
        <v>0.9793814433</v>
      </c>
      <c r="F209" s="141">
        <v>0.003946759259259259</v>
      </c>
      <c r="G209" s="145">
        <f t="shared" si="65"/>
        <v>4.5</v>
      </c>
      <c r="H209" s="145">
        <f t="shared" si="66"/>
        <v>4.16</v>
      </c>
    </row>
    <row r="210" hidden="1" outlineLevel="1"/>
    <row r="211" hidden="1" outlineLevel="1"/>
    <row r="212" hidden="1" outlineLevel="1">
      <c r="B212" s="60" t="s">
        <v>160</v>
      </c>
      <c r="H212" s="57" t="s">
        <v>162</v>
      </c>
    </row>
    <row r="213" hidden="1" outlineLevel="1">
      <c r="A213" s="74" t="s">
        <v>73</v>
      </c>
      <c r="B213" s="74" t="s">
        <v>366</v>
      </c>
      <c r="C213" s="74" t="s">
        <v>367</v>
      </c>
      <c r="D213" s="74" t="s">
        <v>166</v>
      </c>
      <c r="E213" s="74" t="s">
        <v>167</v>
      </c>
      <c r="F213" s="74" t="s">
        <v>168</v>
      </c>
      <c r="H213" s="162" t="s">
        <v>169</v>
      </c>
    </row>
    <row r="214" ht="19.5" hidden="1" customHeight="1" outlineLevel="1">
      <c r="A214" s="84"/>
      <c r="B214" s="84"/>
      <c r="C214" s="84"/>
      <c r="D214" s="84"/>
      <c r="E214" s="84"/>
      <c r="F214" s="84"/>
      <c r="H214" s="162" t="s">
        <v>171</v>
      </c>
    </row>
    <row r="215" hidden="1" outlineLevel="1">
      <c r="A215" s="90" t="s">
        <v>88</v>
      </c>
      <c r="B215" s="163">
        <v>0.4</v>
      </c>
      <c r="C215" s="163">
        <v>1.0</v>
      </c>
      <c r="D215" s="169">
        <f t="shared" ref="D215:D222" si="67">(B215*0.3)+(C215*0.1)</f>
        <v>0.22</v>
      </c>
      <c r="E215" s="169">
        <f t="shared" ref="E215:E222" si="68">(L190+G202+H202)/15*0.3</f>
        <v>0.29</v>
      </c>
      <c r="F215" s="173">
        <f t="shared" ref="F215:F222" si="69">(E215/30%)*10</f>
        <v>9.666666667</v>
      </c>
      <c r="H215" s="162" t="s">
        <v>173</v>
      </c>
    </row>
    <row r="216" hidden="1" outlineLevel="1">
      <c r="A216" s="90" t="s">
        <v>118</v>
      </c>
      <c r="B216" s="163">
        <v>1.0</v>
      </c>
      <c r="C216" s="163">
        <v>1.0</v>
      </c>
      <c r="D216" s="169">
        <f t="shared" si="67"/>
        <v>0.4</v>
      </c>
      <c r="E216" s="169">
        <f t="shared" si="68"/>
        <v>0.2532</v>
      </c>
      <c r="F216" s="173">
        <f t="shared" si="69"/>
        <v>8.44</v>
      </c>
    </row>
    <row r="217" hidden="1" outlineLevel="1">
      <c r="A217" s="90" t="s">
        <v>19</v>
      </c>
      <c r="B217" s="163">
        <v>0.7</v>
      </c>
      <c r="C217" s="163">
        <v>1.0</v>
      </c>
      <c r="D217" s="169">
        <f t="shared" si="67"/>
        <v>0.31</v>
      </c>
      <c r="E217" s="169">
        <f t="shared" si="68"/>
        <v>0.2804</v>
      </c>
      <c r="F217" s="173">
        <f t="shared" si="69"/>
        <v>9.346666667</v>
      </c>
      <c r="H217" s="57" t="s">
        <v>175</v>
      </c>
    </row>
    <row r="218" hidden="1" outlineLevel="1">
      <c r="A218" s="90" t="s">
        <v>120</v>
      </c>
      <c r="B218" s="163">
        <v>1.0</v>
      </c>
      <c r="C218" s="163">
        <v>1.0</v>
      </c>
      <c r="D218" s="169">
        <f t="shared" si="67"/>
        <v>0.4</v>
      </c>
      <c r="E218" s="169">
        <f t="shared" si="68"/>
        <v>0.2772</v>
      </c>
      <c r="F218" s="173">
        <f t="shared" si="69"/>
        <v>9.24</v>
      </c>
      <c r="H218" s="183" t="s">
        <v>177</v>
      </c>
      <c r="J218" s="184" t="s">
        <v>178</v>
      </c>
    </row>
    <row r="219" hidden="1" outlineLevel="1">
      <c r="A219" s="90" t="s">
        <v>22</v>
      </c>
      <c r="B219" s="163">
        <v>1.0</v>
      </c>
      <c r="C219" s="163">
        <v>1.0</v>
      </c>
      <c r="D219" s="169">
        <f t="shared" si="67"/>
        <v>0.4</v>
      </c>
      <c r="E219" s="169">
        <f t="shared" si="68"/>
        <v>0.3</v>
      </c>
      <c r="F219" s="173">
        <f t="shared" si="69"/>
        <v>10</v>
      </c>
      <c r="H219" s="183" t="s">
        <v>179</v>
      </c>
      <c r="J219" s="184" t="s">
        <v>180</v>
      </c>
    </row>
    <row r="220" hidden="1" outlineLevel="1">
      <c r="A220" s="90" t="s">
        <v>129</v>
      </c>
      <c r="B220" s="163">
        <v>1.0</v>
      </c>
      <c r="C220" s="163">
        <v>1.0</v>
      </c>
      <c r="D220" s="169">
        <f t="shared" si="67"/>
        <v>0.4</v>
      </c>
      <c r="E220" s="169">
        <f t="shared" si="68"/>
        <v>0.2498</v>
      </c>
      <c r="F220" s="173">
        <f t="shared" si="69"/>
        <v>8.326666667</v>
      </c>
    </row>
    <row r="221" hidden="1" outlineLevel="1">
      <c r="A221" s="90" t="s">
        <v>13</v>
      </c>
      <c r="B221" s="163">
        <v>1.0</v>
      </c>
      <c r="C221" s="163">
        <v>1.0</v>
      </c>
      <c r="D221" s="169">
        <f t="shared" si="67"/>
        <v>0.4</v>
      </c>
      <c r="E221" s="169">
        <f t="shared" si="68"/>
        <v>0.207</v>
      </c>
      <c r="F221" s="173">
        <f t="shared" si="69"/>
        <v>6.9</v>
      </c>
    </row>
    <row r="222" hidden="1" outlineLevel="1">
      <c r="A222" s="90" t="s">
        <v>64</v>
      </c>
      <c r="B222" s="163">
        <v>1.0</v>
      </c>
      <c r="C222" s="163">
        <v>1.0</v>
      </c>
      <c r="D222" s="169">
        <f t="shared" si="67"/>
        <v>0.4</v>
      </c>
      <c r="E222" s="169">
        <f t="shared" si="68"/>
        <v>0.2732</v>
      </c>
      <c r="F222" s="173">
        <f t="shared" si="69"/>
        <v>9.106666667</v>
      </c>
    </row>
    <row r="223" collapsed="1">
      <c r="A223" s="57"/>
      <c r="B223" s="60" t="s">
        <v>378</v>
      </c>
    </row>
    <row r="224" hidden="1" outlineLevel="1">
      <c r="B224" s="60" t="s">
        <v>381</v>
      </c>
    </row>
    <row r="225" hidden="1" outlineLevel="1">
      <c r="A225" s="74" t="s">
        <v>73</v>
      </c>
      <c r="B225" s="74" t="s">
        <v>77</v>
      </c>
      <c r="C225" s="74" t="s">
        <v>78</v>
      </c>
      <c r="D225" s="76">
        <v>46279.0</v>
      </c>
      <c r="E225" s="76">
        <v>46280.0</v>
      </c>
      <c r="F225" s="76">
        <v>46281.0</v>
      </c>
      <c r="G225" s="76">
        <v>46282.0</v>
      </c>
      <c r="H225" s="76">
        <v>46283.0</v>
      </c>
      <c r="I225" s="76">
        <v>46284.0</v>
      </c>
      <c r="J225" s="76">
        <v>46285.0</v>
      </c>
      <c r="K225" s="82" t="s">
        <v>82</v>
      </c>
      <c r="L225" s="82" t="s">
        <v>84</v>
      </c>
      <c r="M225" s="183"/>
    </row>
    <row r="226" hidden="1" outlineLevel="1">
      <c r="A226" s="84"/>
      <c r="B226" s="84"/>
      <c r="C226" s="84"/>
      <c r="D226" s="87" t="str">
        <f t="shared" ref="D226:J226" si="70">text(D225,"ddd")</f>
        <v>Mon</v>
      </c>
      <c r="E226" s="87" t="str">
        <f t="shared" si="70"/>
        <v>Tue</v>
      </c>
      <c r="F226" s="87" t="str">
        <f t="shared" si="70"/>
        <v>Wed</v>
      </c>
      <c r="G226" s="87" t="str">
        <f t="shared" si="70"/>
        <v>Thu</v>
      </c>
      <c r="H226" s="87" t="str">
        <f t="shared" si="70"/>
        <v>Fri</v>
      </c>
      <c r="I226" s="87" t="str">
        <f t="shared" si="70"/>
        <v>Sat</v>
      </c>
      <c r="J226" s="87" t="str">
        <f t="shared" si="70"/>
        <v>Sun</v>
      </c>
      <c r="K226" s="84"/>
      <c r="L226" s="84"/>
    </row>
    <row r="227" hidden="1" outlineLevel="1">
      <c r="A227" s="90" t="s">
        <v>88</v>
      </c>
      <c r="B227" s="94">
        <f>20*5</f>
        <v>100</v>
      </c>
      <c r="C227" s="94">
        <f t="shared" ref="C227:C234" si="71">SUM(D227:J227)</f>
        <v>91</v>
      </c>
      <c r="D227" s="191">
        <v>20.0</v>
      </c>
      <c r="E227" s="191">
        <v>18.0</v>
      </c>
      <c r="F227" s="191">
        <v>18.0</v>
      </c>
      <c r="G227" s="191">
        <v>19.0</v>
      </c>
      <c r="H227" s="191">
        <v>16.0</v>
      </c>
      <c r="I227" s="191" t="s">
        <v>92</v>
      </c>
      <c r="J227" s="191" t="s">
        <v>92</v>
      </c>
      <c r="K227" s="103">
        <f t="shared" ref="K227:K234" si="72">iferror(C227/B227,"-")</f>
        <v>0.91</v>
      </c>
      <c r="L227" s="109">
        <f t="shared" ref="L227:L234" si="73">(IF(K227="",(0),IF(K227&gt;=1,(5),IF(K227&gt;=0.9,(4),IF(K227&gt;=0.8,(3),IF(K227&gt;=0.69,(2),IF(K227&lt;=0.69,(1))))))))</f>
        <v>4</v>
      </c>
    </row>
    <row r="228" hidden="1" outlineLevel="1">
      <c r="A228" s="90" t="s">
        <v>118</v>
      </c>
      <c r="B228" s="94">
        <f>30*5</f>
        <v>150</v>
      </c>
      <c r="C228" s="94">
        <f t="shared" si="71"/>
        <v>144</v>
      </c>
      <c r="D228" s="191">
        <v>29.0</v>
      </c>
      <c r="E228" s="191">
        <v>33.0</v>
      </c>
      <c r="F228" s="191">
        <v>28.0</v>
      </c>
      <c r="G228" s="191">
        <v>28.0</v>
      </c>
      <c r="H228" s="191">
        <v>26.0</v>
      </c>
      <c r="I228" s="191" t="s">
        <v>92</v>
      </c>
      <c r="J228" s="191" t="s">
        <v>92</v>
      </c>
      <c r="K228" s="103">
        <f t="shared" si="72"/>
        <v>0.96</v>
      </c>
      <c r="L228" s="109">
        <f t="shared" si="73"/>
        <v>4</v>
      </c>
    </row>
    <row r="229" hidden="1" outlineLevel="1">
      <c r="A229" s="90" t="s">
        <v>19</v>
      </c>
      <c r="B229" s="94">
        <f>20*5+15</f>
        <v>115</v>
      </c>
      <c r="C229" s="94">
        <f t="shared" si="71"/>
        <v>115</v>
      </c>
      <c r="D229" s="191">
        <v>29.0</v>
      </c>
      <c r="E229" s="191">
        <v>19.0</v>
      </c>
      <c r="F229" s="191" t="s">
        <v>92</v>
      </c>
      <c r="G229" s="191">
        <v>24.0</v>
      </c>
      <c r="H229" s="191">
        <v>24.0</v>
      </c>
      <c r="I229" s="191">
        <v>14.0</v>
      </c>
      <c r="J229" s="191">
        <v>5.0</v>
      </c>
      <c r="K229" s="103">
        <f t="shared" si="72"/>
        <v>1</v>
      </c>
      <c r="L229" s="109">
        <f t="shared" si="73"/>
        <v>5</v>
      </c>
    </row>
    <row r="230" hidden="1" outlineLevel="1">
      <c r="A230" s="90" t="s">
        <v>120</v>
      </c>
      <c r="B230" s="94">
        <f>25*5+30</f>
        <v>155</v>
      </c>
      <c r="C230" s="94">
        <f t="shared" si="71"/>
        <v>130</v>
      </c>
      <c r="D230" s="191">
        <v>25.0</v>
      </c>
      <c r="E230" s="191">
        <v>27.0</v>
      </c>
      <c r="F230" s="191">
        <v>24.0</v>
      </c>
      <c r="G230" s="191">
        <v>21.0</v>
      </c>
      <c r="H230" s="191" t="s">
        <v>92</v>
      </c>
      <c r="I230" s="191">
        <v>15.0</v>
      </c>
      <c r="J230" s="191">
        <v>18.0</v>
      </c>
      <c r="K230" s="103">
        <f t="shared" si="72"/>
        <v>0.8387096774</v>
      </c>
      <c r="L230" s="109">
        <f t="shared" si="73"/>
        <v>3</v>
      </c>
    </row>
    <row r="231" hidden="1" outlineLevel="1">
      <c r="A231" s="90" t="s">
        <v>22</v>
      </c>
      <c r="B231" s="94">
        <f>25*4+15</f>
        <v>115</v>
      </c>
      <c r="C231" s="94">
        <f t="shared" si="71"/>
        <v>113</v>
      </c>
      <c r="D231" s="191">
        <v>26.0</v>
      </c>
      <c r="E231" s="191">
        <v>22.0</v>
      </c>
      <c r="F231" s="191">
        <v>25.0</v>
      </c>
      <c r="G231" s="191">
        <v>12.0</v>
      </c>
      <c r="H231" s="191" t="s">
        <v>92</v>
      </c>
      <c r="I231" s="191">
        <v>15.0</v>
      </c>
      <c r="J231" s="191">
        <v>13.0</v>
      </c>
      <c r="K231" s="103">
        <f t="shared" si="72"/>
        <v>0.9826086957</v>
      </c>
      <c r="L231" s="109">
        <f t="shared" si="73"/>
        <v>4</v>
      </c>
    </row>
    <row r="232" hidden="1" outlineLevel="1">
      <c r="A232" s="90" t="s">
        <v>129</v>
      </c>
      <c r="B232" s="94">
        <f>30*5</f>
        <v>150</v>
      </c>
      <c r="C232" s="94">
        <f t="shared" si="71"/>
        <v>145</v>
      </c>
      <c r="D232" s="191">
        <v>35.0</v>
      </c>
      <c r="E232" s="310">
        <v>23.0</v>
      </c>
      <c r="F232" s="191">
        <v>37.0</v>
      </c>
      <c r="G232" s="191">
        <v>26.0</v>
      </c>
      <c r="H232" s="191">
        <v>24.0</v>
      </c>
      <c r="I232" s="191" t="s">
        <v>92</v>
      </c>
      <c r="J232" s="191" t="s">
        <v>92</v>
      </c>
      <c r="K232" s="103">
        <f t="shared" si="72"/>
        <v>0.9666666667</v>
      </c>
      <c r="L232" s="109">
        <f t="shared" si="73"/>
        <v>4</v>
      </c>
    </row>
    <row r="233" hidden="1" outlineLevel="1">
      <c r="A233" s="90" t="s">
        <v>13</v>
      </c>
      <c r="B233" s="94">
        <f>30*5+40</f>
        <v>190</v>
      </c>
      <c r="C233" s="94">
        <f t="shared" si="71"/>
        <v>192</v>
      </c>
      <c r="D233" s="191">
        <v>27.0</v>
      </c>
      <c r="E233" s="191">
        <v>31.0</v>
      </c>
      <c r="F233" s="191">
        <v>26.0</v>
      </c>
      <c r="G233" s="191">
        <v>27.0</v>
      </c>
      <c r="H233" s="191">
        <v>65.0</v>
      </c>
      <c r="I233" s="191">
        <v>16.0</v>
      </c>
      <c r="J233" s="191" t="s">
        <v>92</v>
      </c>
      <c r="K233" s="103">
        <f t="shared" si="72"/>
        <v>1.010526316</v>
      </c>
      <c r="L233" s="109">
        <f t="shared" si="73"/>
        <v>5</v>
      </c>
    </row>
    <row r="234" hidden="1" outlineLevel="1">
      <c r="A234" s="90" t="s">
        <v>64</v>
      </c>
      <c r="B234" s="94">
        <f>25*4+15</f>
        <v>115</v>
      </c>
      <c r="C234" s="94">
        <f t="shared" si="71"/>
        <v>83</v>
      </c>
      <c r="D234" s="191">
        <v>15.0</v>
      </c>
      <c r="E234" s="191" t="s">
        <v>92</v>
      </c>
      <c r="F234" s="191" t="s">
        <v>92</v>
      </c>
      <c r="G234" s="191">
        <v>16.0</v>
      </c>
      <c r="H234" s="191">
        <v>16.0</v>
      </c>
      <c r="I234" s="191">
        <v>18.0</v>
      </c>
      <c r="J234" s="191">
        <v>18.0</v>
      </c>
      <c r="K234" s="103">
        <f t="shared" si="72"/>
        <v>0.7217391304</v>
      </c>
      <c r="L234" s="109">
        <f t="shared" si="73"/>
        <v>2</v>
      </c>
    </row>
    <row r="235" hidden="1" outlineLevel="1">
      <c r="A235" s="183"/>
      <c r="B235" s="356"/>
      <c r="C235" s="356"/>
      <c r="D235" s="357"/>
      <c r="E235" s="357"/>
      <c r="F235" s="357"/>
      <c r="G235" s="357"/>
      <c r="H235" s="357"/>
      <c r="I235" s="357"/>
      <c r="J235" s="357"/>
      <c r="K235" s="358"/>
      <c r="L235" s="356"/>
    </row>
    <row r="236" hidden="1" outlineLevel="1">
      <c r="B236" s="60" t="s">
        <v>396</v>
      </c>
    </row>
    <row r="237" hidden="1" outlineLevel="1">
      <c r="A237" s="74" t="s">
        <v>73</v>
      </c>
      <c r="B237" s="74" t="s">
        <v>77</v>
      </c>
      <c r="C237" s="74" t="s">
        <v>78</v>
      </c>
      <c r="D237" s="76">
        <v>46279.0</v>
      </c>
      <c r="E237" s="76">
        <v>46280.0</v>
      </c>
      <c r="F237" s="76">
        <v>46281.0</v>
      </c>
      <c r="G237" s="76">
        <v>46282.0</v>
      </c>
      <c r="H237" s="76">
        <v>46283.0</v>
      </c>
      <c r="I237" s="76">
        <v>46284.0</v>
      </c>
      <c r="J237" s="76">
        <v>46285.0</v>
      </c>
      <c r="K237" s="82" t="s">
        <v>82</v>
      </c>
      <c r="L237" s="82" t="s">
        <v>84</v>
      </c>
      <c r="M237" s="183"/>
    </row>
    <row r="238" hidden="1" outlineLevel="1">
      <c r="A238" s="84"/>
      <c r="B238" s="84"/>
      <c r="C238" s="84"/>
      <c r="D238" s="87" t="str">
        <f t="shared" ref="D238:J238" si="74">text(D237,"ddd")</f>
        <v>Mon</v>
      </c>
      <c r="E238" s="87" t="str">
        <f t="shared" si="74"/>
        <v>Tue</v>
      </c>
      <c r="F238" s="87" t="str">
        <f t="shared" si="74"/>
        <v>Wed</v>
      </c>
      <c r="G238" s="87" t="str">
        <f t="shared" si="74"/>
        <v>Thu</v>
      </c>
      <c r="H238" s="87" t="str">
        <f t="shared" si="74"/>
        <v>Fri</v>
      </c>
      <c r="I238" s="87" t="str">
        <f t="shared" si="74"/>
        <v>Sat</v>
      </c>
      <c r="J238" s="87" t="str">
        <f t="shared" si="74"/>
        <v>Sun</v>
      </c>
      <c r="K238" s="84"/>
      <c r="L238" s="84"/>
    </row>
    <row r="239" hidden="1" outlineLevel="1">
      <c r="A239" s="90" t="s">
        <v>88</v>
      </c>
      <c r="B239" s="94">
        <f>20*5</f>
        <v>100</v>
      </c>
      <c r="C239" s="94">
        <f t="shared" ref="C239:C246" si="75">SUM(D239:J239)</f>
        <v>28</v>
      </c>
      <c r="D239" s="191"/>
      <c r="E239" s="191"/>
      <c r="F239" s="191"/>
      <c r="G239" s="191">
        <v>13.0</v>
      </c>
      <c r="H239" s="191">
        <v>15.0</v>
      </c>
      <c r="I239" s="191" t="s">
        <v>92</v>
      </c>
      <c r="J239" s="191" t="s">
        <v>92</v>
      </c>
      <c r="K239" s="103">
        <f t="shared" ref="K239:K246" si="76">iferror(C239/B239,"-")</f>
        <v>0.28</v>
      </c>
      <c r="L239" s="109">
        <f t="shared" ref="L239:L246" si="77">(IF(K239="",(0),IF(K239&gt;=1,(5),IF(K239&gt;=0.9,(4),IF(K239&gt;=0.8,(3),IF(K239&gt;=0.69,(2),IF(K239&lt;=0.69,(1))))))))</f>
        <v>1</v>
      </c>
    </row>
    <row r="240" hidden="1" outlineLevel="1">
      <c r="A240" s="90" t="s">
        <v>118</v>
      </c>
      <c r="B240" s="94">
        <f>30*5</f>
        <v>150</v>
      </c>
      <c r="C240" s="94">
        <f t="shared" si="75"/>
        <v>23</v>
      </c>
      <c r="D240" s="191"/>
      <c r="E240" s="191"/>
      <c r="F240" s="191"/>
      <c r="G240" s="191">
        <v>8.0</v>
      </c>
      <c r="H240" s="191">
        <v>15.0</v>
      </c>
      <c r="I240" s="191" t="s">
        <v>92</v>
      </c>
      <c r="J240" s="191" t="s">
        <v>92</v>
      </c>
      <c r="K240" s="103">
        <f t="shared" si="76"/>
        <v>0.1533333333</v>
      </c>
      <c r="L240" s="109">
        <f t="shared" si="77"/>
        <v>1</v>
      </c>
    </row>
    <row r="241" hidden="1" outlineLevel="1">
      <c r="A241" s="90" t="s">
        <v>19</v>
      </c>
      <c r="B241" s="94">
        <f>20*5+15</f>
        <v>115</v>
      </c>
      <c r="C241" s="94">
        <f t="shared" si="75"/>
        <v>16</v>
      </c>
      <c r="D241" s="191"/>
      <c r="E241" s="191"/>
      <c r="F241" s="191" t="s">
        <v>92</v>
      </c>
      <c r="G241" s="191">
        <v>2.0</v>
      </c>
      <c r="H241" s="191">
        <v>5.0</v>
      </c>
      <c r="I241" s="191">
        <v>9.0</v>
      </c>
      <c r="J241" s="191" t="s">
        <v>92</v>
      </c>
      <c r="K241" s="103">
        <f t="shared" si="76"/>
        <v>0.1391304348</v>
      </c>
      <c r="L241" s="109">
        <f t="shared" si="77"/>
        <v>1</v>
      </c>
    </row>
    <row r="242" hidden="1" outlineLevel="1">
      <c r="A242" s="90" t="s">
        <v>120</v>
      </c>
      <c r="B242" s="94">
        <f>25*5</f>
        <v>125</v>
      </c>
      <c r="C242" s="94">
        <f t="shared" si="75"/>
        <v>25</v>
      </c>
      <c r="D242" s="191"/>
      <c r="E242" s="191"/>
      <c r="F242" s="191"/>
      <c r="G242" s="191">
        <v>21.0</v>
      </c>
      <c r="H242" s="191" t="s">
        <v>92</v>
      </c>
      <c r="I242" s="191">
        <v>4.0</v>
      </c>
      <c r="J242" s="191"/>
      <c r="K242" s="103">
        <f t="shared" si="76"/>
        <v>0.2</v>
      </c>
      <c r="L242" s="109">
        <f t="shared" si="77"/>
        <v>1</v>
      </c>
    </row>
    <row r="243" hidden="1" outlineLevel="1">
      <c r="A243" s="90" t="s">
        <v>22</v>
      </c>
      <c r="B243" s="94">
        <f>25*4+15</f>
        <v>115</v>
      </c>
      <c r="C243" s="94">
        <f t="shared" si="75"/>
        <v>10</v>
      </c>
      <c r="D243" s="191"/>
      <c r="E243" s="191"/>
      <c r="F243" s="191"/>
      <c r="G243" s="191">
        <v>10.0</v>
      </c>
      <c r="H243" s="191" t="s">
        <v>92</v>
      </c>
      <c r="I243" s="191"/>
      <c r="J243" s="191"/>
      <c r="K243" s="103">
        <f t="shared" si="76"/>
        <v>0.08695652174</v>
      </c>
      <c r="L243" s="109">
        <f t="shared" si="77"/>
        <v>1</v>
      </c>
    </row>
    <row r="244" hidden="1" outlineLevel="1">
      <c r="A244" s="90" t="s">
        <v>129</v>
      </c>
      <c r="B244" s="94">
        <f t="shared" ref="B244:B245" si="78">30*5</f>
        <v>150</v>
      </c>
      <c r="C244" s="94">
        <f t="shared" si="75"/>
        <v>0</v>
      </c>
      <c r="D244" s="191"/>
      <c r="E244" s="310"/>
      <c r="F244" s="191"/>
      <c r="G244" s="191"/>
      <c r="H244" s="191"/>
      <c r="I244" s="191" t="s">
        <v>92</v>
      </c>
      <c r="J244" s="191" t="s">
        <v>92</v>
      </c>
      <c r="K244" s="103">
        <f t="shared" si="76"/>
        <v>0</v>
      </c>
      <c r="L244" s="109">
        <f t="shared" si="77"/>
        <v>1</v>
      </c>
    </row>
    <row r="245" hidden="1" outlineLevel="1">
      <c r="A245" s="90" t="s">
        <v>13</v>
      </c>
      <c r="B245" s="94">
        <f t="shared" si="78"/>
        <v>150</v>
      </c>
      <c r="C245" s="94">
        <f t="shared" si="75"/>
        <v>40</v>
      </c>
      <c r="D245" s="191"/>
      <c r="E245" s="191"/>
      <c r="F245" s="191"/>
      <c r="G245" s="191"/>
      <c r="H245" s="191">
        <v>40.0</v>
      </c>
      <c r="I245" s="191" t="s">
        <v>92</v>
      </c>
      <c r="J245" s="191" t="s">
        <v>92</v>
      </c>
      <c r="K245" s="103">
        <f t="shared" si="76"/>
        <v>0.2666666667</v>
      </c>
      <c r="L245" s="109">
        <f t="shared" si="77"/>
        <v>1</v>
      </c>
    </row>
    <row r="246" hidden="1" outlineLevel="1">
      <c r="A246" s="90" t="s">
        <v>64</v>
      </c>
      <c r="B246" s="94">
        <f>25*4+15</f>
        <v>115</v>
      </c>
      <c r="C246" s="94">
        <f t="shared" si="75"/>
        <v>0</v>
      </c>
      <c r="D246" s="191"/>
      <c r="E246" s="191" t="s">
        <v>92</v>
      </c>
      <c r="F246" s="191" t="s">
        <v>92</v>
      </c>
      <c r="G246" s="191"/>
      <c r="H246" s="191"/>
      <c r="I246" s="191"/>
      <c r="J246" s="191"/>
      <c r="K246" s="103">
        <f t="shared" si="76"/>
        <v>0</v>
      </c>
      <c r="L246" s="109">
        <f t="shared" si="77"/>
        <v>1</v>
      </c>
    </row>
    <row r="247" hidden="1" outlineLevel="1"/>
    <row r="248" hidden="1" outlineLevel="1"/>
    <row r="249" hidden="1" outlineLevel="1">
      <c r="B249" s="60" t="s">
        <v>400</v>
      </c>
    </row>
    <row r="250" hidden="1" outlineLevel="1">
      <c r="A250" s="74" t="s">
        <v>73</v>
      </c>
      <c r="B250" s="74" t="s">
        <v>137</v>
      </c>
      <c r="C250" s="74" t="s">
        <v>138</v>
      </c>
      <c r="D250" s="74" t="s">
        <v>139</v>
      </c>
      <c r="E250" s="74" t="s">
        <v>140</v>
      </c>
      <c r="F250" s="74" t="s">
        <v>141</v>
      </c>
      <c r="G250" s="74" t="s">
        <v>143</v>
      </c>
      <c r="H250" s="74" t="s">
        <v>145</v>
      </c>
    </row>
    <row r="251" hidden="1" outlineLevel="1">
      <c r="A251" s="84"/>
      <c r="B251" s="84"/>
      <c r="C251" s="84"/>
      <c r="D251" s="84"/>
      <c r="E251" s="84"/>
      <c r="F251" s="84"/>
      <c r="G251" s="84"/>
      <c r="H251" s="84"/>
    </row>
    <row r="252" hidden="1" outlineLevel="1">
      <c r="A252" s="90" t="s">
        <v>194</v>
      </c>
      <c r="B252" s="135">
        <v>94.0</v>
      </c>
      <c r="C252" s="135">
        <v>91.0</v>
      </c>
      <c r="D252" s="138">
        <f t="shared" ref="D252:D254" si="79">B252-C252</f>
        <v>3</v>
      </c>
      <c r="E252" s="140">
        <f t="shared" ref="E252:E254" si="80">Iferror(C252/B252,"")</f>
        <v>0.9680851064</v>
      </c>
      <c r="F252" s="141">
        <v>0.002905092592592593</v>
      </c>
      <c r="G252" s="145">
        <f t="shared" ref="G252:G254" si="81">IFERROR((IF(E252="",(0),IF(E252&gt;=0.98,(5),IF(E252&gt;=0.95,(4.5),IF(E252&gt;=0.9,(4),IF(E252&gt;=0.8,(3),IF(E252&lt;=0.69,(1)))))))),"")</f>
        <v>4.5</v>
      </c>
      <c r="H252" s="145">
        <f t="shared" ref="H252:H254" si="82">ROUND(
IF(F252="",
0,
MAX(1, 5 - MAX(0, (F252 - TIME(0,4,0)) / TIME(0,1,0) * 0.5))
),
2
)
</f>
        <v>4.91</v>
      </c>
    </row>
    <row r="253" hidden="1" outlineLevel="1">
      <c r="A253" s="90" t="s">
        <v>19</v>
      </c>
      <c r="B253" s="135">
        <v>120.0</v>
      </c>
      <c r="C253" s="135">
        <v>114.0</v>
      </c>
      <c r="D253" s="138">
        <f t="shared" si="79"/>
        <v>6</v>
      </c>
      <c r="E253" s="140">
        <f t="shared" si="80"/>
        <v>0.95</v>
      </c>
      <c r="F253" s="141">
        <v>0.003935185185185185</v>
      </c>
      <c r="G253" s="145">
        <f t="shared" si="81"/>
        <v>4.5</v>
      </c>
      <c r="H253" s="145">
        <f t="shared" si="82"/>
        <v>4.17</v>
      </c>
    </row>
    <row r="254" hidden="1" outlineLevel="1">
      <c r="A254" s="90" t="s">
        <v>22</v>
      </c>
      <c r="B254" s="135">
        <v>122.0</v>
      </c>
      <c r="C254" s="135">
        <v>112.0</v>
      </c>
      <c r="D254" s="138">
        <f t="shared" si="79"/>
        <v>10</v>
      </c>
      <c r="E254" s="140">
        <f t="shared" si="80"/>
        <v>0.9180327869</v>
      </c>
      <c r="F254" s="141">
        <v>0.0025925925925925925</v>
      </c>
      <c r="G254" s="145">
        <f t="shared" si="81"/>
        <v>4</v>
      </c>
      <c r="H254" s="145">
        <f t="shared" si="82"/>
        <v>5</v>
      </c>
    </row>
    <row r="255" hidden="1" outlineLevel="1">
      <c r="A255" s="90"/>
      <c r="B255" s="60" t="s">
        <v>411</v>
      </c>
    </row>
    <row r="256" hidden="1" outlineLevel="1">
      <c r="A256" s="74" t="s">
        <v>73</v>
      </c>
      <c r="B256" s="74" t="s">
        <v>137</v>
      </c>
      <c r="C256" s="74" t="s">
        <v>138</v>
      </c>
      <c r="D256" s="74" t="s">
        <v>139</v>
      </c>
      <c r="E256" s="74" t="s">
        <v>140</v>
      </c>
      <c r="F256" s="74" t="s">
        <v>141</v>
      </c>
      <c r="G256" s="74" t="s">
        <v>143</v>
      </c>
      <c r="H256" s="74" t="s">
        <v>145</v>
      </c>
    </row>
    <row r="257" hidden="1" outlineLevel="1">
      <c r="A257" s="84"/>
      <c r="B257" s="84"/>
      <c r="C257" s="84"/>
      <c r="D257" s="84"/>
      <c r="E257" s="84"/>
      <c r="F257" s="84"/>
      <c r="G257" s="371"/>
      <c r="H257" s="371"/>
    </row>
    <row r="258" hidden="1" outlineLevel="1">
      <c r="A258" s="90" t="s">
        <v>118</v>
      </c>
      <c r="B258" s="135">
        <v>146.0</v>
      </c>
      <c r="C258" s="135">
        <v>144.0</v>
      </c>
      <c r="D258" s="138">
        <f t="shared" ref="D258:D262" si="83">B258-C258</f>
        <v>2</v>
      </c>
      <c r="E258" s="140">
        <f t="shared" ref="E258:E262" si="84">Iferror(C258/B258,"")</f>
        <v>0.9863013699</v>
      </c>
      <c r="F258" s="141">
        <v>0.004201388888888889</v>
      </c>
      <c r="G258" s="145">
        <f t="shared" ref="G258:G262" si="85">IFERROR((IF(E258="",(0),IF(E258&gt;=0.98,(5),IF(E258&gt;=0.95,(4.5),IF(E258&gt;=0.9,(4),IF(E258&gt;=0.8,(3),IF(E258&lt;=0.69,(1)))))))),"")</f>
        <v>5</v>
      </c>
      <c r="H258" s="145">
        <f t="shared" ref="H258:H262" si="86">ROUND(
IF(F258="",
0,
MAX(1, 5 - MAX(0, (F258 - TIME(0,4,0)) / TIME(0,1,0) * 0.5))
),
2
)
</f>
        <v>3.98</v>
      </c>
    </row>
    <row r="259" hidden="1" outlineLevel="1">
      <c r="A259" s="90" t="s">
        <v>120</v>
      </c>
      <c r="B259" s="135">
        <v>111.0</v>
      </c>
      <c r="C259" s="135">
        <v>107.0</v>
      </c>
      <c r="D259" s="138">
        <f t="shared" si="83"/>
        <v>4</v>
      </c>
      <c r="E259" s="140">
        <f t="shared" si="84"/>
        <v>0.963963964</v>
      </c>
      <c r="F259" s="141">
        <v>0.0035185185185185185</v>
      </c>
      <c r="G259" s="145">
        <f t="shared" si="85"/>
        <v>4.5</v>
      </c>
      <c r="H259" s="145">
        <f t="shared" si="86"/>
        <v>4.47</v>
      </c>
    </row>
    <row r="260" hidden="1" outlineLevel="1">
      <c r="A260" s="90" t="s">
        <v>129</v>
      </c>
      <c r="B260" s="135">
        <v>149.0</v>
      </c>
      <c r="C260" s="135">
        <v>144.0</v>
      </c>
      <c r="D260" s="138">
        <f t="shared" si="83"/>
        <v>5</v>
      </c>
      <c r="E260" s="140">
        <f t="shared" si="84"/>
        <v>0.966442953</v>
      </c>
      <c r="F260" s="141">
        <v>0.005532407407407408</v>
      </c>
      <c r="G260" s="145">
        <f t="shared" si="85"/>
        <v>4.5</v>
      </c>
      <c r="H260" s="145">
        <f t="shared" si="86"/>
        <v>3.02</v>
      </c>
    </row>
    <row r="261" hidden="1" outlineLevel="1">
      <c r="A261" s="90" t="s">
        <v>13</v>
      </c>
      <c r="B261" s="135">
        <v>155.0</v>
      </c>
      <c r="C261" s="135">
        <v>152.0</v>
      </c>
      <c r="D261" s="138">
        <f t="shared" si="83"/>
        <v>3</v>
      </c>
      <c r="E261" s="140">
        <f t="shared" si="84"/>
        <v>0.9806451613</v>
      </c>
      <c r="F261" s="141">
        <v>0.0030902777777777777</v>
      </c>
      <c r="G261" s="145">
        <f t="shared" si="85"/>
        <v>5</v>
      </c>
      <c r="H261" s="145">
        <f t="shared" si="86"/>
        <v>4.78</v>
      </c>
    </row>
    <row r="262" hidden="1" outlineLevel="1">
      <c r="A262" s="90" t="s">
        <v>64</v>
      </c>
      <c r="B262" s="135">
        <v>85.0</v>
      </c>
      <c r="C262" s="135">
        <v>83.0</v>
      </c>
      <c r="D262" s="138">
        <f t="shared" si="83"/>
        <v>2</v>
      </c>
      <c r="E262" s="140">
        <f t="shared" si="84"/>
        <v>0.9764705882</v>
      </c>
      <c r="F262" s="141">
        <v>0.004039351851851852</v>
      </c>
      <c r="G262" s="145">
        <f t="shared" si="85"/>
        <v>4.5</v>
      </c>
      <c r="H262" s="145">
        <f t="shared" si="86"/>
        <v>4.09</v>
      </c>
    </row>
    <row r="263" hidden="1" outlineLevel="1"/>
    <row r="264" hidden="1" outlineLevel="1"/>
    <row r="265" hidden="1" outlineLevel="1">
      <c r="B265" s="60" t="s">
        <v>160</v>
      </c>
      <c r="H265" s="57" t="s">
        <v>162</v>
      </c>
    </row>
    <row r="266" hidden="1" outlineLevel="1">
      <c r="A266" s="74" t="s">
        <v>73</v>
      </c>
      <c r="B266" s="74" t="s">
        <v>419</v>
      </c>
      <c r="C266" s="74" t="s">
        <v>420</v>
      </c>
      <c r="D266" s="74" t="s">
        <v>166</v>
      </c>
      <c r="E266" s="74" t="s">
        <v>167</v>
      </c>
      <c r="F266" s="74" t="s">
        <v>168</v>
      </c>
      <c r="H266" s="162" t="s">
        <v>169</v>
      </c>
    </row>
    <row r="267" ht="19.5" hidden="1" customHeight="1" outlineLevel="1">
      <c r="A267" s="84"/>
      <c r="B267" s="84"/>
      <c r="C267" s="84"/>
      <c r="D267" s="84"/>
      <c r="E267" s="84"/>
      <c r="F267" s="84"/>
      <c r="H267" s="162" t="s">
        <v>171</v>
      </c>
    </row>
    <row r="268" hidden="1" outlineLevel="1">
      <c r="A268" s="90" t="s">
        <v>88</v>
      </c>
      <c r="B268" s="163">
        <v>1.0</v>
      </c>
      <c r="C268" s="163">
        <v>1.0</v>
      </c>
      <c r="D268" s="169">
        <f t="shared" ref="D268:D275" si="87">(B268*0.3)+(C268*0.1)</f>
        <v>0.4</v>
      </c>
      <c r="E268" s="169">
        <f>(L227+G252+H252)/15*0.3</f>
        <v>0.2682</v>
      </c>
      <c r="F268" s="173">
        <f t="shared" ref="F268:F275" si="88">(E268/30%)*10</f>
        <v>8.94</v>
      </c>
      <c r="H268" s="162" t="s">
        <v>173</v>
      </c>
    </row>
    <row r="269" hidden="1" outlineLevel="1">
      <c r="A269" s="90" t="s">
        <v>118</v>
      </c>
      <c r="B269" s="163">
        <v>1.0</v>
      </c>
      <c r="C269" s="163">
        <v>1.0</v>
      </c>
      <c r="D269" s="169">
        <f t="shared" si="87"/>
        <v>0.4</v>
      </c>
      <c r="E269" s="169">
        <f>(L228+G258+H258)/15*0.3</f>
        <v>0.2596</v>
      </c>
      <c r="F269" s="173">
        <f t="shared" si="88"/>
        <v>8.653333333</v>
      </c>
    </row>
    <row r="270" hidden="1" outlineLevel="1">
      <c r="A270" s="90" t="s">
        <v>19</v>
      </c>
      <c r="B270" s="163">
        <v>1.0</v>
      </c>
      <c r="C270" s="163">
        <v>1.0</v>
      </c>
      <c r="D270" s="169">
        <f t="shared" si="87"/>
        <v>0.4</v>
      </c>
      <c r="E270" s="169">
        <f>(L229+G253+H253)/15*0.3</f>
        <v>0.2734</v>
      </c>
      <c r="F270" s="173">
        <f t="shared" si="88"/>
        <v>9.113333333</v>
      </c>
      <c r="H270" s="57" t="s">
        <v>175</v>
      </c>
    </row>
    <row r="271" hidden="1" outlineLevel="1">
      <c r="A271" s="90" t="s">
        <v>120</v>
      </c>
      <c r="B271" s="163">
        <v>1.0</v>
      </c>
      <c r="C271" s="163">
        <v>1.0</v>
      </c>
      <c r="D271" s="169">
        <f t="shared" si="87"/>
        <v>0.4</v>
      </c>
      <c r="E271" s="169">
        <f>(L230+G259+H259)/15*0.3</f>
        <v>0.2394</v>
      </c>
      <c r="F271" s="173">
        <f t="shared" si="88"/>
        <v>7.98</v>
      </c>
      <c r="H271" s="183" t="s">
        <v>177</v>
      </c>
      <c r="J271" s="184" t="s">
        <v>178</v>
      </c>
    </row>
    <row r="272" hidden="1" outlineLevel="1">
      <c r="A272" s="90" t="s">
        <v>22</v>
      </c>
      <c r="B272" s="163">
        <v>1.0</v>
      </c>
      <c r="C272" s="163">
        <v>1.0</v>
      </c>
      <c r="D272" s="169">
        <f t="shared" si="87"/>
        <v>0.4</v>
      </c>
      <c r="E272" s="169">
        <f>(L231+G254+H254)/15*0.3</f>
        <v>0.26</v>
      </c>
      <c r="F272" s="173">
        <f t="shared" si="88"/>
        <v>8.666666667</v>
      </c>
      <c r="H272" s="183" t="s">
        <v>179</v>
      </c>
      <c r="J272" s="184" t="s">
        <v>180</v>
      </c>
    </row>
    <row r="273" hidden="1" outlineLevel="1">
      <c r="A273" s="90" t="s">
        <v>129</v>
      </c>
      <c r="B273" s="163">
        <v>1.0</v>
      </c>
      <c r="C273" s="163">
        <v>1.0</v>
      </c>
      <c r="D273" s="169">
        <f t="shared" si="87"/>
        <v>0.4</v>
      </c>
      <c r="E273" s="169">
        <f t="shared" ref="E273:E275" si="89">(L232+G260+H260)/15*0.3</f>
        <v>0.2304</v>
      </c>
      <c r="F273" s="173">
        <f t="shared" si="88"/>
        <v>7.68</v>
      </c>
    </row>
    <row r="274" hidden="1" outlineLevel="1">
      <c r="A274" s="90" t="s">
        <v>13</v>
      </c>
      <c r="B274" s="163">
        <v>1.0</v>
      </c>
      <c r="C274" s="163">
        <v>1.0</v>
      </c>
      <c r="D274" s="169">
        <f t="shared" si="87"/>
        <v>0.4</v>
      </c>
      <c r="E274" s="169">
        <f t="shared" si="89"/>
        <v>0.2956</v>
      </c>
      <c r="F274" s="173">
        <f t="shared" si="88"/>
        <v>9.853333333</v>
      </c>
    </row>
    <row r="275" hidden="1" outlineLevel="1">
      <c r="A275" s="90" t="s">
        <v>64</v>
      </c>
      <c r="B275" s="163">
        <v>1.0</v>
      </c>
      <c r="C275" s="163">
        <v>1.0</v>
      </c>
      <c r="D275" s="169">
        <f t="shared" si="87"/>
        <v>0.4</v>
      </c>
      <c r="E275" s="169">
        <f t="shared" si="89"/>
        <v>0.2118</v>
      </c>
      <c r="F275" s="173">
        <f t="shared" si="88"/>
        <v>7.06</v>
      </c>
    </row>
    <row r="276" collapsed="1">
      <c r="A276" s="57"/>
      <c r="B276" s="60" t="s">
        <v>427</v>
      </c>
    </row>
    <row r="277" hidden="1" outlineLevel="1">
      <c r="A277" s="381"/>
      <c r="B277" s="60" t="s">
        <v>381</v>
      </c>
    </row>
    <row r="278" hidden="1" outlineLevel="1">
      <c r="A278" s="74" t="s">
        <v>73</v>
      </c>
      <c r="B278" s="74" t="s">
        <v>77</v>
      </c>
      <c r="C278" s="74" t="s">
        <v>78</v>
      </c>
      <c r="D278" s="76">
        <v>46286.0</v>
      </c>
      <c r="E278" s="76">
        <v>46287.0</v>
      </c>
      <c r="F278" s="76">
        <v>46288.0</v>
      </c>
      <c r="G278" s="76">
        <v>46289.0</v>
      </c>
      <c r="H278" s="76">
        <v>46290.0</v>
      </c>
      <c r="I278" s="76">
        <v>46291.0</v>
      </c>
      <c r="J278" s="76">
        <v>46292.0</v>
      </c>
      <c r="K278" s="82" t="s">
        <v>82</v>
      </c>
      <c r="L278" s="82" t="s">
        <v>84</v>
      </c>
      <c r="M278" s="183"/>
    </row>
    <row r="279" hidden="1" outlineLevel="1">
      <c r="A279" s="84"/>
      <c r="B279" s="84"/>
      <c r="C279" s="84"/>
      <c r="D279" s="87" t="str">
        <f t="shared" ref="D279:J279" si="90">text(D278,"ddd")</f>
        <v>Mon</v>
      </c>
      <c r="E279" s="87" t="str">
        <f t="shared" si="90"/>
        <v>Tue</v>
      </c>
      <c r="F279" s="87" t="str">
        <f t="shared" si="90"/>
        <v>Wed</v>
      </c>
      <c r="G279" s="87" t="str">
        <f t="shared" si="90"/>
        <v>Thu</v>
      </c>
      <c r="H279" s="87" t="str">
        <f t="shared" si="90"/>
        <v>Fri</v>
      </c>
      <c r="I279" s="87" t="str">
        <f t="shared" si="90"/>
        <v>Sat</v>
      </c>
      <c r="J279" s="87" t="str">
        <f t="shared" si="90"/>
        <v>Sun</v>
      </c>
      <c r="K279" s="84"/>
      <c r="L279" s="84"/>
    </row>
    <row r="280" hidden="1" outlineLevel="1">
      <c r="A280" s="90" t="s">
        <v>194</v>
      </c>
      <c r="B280" s="94">
        <f>20*5</f>
        <v>100</v>
      </c>
      <c r="C280" s="94">
        <f t="shared" ref="C280:C287" si="91">SUM(D280:J280)</f>
        <v>92</v>
      </c>
      <c r="D280" s="191">
        <v>18.0</v>
      </c>
      <c r="E280" s="191">
        <v>15.0</v>
      </c>
      <c r="F280" s="191">
        <v>15.0</v>
      </c>
      <c r="G280" s="191">
        <v>14.0</v>
      </c>
      <c r="H280" s="191">
        <v>21.0</v>
      </c>
      <c r="I280" s="191">
        <v>9.0</v>
      </c>
      <c r="J280" s="191" t="s">
        <v>92</v>
      </c>
      <c r="K280" s="103">
        <f t="shared" ref="K280:K287" si="92">iferror(C280/B280,"-")</f>
        <v>0.92</v>
      </c>
      <c r="L280" s="109">
        <f t="shared" ref="L280:L287" si="93">(IF(K280="",(0),IF(K280&gt;=1,(5),IF(K280&gt;=0.9,(4),IF(K280&gt;=0.8,(3),IF(K280&gt;=0.69,(2),IF(K280&lt;=0.69,(1))))))))</f>
        <v>4</v>
      </c>
    </row>
    <row r="281" hidden="1" outlineLevel="1">
      <c r="A281" s="90" t="s">
        <v>118</v>
      </c>
      <c r="B281" s="94">
        <f>30*5</f>
        <v>150</v>
      </c>
      <c r="C281" s="94">
        <f t="shared" si="91"/>
        <v>111</v>
      </c>
      <c r="D281" s="191">
        <v>31.0</v>
      </c>
      <c r="E281" s="191">
        <v>25.0</v>
      </c>
      <c r="F281" s="191">
        <v>18.0</v>
      </c>
      <c r="G281" s="191">
        <v>25.0</v>
      </c>
      <c r="H281" s="191">
        <v>12.0</v>
      </c>
      <c r="I281" s="191" t="s">
        <v>92</v>
      </c>
      <c r="J281" s="191" t="s">
        <v>92</v>
      </c>
      <c r="K281" s="103">
        <f t="shared" si="92"/>
        <v>0.74</v>
      </c>
      <c r="L281" s="109">
        <f t="shared" si="93"/>
        <v>2</v>
      </c>
    </row>
    <row r="282" hidden="1" outlineLevel="1">
      <c r="A282" s="90" t="s">
        <v>19</v>
      </c>
      <c r="B282" s="94">
        <f>20*5+10</f>
        <v>110</v>
      </c>
      <c r="C282" s="94">
        <f t="shared" si="91"/>
        <v>105</v>
      </c>
      <c r="D282" s="191">
        <v>19.0</v>
      </c>
      <c r="E282" s="191">
        <v>22.0</v>
      </c>
      <c r="F282" s="191">
        <v>13.0</v>
      </c>
      <c r="G282" s="191">
        <v>12.0</v>
      </c>
      <c r="H282" s="191">
        <v>32.0</v>
      </c>
      <c r="I282" s="191" t="s">
        <v>92</v>
      </c>
      <c r="J282" s="191">
        <v>7.0</v>
      </c>
      <c r="K282" s="103">
        <f t="shared" si="92"/>
        <v>0.9545454545</v>
      </c>
      <c r="L282" s="109">
        <f t="shared" si="93"/>
        <v>4</v>
      </c>
    </row>
    <row r="283" hidden="1" outlineLevel="1">
      <c r="A283" s="90" t="s">
        <v>120</v>
      </c>
      <c r="B283" s="94">
        <f>25*5</f>
        <v>125</v>
      </c>
      <c r="C283" s="94">
        <f t="shared" si="91"/>
        <v>121</v>
      </c>
      <c r="D283" s="191">
        <v>26.0</v>
      </c>
      <c r="E283" s="191">
        <v>27.0</v>
      </c>
      <c r="F283" s="191">
        <v>23.0</v>
      </c>
      <c r="G283" s="191" t="s">
        <v>92</v>
      </c>
      <c r="H283" s="191" t="s">
        <v>92</v>
      </c>
      <c r="I283" s="191">
        <v>28.0</v>
      </c>
      <c r="J283" s="191">
        <v>17.0</v>
      </c>
      <c r="K283" s="103">
        <f t="shared" si="92"/>
        <v>0.968</v>
      </c>
      <c r="L283" s="109">
        <f t="shared" si="93"/>
        <v>4</v>
      </c>
    </row>
    <row r="284" hidden="1" outlineLevel="1">
      <c r="A284" s="90" t="s">
        <v>22</v>
      </c>
      <c r="B284" s="94">
        <f>20*5</f>
        <v>100</v>
      </c>
      <c r="C284" s="94">
        <f t="shared" si="91"/>
        <v>95</v>
      </c>
      <c r="D284" s="191">
        <v>27.0</v>
      </c>
      <c r="E284" s="191">
        <v>18.0</v>
      </c>
      <c r="F284" s="191">
        <v>19.0</v>
      </c>
      <c r="G284" s="191">
        <v>6.0</v>
      </c>
      <c r="H284" s="191" t="s">
        <v>92</v>
      </c>
      <c r="I284" s="191">
        <v>13.0</v>
      </c>
      <c r="J284" s="191">
        <v>12.0</v>
      </c>
      <c r="K284" s="103">
        <f t="shared" si="92"/>
        <v>0.95</v>
      </c>
      <c r="L284" s="109">
        <f t="shared" si="93"/>
        <v>4</v>
      </c>
    </row>
    <row r="285" hidden="1" outlineLevel="1">
      <c r="A285" s="90" t="s">
        <v>129</v>
      </c>
      <c r="B285" s="94">
        <f t="shared" ref="B285:B286" si="94">30*5</f>
        <v>150</v>
      </c>
      <c r="C285" s="94">
        <f t="shared" si="91"/>
        <v>165</v>
      </c>
      <c r="D285" s="191">
        <v>43.0</v>
      </c>
      <c r="E285" s="310">
        <v>28.0</v>
      </c>
      <c r="F285" s="191">
        <v>36.0</v>
      </c>
      <c r="G285" s="191">
        <v>30.0</v>
      </c>
      <c r="H285" s="191">
        <v>28.0</v>
      </c>
      <c r="I285" s="191" t="s">
        <v>92</v>
      </c>
      <c r="J285" s="191" t="s">
        <v>92</v>
      </c>
      <c r="K285" s="103">
        <f t="shared" si="92"/>
        <v>1.1</v>
      </c>
      <c r="L285" s="109">
        <f t="shared" si="93"/>
        <v>5</v>
      </c>
    </row>
    <row r="286" hidden="1" outlineLevel="1">
      <c r="A286" s="90" t="s">
        <v>13</v>
      </c>
      <c r="B286" s="94">
        <f t="shared" si="94"/>
        <v>150</v>
      </c>
      <c r="C286" s="94">
        <f t="shared" si="91"/>
        <v>156</v>
      </c>
      <c r="D286" s="191">
        <v>25.0</v>
      </c>
      <c r="E286" s="191">
        <v>37.0</v>
      </c>
      <c r="F286" s="191">
        <v>22.0</v>
      </c>
      <c r="G286" s="191">
        <v>24.0</v>
      </c>
      <c r="H286" s="191">
        <v>35.0</v>
      </c>
      <c r="I286" s="191">
        <v>13.0</v>
      </c>
      <c r="J286" s="191" t="s">
        <v>92</v>
      </c>
      <c r="K286" s="103">
        <f t="shared" si="92"/>
        <v>1.04</v>
      </c>
      <c r="L286" s="109">
        <f t="shared" si="93"/>
        <v>5</v>
      </c>
    </row>
    <row r="287" hidden="1" outlineLevel="1">
      <c r="A287" s="90" t="s">
        <v>64</v>
      </c>
      <c r="B287" s="94">
        <f>25+(20*4)</f>
        <v>105</v>
      </c>
      <c r="C287" s="94">
        <f t="shared" si="91"/>
        <v>83</v>
      </c>
      <c r="D287" s="191">
        <v>19.0</v>
      </c>
      <c r="E287" s="191" t="s">
        <v>92</v>
      </c>
      <c r="F287" s="191" t="s">
        <v>92</v>
      </c>
      <c r="G287" s="191">
        <v>13.0</v>
      </c>
      <c r="H287" s="191">
        <v>19.0</v>
      </c>
      <c r="I287" s="191">
        <v>18.0</v>
      </c>
      <c r="J287" s="191">
        <v>14.0</v>
      </c>
      <c r="K287" s="103">
        <f t="shared" si="92"/>
        <v>0.7904761905</v>
      </c>
      <c r="L287" s="109">
        <f t="shared" si="93"/>
        <v>2</v>
      </c>
    </row>
    <row r="288" hidden="1" outlineLevel="1">
      <c r="A288" s="183"/>
      <c r="B288" s="356"/>
      <c r="C288" s="356"/>
      <c r="D288" s="357"/>
      <c r="E288" s="357"/>
      <c r="F288" s="357"/>
      <c r="G288" s="357"/>
      <c r="H288" s="357"/>
      <c r="I288" s="357"/>
      <c r="J288" s="357"/>
      <c r="K288" s="358"/>
      <c r="L288" s="356"/>
    </row>
    <row r="289" hidden="1" outlineLevel="1">
      <c r="B289" s="60" t="s">
        <v>396</v>
      </c>
    </row>
    <row r="290" hidden="1" outlineLevel="1">
      <c r="A290" s="74" t="s">
        <v>73</v>
      </c>
      <c r="B290" s="74" t="s">
        <v>77</v>
      </c>
      <c r="C290" s="74" t="s">
        <v>78</v>
      </c>
      <c r="D290" s="76">
        <v>46286.0</v>
      </c>
      <c r="E290" s="76">
        <v>46287.0</v>
      </c>
      <c r="F290" s="76">
        <v>46288.0</v>
      </c>
      <c r="G290" s="76">
        <v>46289.0</v>
      </c>
      <c r="H290" s="76">
        <v>46290.0</v>
      </c>
      <c r="I290" s="76">
        <v>46291.0</v>
      </c>
      <c r="J290" s="76">
        <v>46292.0</v>
      </c>
      <c r="K290" s="82" t="s">
        <v>82</v>
      </c>
      <c r="L290" s="82" t="s">
        <v>84</v>
      </c>
      <c r="M290" s="183"/>
    </row>
    <row r="291" hidden="1" outlineLevel="1">
      <c r="A291" s="84"/>
      <c r="B291" s="84"/>
      <c r="C291" s="84"/>
      <c r="D291" s="87" t="str">
        <f t="shared" ref="D291:J291" si="95">text(D290,"ddd")</f>
        <v>Mon</v>
      </c>
      <c r="E291" s="87" t="str">
        <f t="shared" si="95"/>
        <v>Tue</v>
      </c>
      <c r="F291" s="87" t="str">
        <f t="shared" si="95"/>
        <v>Wed</v>
      </c>
      <c r="G291" s="87" t="str">
        <f t="shared" si="95"/>
        <v>Thu</v>
      </c>
      <c r="H291" s="87" t="str">
        <f t="shared" si="95"/>
        <v>Fri</v>
      </c>
      <c r="I291" s="87" t="str">
        <f t="shared" si="95"/>
        <v>Sat</v>
      </c>
      <c r="J291" s="87" t="str">
        <f t="shared" si="95"/>
        <v>Sun</v>
      </c>
      <c r="K291" s="84"/>
      <c r="L291" s="84"/>
    </row>
    <row r="292" hidden="1" outlineLevel="1">
      <c r="A292" s="90" t="s">
        <v>88</v>
      </c>
      <c r="B292" s="94">
        <f>20*5</f>
        <v>100</v>
      </c>
      <c r="C292" s="94">
        <f t="shared" ref="C292:C299" si="96">SUM(D292:J292)</f>
        <v>0</v>
      </c>
      <c r="D292" s="191"/>
      <c r="E292" s="191"/>
      <c r="F292" s="191"/>
      <c r="G292" s="191"/>
      <c r="H292" s="191"/>
      <c r="I292" s="191" t="s">
        <v>92</v>
      </c>
      <c r="J292" s="191" t="s">
        <v>92</v>
      </c>
      <c r="K292" s="103">
        <f t="shared" ref="K292:K299" si="97">iferror(C292/B292,"-")</f>
        <v>0</v>
      </c>
      <c r="L292" s="109">
        <f t="shared" ref="L292:L299" si="98">(IF(K292="",(0),IF(K292&gt;=1,(5),IF(K292&gt;=0.9,(4),IF(K292&gt;=0.8,(3),IF(K292&gt;=0.69,(2),IF(K292&lt;=0.69,(1))))))))</f>
        <v>1</v>
      </c>
    </row>
    <row r="293" hidden="1" outlineLevel="1">
      <c r="A293" s="90" t="s">
        <v>118</v>
      </c>
      <c r="B293" s="94">
        <f>30*5</f>
        <v>150</v>
      </c>
      <c r="C293" s="94">
        <f t="shared" si="96"/>
        <v>0</v>
      </c>
      <c r="D293" s="191"/>
      <c r="E293" s="191"/>
      <c r="F293" s="191"/>
      <c r="G293" s="191"/>
      <c r="H293" s="191"/>
      <c r="I293" s="191" t="s">
        <v>92</v>
      </c>
      <c r="J293" s="191" t="s">
        <v>92</v>
      </c>
      <c r="K293" s="103">
        <f t="shared" si="97"/>
        <v>0</v>
      </c>
      <c r="L293" s="109">
        <f t="shared" si="98"/>
        <v>1</v>
      </c>
    </row>
    <row r="294" hidden="1" outlineLevel="1">
      <c r="A294" s="90" t="s">
        <v>19</v>
      </c>
      <c r="B294" s="94">
        <f>20*5+15</f>
        <v>115</v>
      </c>
      <c r="C294" s="94">
        <f t="shared" si="96"/>
        <v>0</v>
      </c>
      <c r="D294" s="191"/>
      <c r="E294" s="191"/>
      <c r="F294" s="191"/>
      <c r="G294" s="191"/>
      <c r="H294" s="191" t="s">
        <v>92</v>
      </c>
      <c r="I294" s="191"/>
      <c r="J294" s="191" t="s">
        <v>92</v>
      </c>
      <c r="K294" s="103">
        <f t="shared" si="97"/>
        <v>0</v>
      </c>
      <c r="L294" s="109">
        <f t="shared" si="98"/>
        <v>1</v>
      </c>
    </row>
    <row r="295" hidden="1" outlineLevel="1">
      <c r="A295" s="90" t="s">
        <v>120</v>
      </c>
      <c r="B295" s="94">
        <f>25*5</f>
        <v>125</v>
      </c>
      <c r="C295" s="94">
        <f t="shared" si="96"/>
        <v>0</v>
      </c>
      <c r="D295" s="191"/>
      <c r="E295" s="191"/>
      <c r="F295" s="191"/>
      <c r="G295" s="191" t="s">
        <v>92</v>
      </c>
      <c r="H295" s="191" t="s">
        <v>92</v>
      </c>
      <c r="I295" s="191"/>
      <c r="J295" s="191"/>
      <c r="K295" s="103">
        <f t="shared" si="97"/>
        <v>0</v>
      </c>
      <c r="L295" s="109">
        <f t="shared" si="98"/>
        <v>1</v>
      </c>
    </row>
    <row r="296" hidden="1" outlineLevel="1">
      <c r="A296" s="90" t="s">
        <v>22</v>
      </c>
      <c r="B296" s="94">
        <f>25*4+15</f>
        <v>115</v>
      </c>
      <c r="C296" s="94">
        <f t="shared" si="96"/>
        <v>0</v>
      </c>
      <c r="D296" s="191"/>
      <c r="E296" s="191"/>
      <c r="F296" s="191"/>
      <c r="G296" s="191" t="s">
        <v>92</v>
      </c>
      <c r="H296" s="191" t="s">
        <v>92</v>
      </c>
      <c r="I296" s="191"/>
      <c r="J296" s="191"/>
      <c r="K296" s="103">
        <f t="shared" si="97"/>
        <v>0</v>
      </c>
      <c r="L296" s="109">
        <f t="shared" si="98"/>
        <v>1</v>
      </c>
    </row>
    <row r="297" hidden="1" outlineLevel="1">
      <c r="A297" s="90" t="s">
        <v>129</v>
      </c>
      <c r="B297" s="94">
        <f t="shared" ref="B297:B298" si="99">30*5</f>
        <v>150</v>
      </c>
      <c r="C297" s="94">
        <f t="shared" si="96"/>
        <v>0</v>
      </c>
      <c r="D297" s="191"/>
      <c r="E297" s="310"/>
      <c r="F297" s="191"/>
      <c r="G297" s="191"/>
      <c r="H297" s="191"/>
      <c r="I297" s="191" t="s">
        <v>92</v>
      </c>
      <c r="J297" s="191" t="s">
        <v>92</v>
      </c>
      <c r="K297" s="103">
        <f t="shared" si="97"/>
        <v>0</v>
      </c>
      <c r="L297" s="109">
        <f t="shared" si="98"/>
        <v>1</v>
      </c>
    </row>
    <row r="298" hidden="1" outlineLevel="1">
      <c r="A298" s="90" t="s">
        <v>13</v>
      </c>
      <c r="B298" s="94">
        <f t="shared" si="99"/>
        <v>150</v>
      </c>
      <c r="C298" s="94">
        <f t="shared" si="96"/>
        <v>0</v>
      </c>
      <c r="D298" s="191"/>
      <c r="E298" s="191"/>
      <c r="F298" s="191"/>
      <c r="G298" s="191"/>
      <c r="H298" s="191"/>
      <c r="I298" s="191" t="s">
        <v>92</v>
      </c>
      <c r="J298" s="191" t="s">
        <v>92</v>
      </c>
      <c r="K298" s="103">
        <f t="shared" si="97"/>
        <v>0</v>
      </c>
      <c r="L298" s="109">
        <f t="shared" si="98"/>
        <v>1</v>
      </c>
    </row>
    <row r="299" hidden="1" outlineLevel="1">
      <c r="A299" s="90" t="s">
        <v>64</v>
      </c>
      <c r="B299" s="94">
        <f>25*4+15</f>
        <v>115</v>
      </c>
      <c r="C299" s="94">
        <f t="shared" si="96"/>
        <v>0</v>
      </c>
      <c r="D299" s="191"/>
      <c r="E299" s="191" t="s">
        <v>92</v>
      </c>
      <c r="F299" s="191" t="s">
        <v>92</v>
      </c>
      <c r="G299" s="191"/>
      <c r="H299" s="191"/>
      <c r="I299" s="191"/>
      <c r="J299" s="191"/>
      <c r="K299" s="103">
        <f t="shared" si="97"/>
        <v>0</v>
      </c>
      <c r="L299" s="109">
        <f t="shared" si="98"/>
        <v>1</v>
      </c>
    </row>
    <row r="300" hidden="1" outlineLevel="1"/>
    <row r="301" hidden="1" outlineLevel="1"/>
    <row r="302" hidden="1" outlineLevel="1">
      <c r="B302" s="60" t="s">
        <v>400</v>
      </c>
    </row>
    <row r="303" hidden="1" outlineLevel="1">
      <c r="A303" s="74" t="s">
        <v>73</v>
      </c>
      <c r="B303" s="74" t="s">
        <v>137</v>
      </c>
      <c r="C303" s="74" t="s">
        <v>138</v>
      </c>
      <c r="D303" s="74" t="s">
        <v>139</v>
      </c>
      <c r="E303" s="74" t="s">
        <v>140</v>
      </c>
      <c r="F303" s="74" t="s">
        <v>141</v>
      </c>
      <c r="G303" s="74" t="s">
        <v>143</v>
      </c>
      <c r="H303" s="74" t="s">
        <v>145</v>
      </c>
    </row>
    <row r="304" hidden="1" outlineLevel="1">
      <c r="A304" s="84"/>
      <c r="B304" s="84"/>
      <c r="C304" s="84"/>
      <c r="D304" s="84"/>
      <c r="E304" s="84"/>
      <c r="F304" s="84"/>
      <c r="G304" s="84"/>
      <c r="H304" s="84"/>
    </row>
    <row r="305" hidden="1" outlineLevel="1">
      <c r="A305" s="90" t="s">
        <v>194</v>
      </c>
      <c r="B305" s="135">
        <v>94.0</v>
      </c>
      <c r="C305" s="135">
        <v>92.0</v>
      </c>
      <c r="D305" s="138">
        <f t="shared" ref="D305:D307" si="100">B305-C305</f>
        <v>2</v>
      </c>
      <c r="E305" s="140">
        <f t="shared" ref="E305:E307" si="101">Iferror(C305/B305,"")</f>
        <v>0.9787234043</v>
      </c>
      <c r="F305" s="141">
        <v>0.0026041666666666665</v>
      </c>
      <c r="G305" s="145">
        <f t="shared" ref="G305:G307" si="102">IFERROR((IF(E305="",(0),IF(E305&gt;=0.98,(5),IF(E305&gt;=0.95,(4.5),IF(E305&gt;=0.9,(4),IF(E305&gt;=0.8,(3),IF(E305&lt;=0.69,(1)))))))),"")</f>
        <v>4.5</v>
      </c>
      <c r="H305" s="145">
        <f t="shared" ref="H305:H307" si="103">ROUND(
IF(F305="",
0,
MAX(1, 5 - MAX(0, (F305 - TIME(0,4,0)) / TIME(0,1,0) * 0.5))
),
2
)
</f>
        <v>5</v>
      </c>
    </row>
    <row r="306" hidden="1" outlineLevel="1">
      <c r="A306" s="90" t="s">
        <v>19</v>
      </c>
      <c r="B306" s="135">
        <v>107.0</v>
      </c>
      <c r="C306" s="135">
        <v>105.0</v>
      </c>
      <c r="D306" s="138">
        <f t="shared" si="100"/>
        <v>2</v>
      </c>
      <c r="E306" s="140">
        <f t="shared" si="101"/>
        <v>0.9813084112</v>
      </c>
      <c r="F306" s="141">
        <v>0.004155092592592592</v>
      </c>
      <c r="G306" s="145">
        <f t="shared" si="102"/>
        <v>5</v>
      </c>
      <c r="H306" s="145">
        <f t="shared" si="103"/>
        <v>4.01</v>
      </c>
    </row>
    <row r="307" hidden="1" outlineLevel="1">
      <c r="A307" s="90" t="s">
        <v>22</v>
      </c>
      <c r="B307" s="135">
        <v>94.0</v>
      </c>
      <c r="C307" s="135">
        <v>94.0</v>
      </c>
      <c r="D307" s="138">
        <f t="shared" si="100"/>
        <v>0</v>
      </c>
      <c r="E307" s="140">
        <f t="shared" si="101"/>
        <v>1</v>
      </c>
      <c r="F307" s="141">
        <v>0.0024074074074074076</v>
      </c>
      <c r="G307" s="145">
        <f t="shared" si="102"/>
        <v>5</v>
      </c>
      <c r="H307" s="145">
        <f t="shared" si="103"/>
        <v>5</v>
      </c>
    </row>
    <row r="308" hidden="1" outlineLevel="1">
      <c r="A308" s="90"/>
      <c r="B308" s="60" t="s">
        <v>411</v>
      </c>
    </row>
    <row r="309" hidden="1" outlineLevel="1">
      <c r="A309" s="74" t="s">
        <v>73</v>
      </c>
      <c r="B309" s="74" t="s">
        <v>137</v>
      </c>
      <c r="C309" s="74" t="s">
        <v>138</v>
      </c>
      <c r="D309" s="74" t="s">
        <v>139</v>
      </c>
      <c r="E309" s="74" t="s">
        <v>140</v>
      </c>
      <c r="F309" s="74" t="s">
        <v>141</v>
      </c>
      <c r="G309" s="74" t="s">
        <v>143</v>
      </c>
      <c r="H309" s="74" t="s">
        <v>145</v>
      </c>
    </row>
    <row r="310" hidden="1" outlineLevel="1">
      <c r="A310" s="84"/>
      <c r="B310" s="84"/>
      <c r="C310" s="84"/>
      <c r="D310" s="84"/>
      <c r="E310" s="84"/>
      <c r="F310" s="84"/>
      <c r="G310" s="371"/>
      <c r="H310" s="371"/>
    </row>
    <row r="311" hidden="1" outlineLevel="1">
      <c r="A311" s="90" t="s">
        <v>118</v>
      </c>
      <c r="B311" s="135">
        <v>114.0</v>
      </c>
      <c r="C311" s="135">
        <v>111.0</v>
      </c>
      <c r="D311" s="138">
        <f t="shared" ref="D311:D315" si="104">B311-C311</f>
        <v>3</v>
      </c>
      <c r="E311" s="140">
        <f t="shared" ref="E311:E315" si="105">Iferror(C311/B311,"")</f>
        <v>0.9736842105</v>
      </c>
      <c r="F311" s="141">
        <v>0.004016203703703704</v>
      </c>
      <c r="G311" s="145">
        <f t="shared" ref="G311:G315" si="106">IFERROR((IF(E311="",(0),IF(E311&gt;=0.98,(5),IF(E311&gt;=0.95,(4.5),IF(E311&gt;=0.9,(4),IF(E311&gt;=0.8,(3),IF(E311&lt;=0.69,(1)))))))),"")</f>
        <v>4.5</v>
      </c>
      <c r="H311" s="145">
        <f t="shared" ref="H311:H315" si="107">ROUND(
IF(F311="",
0,
MAX(1, 5 - MAX(0, (F311 - TIME(0,4,0)) / TIME(0,1,0) * 0.5))
),
2
)
</f>
        <v>4.11</v>
      </c>
    </row>
    <row r="312" hidden="1" outlineLevel="1">
      <c r="A312" s="90" t="s">
        <v>120</v>
      </c>
      <c r="B312" s="135">
        <v>128.0</v>
      </c>
      <c r="C312" s="135">
        <v>121.0</v>
      </c>
      <c r="D312" s="138">
        <f t="shared" si="104"/>
        <v>7</v>
      </c>
      <c r="E312" s="140">
        <f t="shared" si="105"/>
        <v>0.9453125</v>
      </c>
      <c r="F312" s="141">
        <v>0.003148148148148148</v>
      </c>
      <c r="G312" s="145">
        <f t="shared" si="106"/>
        <v>4</v>
      </c>
      <c r="H312" s="145">
        <f t="shared" si="107"/>
        <v>4.73</v>
      </c>
    </row>
    <row r="313" hidden="1" outlineLevel="1">
      <c r="A313" s="90" t="s">
        <v>129</v>
      </c>
      <c r="B313" s="135">
        <v>178.0</v>
      </c>
      <c r="C313" s="135">
        <v>165.0</v>
      </c>
      <c r="D313" s="138">
        <f t="shared" si="104"/>
        <v>13</v>
      </c>
      <c r="E313" s="140">
        <f t="shared" si="105"/>
        <v>0.9269662921</v>
      </c>
      <c r="F313" s="141">
        <v>0.005347222222222222</v>
      </c>
      <c r="G313" s="145">
        <f t="shared" si="106"/>
        <v>4</v>
      </c>
      <c r="H313" s="145">
        <f t="shared" si="107"/>
        <v>3.15</v>
      </c>
    </row>
    <row r="314" hidden="1" outlineLevel="1">
      <c r="A314" s="90" t="s">
        <v>13</v>
      </c>
      <c r="B314" s="135">
        <v>162.0</v>
      </c>
      <c r="C314" s="135">
        <v>156.0</v>
      </c>
      <c r="D314" s="138">
        <f t="shared" si="104"/>
        <v>6</v>
      </c>
      <c r="E314" s="140">
        <f t="shared" si="105"/>
        <v>0.962962963</v>
      </c>
      <c r="F314" s="141">
        <v>0.003460648148148148</v>
      </c>
      <c r="G314" s="145">
        <f t="shared" si="106"/>
        <v>4.5</v>
      </c>
      <c r="H314" s="145">
        <f t="shared" si="107"/>
        <v>4.51</v>
      </c>
    </row>
    <row r="315" hidden="1" outlineLevel="1">
      <c r="A315" s="90" t="s">
        <v>64</v>
      </c>
      <c r="B315" s="135">
        <v>84.0</v>
      </c>
      <c r="C315" s="135">
        <v>83.0</v>
      </c>
      <c r="D315" s="138">
        <f t="shared" si="104"/>
        <v>1</v>
      </c>
      <c r="E315" s="140">
        <f t="shared" si="105"/>
        <v>0.9880952381</v>
      </c>
      <c r="F315" s="141">
        <v>0.0045138888888888885</v>
      </c>
      <c r="G315" s="145">
        <f t="shared" si="106"/>
        <v>5</v>
      </c>
      <c r="H315" s="145">
        <f t="shared" si="107"/>
        <v>3.75</v>
      </c>
    </row>
    <row r="316" hidden="1" outlineLevel="1"/>
    <row r="317" hidden="1" outlineLevel="1"/>
    <row r="318" hidden="1" outlineLevel="1">
      <c r="B318" s="60" t="s">
        <v>160</v>
      </c>
      <c r="H318" s="57" t="s">
        <v>162</v>
      </c>
    </row>
    <row r="319" hidden="1" outlineLevel="1">
      <c r="A319" s="74" t="s">
        <v>73</v>
      </c>
      <c r="B319" s="74" t="s">
        <v>463</v>
      </c>
      <c r="C319" s="74" t="s">
        <v>464</v>
      </c>
      <c r="D319" s="74" t="s">
        <v>166</v>
      </c>
      <c r="E319" s="74" t="s">
        <v>167</v>
      </c>
      <c r="F319" s="74" t="s">
        <v>168</v>
      </c>
      <c r="H319" s="162" t="s">
        <v>169</v>
      </c>
    </row>
    <row r="320" ht="19.5" hidden="1" customHeight="1" outlineLevel="1">
      <c r="A320" s="84"/>
      <c r="B320" s="84"/>
      <c r="C320" s="84"/>
      <c r="D320" s="84"/>
      <c r="E320" s="84"/>
      <c r="F320" s="84"/>
      <c r="H320" s="162" t="s">
        <v>171</v>
      </c>
    </row>
    <row r="321" hidden="1" outlineLevel="1">
      <c r="A321" s="90" t="s">
        <v>88</v>
      </c>
      <c r="B321" s="163"/>
      <c r="C321" s="163"/>
      <c r="D321" s="169">
        <f t="shared" ref="D321:D328" si="108">(B321*0.3)+(C321*0.1)</f>
        <v>0</v>
      </c>
      <c r="E321" s="169">
        <f>(L280+G305+H305)/15*0.3</f>
        <v>0.27</v>
      </c>
      <c r="F321" s="173">
        <f t="shared" ref="F321:F328" si="109">(E321/30%)*10</f>
        <v>9</v>
      </c>
      <c r="H321" s="162" t="s">
        <v>173</v>
      </c>
    </row>
    <row r="322" hidden="1" outlineLevel="1">
      <c r="A322" s="90" t="s">
        <v>118</v>
      </c>
      <c r="B322" s="163"/>
      <c r="C322" s="163"/>
      <c r="D322" s="169">
        <f t="shared" si="108"/>
        <v>0</v>
      </c>
      <c r="E322" s="169">
        <f>(L281+G311+H311)/15*0.3</f>
        <v>0.2122</v>
      </c>
      <c r="F322" s="173">
        <f t="shared" si="109"/>
        <v>7.073333333</v>
      </c>
    </row>
    <row r="323" hidden="1" outlineLevel="1">
      <c r="A323" s="90" t="s">
        <v>19</v>
      </c>
      <c r="B323" s="163"/>
      <c r="C323" s="163"/>
      <c r="D323" s="169">
        <f t="shared" si="108"/>
        <v>0</v>
      </c>
      <c r="E323" s="169">
        <f>(L282+G306+H306)/15*0.3</f>
        <v>0.2602</v>
      </c>
      <c r="F323" s="173">
        <f t="shared" si="109"/>
        <v>8.673333333</v>
      </c>
      <c r="H323" s="57" t="s">
        <v>175</v>
      </c>
    </row>
    <row r="324" hidden="1" outlineLevel="1">
      <c r="A324" s="90" t="s">
        <v>120</v>
      </c>
      <c r="B324" s="163"/>
      <c r="C324" s="163"/>
      <c r="D324" s="169">
        <f t="shared" si="108"/>
        <v>0</v>
      </c>
      <c r="E324" s="169">
        <f>(L283+G312+H312)/15*0.3</f>
        <v>0.2546</v>
      </c>
      <c r="F324" s="173">
        <f t="shared" si="109"/>
        <v>8.486666667</v>
      </c>
      <c r="H324" s="183" t="s">
        <v>177</v>
      </c>
      <c r="J324" s="184" t="s">
        <v>178</v>
      </c>
    </row>
    <row r="325" hidden="1" outlineLevel="1">
      <c r="A325" s="90" t="s">
        <v>22</v>
      </c>
      <c r="B325" s="163"/>
      <c r="C325" s="163"/>
      <c r="D325" s="169">
        <f t="shared" si="108"/>
        <v>0</v>
      </c>
      <c r="E325" s="169">
        <f>(L284+G307+H307)/15*0.3</f>
        <v>0.28</v>
      </c>
      <c r="F325" s="173">
        <f t="shared" si="109"/>
        <v>9.333333333</v>
      </c>
      <c r="H325" s="183" t="s">
        <v>179</v>
      </c>
      <c r="J325" s="184" t="s">
        <v>180</v>
      </c>
    </row>
    <row r="326" hidden="1" outlineLevel="1">
      <c r="A326" s="90" t="s">
        <v>129</v>
      </c>
      <c r="B326" s="163"/>
      <c r="C326" s="163"/>
      <c r="D326" s="169">
        <f t="shared" si="108"/>
        <v>0</v>
      </c>
      <c r="E326" s="169">
        <f t="shared" ref="E326:E328" si="110">(L285+G313+H313)/15*0.3</f>
        <v>0.243</v>
      </c>
      <c r="F326" s="173">
        <f t="shared" si="109"/>
        <v>8.1</v>
      </c>
    </row>
    <row r="327" hidden="1" outlineLevel="1">
      <c r="A327" s="90" t="s">
        <v>13</v>
      </c>
      <c r="B327" s="163"/>
      <c r="C327" s="163"/>
      <c r="D327" s="169">
        <f t="shared" si="108"/>
        <v>0</v>
      </c>
      <c r="E327" s="169">
        <f t="shared" si="110"/>
        <v>0.2802</v>
      </c>
      <c r="F327" s="173">
        <f t="shared" si="109"/>
        <v>9.34</v>
      </c>
    </row>
    <row r="328" hidden="1" outlineLevel="1">
      <c r="A328" s="90" t="s">
        <v>64</v>
      </c>
      <c r="B328" s="163"/>
      <c r="C328" s="163"/>
      <c r="D328" s="169">
        <f t="shared" si="108"/>
        <v>0</v>
      </c>
      <c r="E328" s="169">
        <f t="shared" si="110"/>
        <v>0.215</v>
      </c>
      <c r="F328" s="173">
        <f t="shared" si="109"/>
        <v>7.166666667</v>
      </c>
    </row>
    <row r="329" collapsed="1">
      <c r="A329" s="57"/>
      <c r="B329" s="60" t="s">
        <v>470</v>
      </c>
    </row>
    <row r="330" hidden="1" outlineLevel="1">
      <c r="A330" s="381"/>
      <c r="B330" s="60" t="s">
        <v>381</v>
      </c>
    </row>
    <row r="331" hidden="1" outlineLevel="1">
      <c r="A331" s="74" t="s">
        <v>73</v>
      </c>
      <c r="B331" s="74" t="s">
        <v>77</v>
      </c>
      <c r="C331" s="74" t="s">
        <v>78</v>
      </c>
      <c r="D331" s="76">
        <v>46293.0</v>
      </c>
      <c r="E331" s="76">
        <v>46294.0</v>
      </c>
      <c r="F331" s="76">
        <v>46295.0</v>
      </c>
      <c r="G331" s="76">
        <v>46296.0</v>
      </c>
      <c r="H331" s="76">
        <v>46297.0</v>
      </c>
      <c r="I331" s="76">
        <v>46298.0</v>
      </c>
      <c r="J331" s="76">
        <v>46299.0</v>
      </c>
      <c r="K331" s="82" t="s">
        <v>82</v>
      </c>
      <c r="L331" s="82" t="s">
        <v>84</v>
      </c>
      <c r="M331" s="183"/>
    </row>
    <row r="332" hidden="1" outlineLevel="1">
      <c r="A332" s="84"/>
      <c r="B332" s="84"/>
      <c r="C332" s="84"/>
      <c r="D332" s="87" t="str">
        <f t="shared" ref="D332:J332" si="111">text(D331,"ddd")</f>
        <v>Mon</v>
      </c>
      <c r="E332" s="87" t="str">
        <f t="shared" si="111"/>
        <v>Tue</v>
      </c>
      <c r="F332" s="87" t="str">
        <f t="shared" si="111"/>
        <v>Wed</v>
      </c>
      <c r="G332" s="87" t="str">
        <f t="shared" si="111"/>
        <v>Thu</v>
      </c>
      <c r="H332" s="87" t="str">
        <f t="shared" si="111"/>
        <v>Fri</v>
      </c>
      <c r="I332" s="87" t="str">
        <f t="shared" si="111"/>
        <v>Sat</v>
      </c>
      <c r="J332" s="87" t="str">
        <f t="shared" si="111"/>
        <v>Sun</v>
      </c>
      <c r="K332" s="84"/>
      <c r="L332" s="84"/>
    </row>
    <row r="333" hidden="1" outlineLevel="1">
      <c r="A333" s="90" t="s">
        <v>194</v>
      </c>
      <c r="B333" s="94">
        <f>20*5</f>
        <v>100</v>
      </c>
      <c r="C333" s="94">
        <f t="shared" ref="C333:C340" si="112">SUM(D333:J333)</f>
        <v>92</v>
      </c>
      <c r="D333" s="191">
        <v>13.0</v>
      </c>
      <c r="E333" s="191">
        <v>14.0</v>
      </c>
      <c r="F333" s="191">
        <v>16.0</v>
      </c>
      <c r="G333" s="191">
        <v>14.0</v>
      </c>
      <c r="H333" s="191">
        <v>22.0</v>
      </c>
      <c r="I333" s="191">
        <v>13.0</v>
      </c>
      <c r="J333" s="191" t="s">
        <v>92</v>
      </c>
      <c r="K333" s="103">
        <f t="shared" ref="K333:K340" si="113">iferror(C333/B333,"-")</f>
        <v>0.92</v>
      </c>
      <c r="L333" s="109">
        <f t="shared" ref="L333:L340" si="114">(IF(K333="",(0),IF(K333&gt;=1,(5),IF(K333&gt;=0.9,(4),IF(K333&gt;=0.8,(3),IF(K333&gt;=0.69,(2),IF(K333&lt;=0.69,(1))))))))</f>
        <v>4</v>
      </c>
    </row>
    <row r="334" hidden="1" outlineLevel="1">
      <c r="A334" s="90" t="s">
        <v>118</v>
      </c>
      <c r="B334" s="94">
        <f>30*2</f>
        <v>60</v>
      </c>
      <c r="C334" s="94">
        <f t="shared" si="112"/>
        <v>0</v>
      </c>
      <c r="D334" s="323" t="s">
        <v>197</v>
      </c>
      <c r="E334" s="323" t="s">
        <v>197</v>
      </c>
      <c r="F334" s="323" t="s">
        <v>197</v>
      </c>
      <c r="G334" s="387" t="s">
        <v>196</v>
      </c>
      <c r="H334" s="387" t="s">
        <v>196</v>
      </c>
      <c r="I334" s="191" t="s">
        <v>92</v>
      </c>
      <c r="J334" s="191" t="s">
        <v>92</v>
      </c>
      <c r="K334" s="103">
        <f t="shared" si="113"/>
        <v>0</v>
      </c>
      <c r="L334" s="109">
        <f t="shared" si="114"/>
        <v>1</v>
      </c>
    </row>
    <row r="335" hidden="1" outlineLevel="1">
      <c r="A335" s="90" t="s">
        <v>19</v>
      </c>
      <c r="B335" s="94">
        <f>20*5+10</f>
        <v>110</v>
      </c>
      <c r="C335" s="94">
        <f t="shared" si="112"/>
        <v>110</v>
      </c>
      <c r="D335" s="191">
        <v>16.0</v>
      </c>
      <c r="E335" s="191">
        <v>22.0</v>
      </c>
      <c r="F335" s="191" t="s">
        <v>92</v>
      </c>
      <c r="G335" s="191">
        <v>16.0</v>
      </c>
      <c r="H335" s="191">
        <v>24.0</v>
      </c>
      <c r="I335" s="191">
        <v>23.0</v>
      </c>
      <c r="J335" s="191">
        <v>9.0</v>
      </c>
      <c r="K335" s="103">
        <f t="shared" si="113"/>
        <v>1</v>
      </c>
      <c r="L335" s="109">
        <f t="shared" si="114"/>
        <v>5</v>
      </c>
    </row>
    <row r="336" hidden="1" outlineLevel="1">
      <c r="A336" s="90" t="s">
        <v>120</v>
      </c>
      <c r="B336" s="94">
        <f>25*5</f>
        <v>125</v>
      </c>
      <c r="C336" s="94">
        <f t="shared" si="112"/>
        <v>123</v>
      </c>
      <c r="D336" s="191">
        <v>18.0</v>
      </c>
      <c r="E336" s="191">
        <v>29.0</v>
      </c>
      <c r="F336" s="191">
        <v>35.0</v>
      </c>
      <c r="G336" s="191">
        <v>22.0</v>
      </c>
      <c r="H336" s="191" t="s">
        <v>92</v>
      </c>
      <c r="I336" s="191">
        <v>3.0</v>
      </c>
      <c r="J336" s="191">
        <v>16.0</v>
      </c>
      <c r="K336" s="103">
        <f t="shared" si="113"/>
        <v>0.984</v>
      </c>
      <c r="L336" s="109">
        <f t="shared" si="114"/>
        <v>4</v>
      </c>
    </row>
    <row r="337" hidden="1" outlineLevel="1">
      <c r="A337" s="90" t="s">
        <v>22</v>
      </c>
      <c r="B337" s="94">
        <f>20*5</f>
        <v>100</v>
      </c>
      <c r="C337" s="94">
        <f t="shared" si="112"/>
        <v>106</v>
      </c>
      <c r="D337" s="191">
        <v>20.0</v>
      </c>
      <c r="E337" s="191">
        <v>15.0</v>
      </c>
      <c r="F337" s="191">
        <v>28.0</v>
      </c>
      <c r="G337" s="191" t="s">
        <v>92</v>
      </c>
      <c r="H337" s="191" t="s">
        <v>92</v>
      </c>
      <c r="I337" s="191">
        <v>30.0</v>
      </c>
      <c r="J337" s="191">
        <v>13.0</v>
      </c>
      <c r="K337" s="103">
        <f t="shared" si="113"/>
        <v>1.06</v>
      </c>
      <c r="L337" s="109">
        <f t="shared" si="114"/>
        <v>5</v>
      </c>
    </row>
    <row r="338" hidden="1" outlineLevel="1">
      <c r="A338" s="90" t="s">
        <v>129</v>
      </c>
      <c r="B338" s="94">
        <f t="shared" ref="B338:B339" si="115">30*5</f>
        <v>150</v>
      </c>
      <c r="C338" s="94">
        <f t="shared" si="112"/>
        <v>161</v>
      </c>
      <c r="D338" s="191">
        <v>37.0</v>
      </c>
      <c r="E338" s="310">
        <v>31.0</v>
      </c>
      <c r="F338" s="191">
        <v>29.0</v>
      </c>
      <c r="G338" s="191">
        <v>31.0</v>
      </c>
      <c r="H338" s="191">
        <v>33.0</v>
      </c>
      <c r="I338" s="191" t="s">
        <v>92</v>
      </c>
      <c r="J338" s="191" t="s">
        <v>92</v>
      </c>
      <c r="K338" s="103">
        <f t="shared" si="113"/>
        <v>1.073333333</v>
      </c>
      <c r="L338" s="109">
        <f t="shared" si="114"/>
        <v>5</v>
      </c>
    </row>
    <row r="339" hidden="1" outlineLevel="1">
      <c r="A339" s="90" t="s">
        <v>13</v>
      </c>
      <c r="B339" s="94">
        <f t="shared" si="115"/>
        <v>150</v>
      </c>
      <c r="C339" s="94">
        <f t="shared" si="112"/>
        <v>127</v>
      </c>
      <c r="D339" s="191">
        <v>22.0</v>
      </c>
      <c r="E339" s="387" t="s">
        <v>196</v>
      </c>
      <c r="F339" s="191">
        <v>26.0</v>
      </c>
      <c r="G339" s="191">
        <v>33.0</v>
      </c>
      <c r="H339" s="191">
        <v>29.0</v>
      </c>
      <c r="I339" s="191">
        <v>17.0</v>
      </c>
      <c r="J339" s="191" t="s">
        <v>92</v>
      </c>
      <c r="K339" s="103">
        <f t="shared" si="113"/>
        <v>0.8466666667</v>
      </c>
      <c r="L339" s="109">
        <f t="shared" si="114"/>
        <v>3</v>
      </c>
    </row>
    <row r="340" hidden="1" outlineLevel="1">
      <c r="A340" s="90" t="s">
        <v>64</v>
      </c>
      <c r="B340" s="94">
        <f>25+(20*4)</f>
        <v>105</v>
      </c>
      <c r="C340" s="94">
        <f t="shared" si="112"/>
        <v>90</v>
      </c>
      <c r="D340" s="191">
        <v>19.0</v>
      </c>
      <c r="E340" s="191">
        <v>21.0</v>
      </c>
      <c r="F340" s="191" t="s">
        <v>92</v>
      </c>
      <c r="G340" s="191" t="s">
        <v>92</v>
      </c>
      <c r="H340" s="191">
        <v>19.0</v>
      </c>
      <c r="I340" s="191">
        <v>21.0</v>
      </c>
      <c r="J340" s="191">
        <v>10.0</v>
      </c>
      <c r="K340" s="103">
        <f t="shared" si="113"/>
        <v>0.8571428571</v>
      </c>
      <c r="L340" s="109">
        <f t="shared" si="114"/>
        <v>3</v>
      </c>
    </row>
    <row r="341" hidden="1" outlineLevel="1">
      <c r="A341" s="183"/>
      <c r="B341" s="356"/>
      <c r="C341" s="356"/>
      <c r="D341" s="357"/>
      <c r="E341" s="357"/>
      <c r="F341" s="357"/>
      <c r="G341" s="357"/>
      <c r="H341" s="357"/>
      <c r="I341" s="357"/>
      <c r="J341" s="357"/>
      <c r="K341" s="358"/>
      <c r="L341" s="356"/>
    </row>
    <row r="342" hidden="1" outlineLevel="1">
      <c r="B342" s="60" t="s">
        <v>396</v>
      </c>
    </row>
    <row r="343" hidden="1" outlineLevel="1">
      <c r="A343" s="74" t="s">
        <v>73</v>
      </c>
      <c r="B343" s="74" t="s">
        <v>77</v>
      </c>
      <c r="C343" s="74" t="s">
        <v>78</v>
      </c>
      <c r="D343" s="76">
        <v>46286.0</v>
      </c>
      <c r="E343" s="76">
        <v>46287.0</v>
      </c>
      <c r="F343" s="76">
        <v>46288.0</v>
      </c>
      <c r="G343" s="76">
        <v>46289.0</v>
      </c>
      <c r="H343" s="76">
        <v>46290.0</v>
      </c>
      <c r="I343" s="76">
        <v>46291.0</v>
      </c>
      <c r="J343" s="76">
        <v>46292.0</v>
      </c>
      <c r="K343" s="82" t="s">
        <v>82</v>
      </c>
      <c r="L343" s="82" t="s">
        <v>84</v>
      </c>
      <c r="M343" s="183"/>
    </row>
    <row r="344" hidden="1" outlineLevel="1">
      <c r="A344" s="84"/>
      <c r="B344" s="84"/>
      <c r="C344" s="84"/>
      <c r="D344" s="87" t="str">
        <f t="shared" ref="D344:J344" si="116">text(D343,"ddd")</f>
        <v>Mon</v>
      </c>
      <c r="E344" s="87" t="str">
        <f t="shared" si="116"/>
        <v>Tue</v>
      </c>
      <c r="F344" s="87" t="str">
        <f t="shared" si="116"/>
        <v>Wed</v>
      </c>
      <c r="G344" s="87" t="str">
        <f t="shared" si="116"/>
        <v>Thu</v>
      </c>
      <c r="H344" s="87" t="str">
        <f t="shared" si="116"/>
        <v>Fri</v>
      </c>
      <c r="I344" s="87" t="str">
        <f t="shared" si="116"/>
        <v>Sat</v>
      </c>
      <c r="J344" s="87" t="str">
        <f t="shared" si="116"/>
        <v>Sun</v>
      </c>
      <c r="K344" s="84"/>
      <c r="L344" s="84"/>
    </row>
    <row r="345" hidden="1" outlineLevel="1">
      <c r="A345" s="90" t="s">
        <v>88</v>
      </c>
      <c r="B345" s="94">
        <f>20*5</f>
        <v>100</v>
      </c>
      <c r="C345" s="94">
        <f t="shared" ref="C345:C352" si="117">SUM(D345:J345)</f>
        <v>0</v>
      </c>
      <c r="D345" s="191"/>
      <c r="E345" s="191"/>
      <c r="F345" s="191"/>
      <c r="G345" s="191"/>
      <c r="H345" s="191"/>
      <c r="I345" s="191" t="s">
        <v>92</v>
      </c>
      <c r="J345" s="191" t="s">
        <v>92</v>
      </c>
      <c r="K345" s="103">
        <f t="shared" ref="K345:K352" si="118">iferror(C345/B345,"-")</f>
        <v>0</v>
      </c>
      <c r="L345" s="109">
        <f t="shared" ref="L345:L352" si="119">(IF(K345="",(0),IF(K345&gt;=1,(5),IF(K345&gt;=0.9,(4),IF(K345&gt;=0.8,(3),IF(K345&gt;=0.69,(2),IF(K345&lt;=0.69,(1))))))))</f>
        <v>1</v>
      </c>
    </row>
    <row r="346" hidden="1" outlineLevel="1">
      <c r="A346" s="90" t="s">
        <v>118</v>
      </c>
      <c r="B346" s="94">
        <f>30*5</f>
        <v>150</v>
      </c>
      <c r="C346" s="94">
        <f t="shared" si="117"/>
        <v>0</v>
      </c>
      <c r="D346" s="191"/>
      <c r="E346" s="191"/>
      <c r="F346" s="191"/>
      <c r="G346" s="191"/>
      <c r="H346" s="191"/>
      <c r="I346" s="191" t="s">
        <v>92</v>
      </c>
      <c r="J346" s="191" t="s">
        <v>92</v>
      </c>
      <c r="K346" s="103">
        <f t="shared" si="118"/>
        <v>0</v>
      </c>
      <c r="L346" s="109">
        <f t="shared" si="119"/>
        <v>1</v>
      </c>
    </row>
    <row r="347" hidden="1" outlineLevel="1">
      <c r="A347" s="90" t="s">
        <v>19</v>
      </c>
      <c r="B347" s="94">
        <f>20*5+15</f>
        <v>115</v>
      </c>
      <c r="C347" s="94">
        <f t="shared" si="117"/>
        <v>0</v>
      </c>
      <c r="D347" s="191"/>
      <c r="E347" s="191"/>
      <c r="F347" s="191"/>
      <c r="G347" s="191"/>
      <c r="H347" s="191" t="s">
        <v>92</v>
      </c>
      <c r="I347" s="191"/>
      <c r="J347" s="191" t="s">
        <v>92</v>
      </c>
      <c r="K347" s="103">
        <f t="shared" si="118"/>
        <v>0</v>
      </c>
      <c r="L347" s="109">
        <f t="shared" si="119"/>
        <v>1</v>
      </c>
    </row>
    <row r="348" hidden="1" outlineLevel="1">
      <c r="A348" s="90" t="s">
        <v>120</v>
      </c>
      <c r="B348" s="94">
        <f>25*5</f>
        <v>125</v>
      </c>
      <c r="C348" s="94">
        <f t="shared" si="117"/>
        <v>0</v>
      </c>
      <c r="D348" s="191"/>
      <c r="E348" s="191"/>
      <c r="F348" s="191"/>
      <c r="G348" s="191" t="s">
        <v>92</v>
      </c>
      <c r="H348" s="191" t="s">
        <v>92</v>
      </c>
      <c r="I348" s="191"/>
      <c r="J348" s="191"/>
      <c r="K348" s="103">
        <f t="shared" si="118"/>
        <v>0</v>
      </c>
      <c r="L348" s="109">
        <f t="shared" si="119"/>
        <v>1</v>
      </c>
    </row>
    <row r="349" hidden="1" outlineLevel="1">
      <c r="A349" s="90" t="s">
        <v>22</v>
      </c>
      <c r="B349" s="94">
        <f>25*4+15</f>
        <v>115</v>
      </c>
      <c r="C349" s="94">
        <f t="shared" si="117"/>
        <v>0</v>
      </c>
      <c r="D349" s="191"/>
      <c r="E349" s="191"/>
      <c r="F349" s="191"/>
      <c r="G349" s="191" t="s">
        <v>92</v>
      </c>
      <c r="H349" s="191" t="s">
        <v>92</v>
      </c>
      <c r="I349" s="191"/>
      <c r="J349" s="191"/>
      <c r="K349" s="103">
        <f t="shared" si="118"/>
        <v>0</v>
      </c>
      <c r="L349" s="109">
        <f t="shared" si="119"/>
        <v>1</v>
      </c>
    </row>
    <row r="350" hidden="1" outlineLevel="1">
      <c r="A350" s="90" t="s">
        <v>129</v>
      </c>
      <c r="B350" s="94">
        <f t="shared" ref="B350:B351" si="120">30*5</f>
        <v>150</v>
      </c>
      <c r="C350" s="94">
        <f t="shared" si="117"/>
        <v>0</v>
      </c>
      <c r="D350" s="191"/>
      <c r="E350" s="310"/>
      <c r="F350" s="191"/>
      <c r="G350" s="191"/>
      <c r="H350" s="191"/>
      <c r="I350" s="191" t="s">
        <v>92</v>
      </c>
      <c r="J350" s="191" t="s">
        <v>92</v>
      </c>
      <c r="K350" s="103">
        <f t="shared" si="118"/>
        <v>0</v>
      </c>
      <c r="L350" s="109">
        <f t="shared" si="119"/>
        <v>1</v>
      </c>
    </row>
    <row r="351" hidden="1" outlineLevel="1">
      <c r="A351" s="90" t="s">
        <v>13</v>
      </c>
      <c r="B351" s="94">
        <f t="shared" si="120"/>
        <v>150</v>
      </c>
      <c r="C351" s="94">
        <f t="shared" si="117"/>
        <v>0</v>
      </c>
      <c r="D351" s="191"/>
      <c r="E351" s="191"/>
      <c r="F351" s="191"/>
      <c r="G351" s="191"/>
      <c r="H351" s="191"/>
      <c r="I351" s="191" t="s">
        <v>92</v>
      </c>
      <c r="J351" s="191" t="s">
        <v>92</v>
      </c>
      <c r="K351" s="103">
        <f t="shared" si="118"/>
        <v>0</v>
      </c>
      <c r="L351" s="109">
        <f t="shared" si="119"/>
        <v>1</v>
      </c>
    </row>
    <row r="352" hidden="1" outlineLevel="1">
      <c r="A352" s="90" t="s">
        <v>64</v>
      </c>
      <c r="B352" s="94">
        <f>25*4+15</f>
        <v>115</v>
      </c>
      <c r="C352" s="94">
        <f t="shared" si="117"/>
        <v>0</v>
      </c>
      <c r="D352" s="191"/>
      <c r="E352" s="191" t="s">
        <v>92</v>
      </c>
      <c r="F352" s="191" t="s">
        <v>92</v>
      </c>
      <c r="G352" s="191"/>
      <c r="H352" s="191"/>
      <c r="I352" s="191"/>
      <c r="J352" s="191"/>
      <c r="K352" s="103">
        <f t="shared" si="118"/>
        <v>0</v>
      </c>
      <c r="L352" s="109">
        <f t="shared" si="119"/>
        <v>1</v>
      </c>
    </row>
    <row r="353" hidden="1" outlineLevel="1"/>
    <row r="354" hidden="1" outlineLevel="1"/>
    <row r="355" hidden="1" outlineLevel="1">
      <c r="B355" s="60" t="s">
        <v>400</v>
      </c>
    </row>
    <row r="356" hidden="1" outlineLevel="1">
      <c r="A356" s="74" t="s">
        <v>73</v>
      </c>
      <c r="B356" s="74" t="s">
        <v>137</v>
      </c>
      <c r="C356" s="74" t="s">
        <v>138</v>
      </c>
      <c r="D356" s="74" t="s">
        <v>139</v>
      </c>
      <c r="E356" s="74" t="s">
        <v>140</v>
      </c>
      <c r="F356" s="74" t="s">
        <v>141</v>
      </c>
      <c r="G356" s="74" t="s">
        <v>143</v>
      </c>
      <c r="H356" s="74" t="s">
        <v>145</v>
      </c>
    </row>
    <row r="357" hidden="1" outlineLevel="1">
      <c r="A357" s="84"/>
      <c r="B357" s="84"/>
      <c r="C357" s="84"/>
      <c r="D357" s="84"/>
      <c r="E357" s="84"/>
      <c r="F357" s="84"/>
      <c r="G357" s="84"/>
      <c r="H357" s="84"/>
    </row>
    <row r="358" hidden="1" outlineLevel="1">
      <c r="A358" s="90" t="s">
        <v>194</v>
      </c>
      <c r="B358" s="135">
        <v>92.0</v>
      </c>
      <c r="C358" s="135">
        <v>92.0</v>
      </c>
      <c r="D358" s="138">
        <f t="shared" ref="D358:D360" si="121">B358-C358</f>
        <v>0</v>
      </c>
      <c r="E358" s="140">
        <f t="shared" ref="E358:E360" si="122">Iferror(C358/B358,"")</f>
        <v>1</v>
      </c>
      <c r="F358" s="141">
        <v>0.0021064814814814813</v>
      </c>
      <c r="G358" s="145">
        <f t="shared" ref="G358:G360" si="123">IFERROR((IF(E358="",(0),IF(E358&gt;=0.98,(5),IF(E358&gt;=0.95,(4.5),IF(E358&gt;=0.9,(4),IF(E358&gt;=0.8,(3),IF(E358&lt;=0.69,(1)))))))),"")</f>
        <v>5</v>
      </c>
      <c r="H358" s="145">
        <f t="shared" ref="H358:H360" si="124">ROUND(
IF(F358="",
0,
MAX(1, 5 - MAX(0, (F358 - TIME(0,4,0)) / TIME(0,1,0) * 0.5))
),
2
)
</f>
        <v>5</v>
      </c>
    </row>
    <row r="359" hidden="1" outlineLevel="1">
      <c r="A359" s="90" t="s">
        <v>19</v>
      </c>
      <c r="B359" s="135">
        <v>114.0</v>
      </c>
      <c r="C359" s="135">
        <v>110.0</v>
      </c>
      <c r="D359" s="138">
        <f t="shared" si="121"/>
        <v>4</v>
      </c>
      <c r="E359" s="140">
        <f t="shared" si="122"/>
        <v>0.9649122807</v>
      </c>
      <c r="F359" s="141">
        <v>0.003414351851851852</v>
      </c>
      <c r="G359" s="145">
        <f t="shared" si="123"/>
        <v>4.5</v>
      </c>
      <c r="H359" s="145">
        <f t="shared" si="124"/>
        <v>4.54</v>
      </c>
    </row>
    <row r="360" hidden="1" outlineLevel="1">
      <c r="A360" s="90" t="s">
        <v>22</v>
      </c>
      <c r="B360" s="135">
        <v>110.0</v>
      </c>
      <c r="C360" s="135">
        <v>106.0</v>
      </c>
      <c r="D360" s="138">
        <f t="shared" si="121"/>
        <v>4</v>
      </c>
      <c r="E360" s="140">
        <f t="shared" si="122"/>
        <v>0.9636363636</v>
      </c>
      <c r="F360" s="141">
        <v>0.002488425925925926</v>
      </c>
      <c r="G360" s="145">
        <f t="shared" si="123"/>
        <v>4.5</v>
      </c>
      <c r="H360" s="145">
        <f t="shared" si="124"/>
        <v>5</v>
      </c>
    </row>
    <row r="361" hidden="1" outlineLevel="1">
      <c r="A361" s="90"/>
      <c r="B361" s="60" t="s">
        <v>411</v>
      </c>
    </row>
    <row r="362" hidden="1" outlineLevel="1">
      <c r="A362" s="74" t="s">
        <v>73</v>
      </c>
      <c r="B362" s="74" t="s">
        <v>137</v>
      </c>
      <c r="C362" s="74" t="s">
        <v>138</v>
      </c>
      <c r="D362" s="74" t="s">
        <v>139</v>
      </c>
      <c r="E362" s="74" t="s">
        <v>140</v>
      </c>
      <c r="F362" s="74" t="s">
        <v>141</v>
      </c>
      <c r="G362" s="74" t="s">
        <v>143</v>
      </c>
      <c r="H362" s="74" t="s">
        <v>145</v>
      </c>
    </row>
    <row r="363" hidden="1" outlineLevel="1">
      <c r="A363" s="84"/>
      <c r="B363" s="84"/>
      <c r="C363" s="84"/>
      <c r="D363" s="84"/>
      <c r="E363" s="84"/>
      <c r="F363" s="84"/>
      <c r="G363" s="371"/>
      <c r="H363" s="371"/>
    </row>
    <row r="364" hidden="1" outlineLevel="1">
      <c r="A364" s="90" t="s">
        <v>118</v>
      </c>
      <c r="B364" s="135">
        <v>0.0</v>
      </c>
      <c r="C364" s="135">
        <v>0.0</v>
      </c>
      <c r="D364" s="138">
        <f t="shared" ref="D364:D368" si="125">B364-C364</f>
        <v>0</v>
      </c>
      <c r="E364" s="140" t="str">
        <f t="shared" ref="E364:E368" si="126">Iferror(C364/B364,"")</f>
        <v/>
      </c>
      <c r="F364" s="135">
        <v>0.0</v>
      </c>
      <c r="G364" s="145">
        <f t="shared" ref="G364:G368" si="127">IFERROR((IF(E364="",(0),IF(E364&gt;=0.98,(5),IF(E364&gt;=0.95,(4.5),IF(E364&gt;=0.9,(4),IF(E364&gt;=0.8,(3),IF(E364&lt;=0.69,(1)))))))),"")</f>
        <v>0</v>
      </c>
      <c r="H364" s="145">
        <f t="shared" ref="H364:H368" si="128">ROUND(
IF(F364="",
0,
MAX(1, 5 - MAX(0, (F364 - TIME(0,4,0)) / TIME(0,1,0) * 0.5))
),
2
)
</f>
        <v>5</v>
      </c>
    </row>
    <row r="365" hidden="1" outlineLevel="1">
      <c r="A365" s="90" t="s">
        <v>120</v>
      </c>
      <c r="B365" s="135">
        <v>130.0</v>
      </c>
      <c r="C365" s="135">
        <v>123.0</v>
      </c>
      <c r="D365" s="138">
        <f t="shared" si="125"/>
        <v>7</v>
      </c>
      <c r="E365" s="140">
        <f t="shared" si="126"/>
        <v>0.9461538462</v>
      </c>
      <c r="F365" s="141">
        <v>0.003599537037037037</v>
      </c>
      <c r="G365" s="145">
        <f t="shared" si="127"/>
        <v>4</v>
      </c>
      <c r="H365" s="145">
        <f t="shared" si="128"/>
        <v>4.41</v>
      </c>
    </row>
    <row r="366" hidden="1" outlineLevel="1">
      <c r="A366" s="90" t="s">
        <v>129</v>
      </c>
      <c r="B366" s="135">
        <v>165.0</v>
      </c>
      <c r="C366" s="135">
        <v>161.0</v>
      </c>
      <c r="D366" s="138">
        <f t="shared" si="125"/>
        <v>4</v>
      </c>
      <c r="E366" s="140">
        <f t="shared" si="126"/>
        <v>0.9757575758</v>
      </c>
      <c r="F366" s="141">
        <v>0.005833333333333334</v>
      </c>
      <c r="G366" s="145">
        <f t="shared" si="127"/>
        <v>4.5</v>
      </c>
      <c r="H366" s="145">
        <f t="shared" si="128"/>
        <v>2.8</v>
      </c>
    </row>
    <row r="367" hidden="1" outlineLevel="1">
      <c r="A367" s="90" t="s">
        <v>13</v>
      </c>
      <c r="B367" s="135">
        <v>131.0</v>
      </c>
      <c r="C367" s="135">
        <v>127.0</v>
      </c>
      <c r="D367" s="138">
        <f t="shared" si="125"/>
        <v>4</v>
      </c>
      <c r="E367" s="140">
        <f t="shared" si="126"/>
        <v>0.9694656489</v>
      </c>
      <c r="F367" s="141">
        <v>0.0032175925925925926</v>
      </c>
      <c r="G367" s="145">
        <f t="shared" si="127"/>
        <v>4.5</v>
      </c>
      <c r="H367" s="145">
        <f t="shared" si="128"/>
        <v>4.68</v>
      </c>
    </row>
    <row r="368" hidden="1" outlineLevel="1">
      <c r="A368" s="90" t="s">
        <v>64</v>
      </c>
      <c r="B368" s="135">
        <v>91.0</v>
      </c>
      <c r="C368" s="135">
        <v>90.0</v>
      </c>
      <c r="D368" s="138">
        <f t="shared" si="125"/>
        <v>1</v>
      </c>
      <c r="E368" s="140">
        <f t="shared" si="126"/>
        <v>0.989010989</v>
      </c>
      <c r="F368" s="141">
        <v>0.004675925925925926</v>
      </c>
      <c r="G368" s="145">
        <f t="shared" si="127"/>
        <v>5</v>
      </c>
      <c r="H368" s="145">
        <f t="shared" si="128"/>
        <v>3.63</v>
      </c>
    </row>
    <row r="369" hidden="1" outlineLevel="1"/>
    <row r="370" hidden="1" outlineLevel="1"/>
    <row r="371" hidden="1" outlineLevel="1">
      <c r="B371" s="60" t="s">
        <v>160</v>
      </c>
      <c r="H371" s="57" t="s">
        <v>162</v>
      </c>
    </row>
    <row r="372" hidden="1" outlineLevel="1">
      <c r="A372" s="74" t="s">
        <v>73</v>
      </c>
      <c r="B372" s="74" t="s">
        <v>503</v>
      </c>
      <c r="C372" s="74" t="s">
        <v>504</v>
      </c>
      <c r="D372" s="74" t="s">
        <v>166</v>
      </c>
      <c r="E372" s="74" t="s">
        <v>167</v>
      </c>
      <c r="F372" s="74" t="s">
        <v>168</v>
      </c>
      <c r="H372" s="162" t="s">
        <v>169</v>
      </c>
    </row>
    <row r="373" ht="19.5" hidden="1" customHeight="1" outlineLevel="1">
      <c r="A373" s="84"/>
      <c r="B373" s="84"/>
      <c r="C373" s="84"/>
      <c r="D373" s="84"/>
      <c r="E373" s="84"/>
      <c r="F373" s="84"/>
      <c r="H373" s="162" t="s">
        <v>171</v>
      </c>
    </row>
    <row r="374" hidden="1" outlineLevel="1">
      <c r="A374" s="90" t="s">
        <v>88</v>
      </c>
      <c r="B374" s="163"/>
      <c r="C374" s="163">
        <v>1.0</v>
      </c>
      <c r="D374" s="169">
        <f t="shared" ref="D374:D381" si="129">(B374*0.3)+(C374*0.1)</f>
        <v>0.1</v>
      </c>
      <c r="E374" s="169">
        <f>(L333+G358+H358)/15*0.3</f>
        <v>0.28</v>
      </c>
      <c r="F374" s="173">
        <f t="shared" ref="F374:F381" si="130">(E374/30%)*10</f>
        <v>9.333333333</v>
      </c>
      <c r="H374" s="162" t="s">
        <v>173</v>
      </c>
    </row>
    <row r="375" hidden="1" outlineLevel="1">
      <c r="A375" s="90" t="s">
        <v>118</v>
      </c>
      <c r="B375" s="163"/>
      <c r="C375" s="163">
        <v>1.0</v>
      </c>
      <c r="D375" s="169">
        <f t="shared" si="129"/>
        <v>0.1</v>
      </c>
      <c r="E375" s="169">
        <f>(L334+G364+H364)/15*0.3</f>
        <v>0.12</v>
      </c>
      <c r="F375" s="173">
        <f t="shared" si="130"/>
        <v>4</v>
      </c>
    </row>
    <row r="376" hidden="1" outlineLevel="1">
      <c r="A376" s="90" t="s">
        <v>19</v>
      </c>
      <c r="B376" s="163"/>
      <c r="C376" s="163">
        <v>1.0</v>
      </c>
      <c r="D376" s="169">
        <f t="shared" si="129"/>
        <v>0.1</v>
      </c>
      <c r="E376" s="169">
        <f>(L335+G359+H359)/15*0.3</f>
        <v>0.2808</v>
      </c>
      <c r="F376" s="173">
        <f t="shared" si="130"/>
        <v>9.36</v>
      </c>
      <c r="H376" s="57" t="s">
        <v>175</v>
      </c>
    </row>
    <row r="377" hidden="1" outlineLevel="1">
      <c r="A377" s="90" t="s">
        <v>120</v>
      </c>
      <c r="B377" s="163"/>
      <c r="C377" s="163">
        <v>1.0</v>
      </c>
      <c r="D377" s="169">
        <f t="shared" si="129"/>
        <v>0.1</v>
      </c>
      <c r="E377" s="169">
        <f>(L336+G365+H365)/15*0.3</f>
        <v>0.2482</v>
      </c>
      <c r="F377" s="173">
        <f t="shared" si="130"/>
        <v>8.273333333</v>
      </c>
      <c r="H377" s="183" t="s">
        <v>177</v>
      </c>
      <c r="J377" s="184" t="s">
        <v>178</v>
      </c>
    </row>
    <row r="378" hidden="1" outlineLevel="1">
      <c r="A378" s="90" t="s">
        <v>22</v>
      </c>
      <c r="B378" s="163"/>
      <c r="C378" s="163">
        <v>1.0</v>
      </c>
      <c r="D378" s="169">
        <f t="shared" si="129"/>
        <v>0.1</v>
      </c>
      <c r="E378" s="169">
        <f>(L337+G360+H360)/15*0.3</f>
        <v>0.29</v>
      </c>
      <c r="F378" s="173">
        <f t="shared" si="130"/>
        <v>9.666666667</v>
      </c>
      <c r="H378" s="183" t="s">
        <v>179</v>
      </c>
      <c r="J378" s="184" t="s">
        <v>180</v>
      </c>
    </row>
    <row r="379" hidden="1" outlineLevel="1">
      <c r="A379" s="90" t="s">
        <v>129</v>
      </c>
      <c r="B379" s="163"/>
      <c r="C379" s="163">
        <v>1.0</v>
      </c>
      <c r="D379" s="169">
        <f t="shared" si="129"/>
        <v>0.1</v>
      </c>
      <c r="E379" s="169">
        <f t="shared" ref="E379:E381" si="131">(L338+G366+H366)/15*0.3</f>
        <v>0.246</v>
      </c>
      <c r="F379" s="173">
        <f t="shared" si="130"/>
        <v>8.2</v>
      </c>
    </row>
    <row r="380" hidden="1" outlineLevel="1">
      <c r="A380" s="90" t="s">
        <v>13</v>
      </c>
      <c r="B380" s="163"/>
      <c r="C380" s="163">
        <v>1.0</v>
      </c>
      <c r="D380" s="169">
        <f t="shared" si="129"/>
        <v>0.1</v>
      </c>
      <c r="E380" s="169">
        <f t="shared" si="131"/>
        <v>0.2436</v>
      </c>
      <c r="F380" s="173">
        <f t="shared" si="130"/>
        <v>8.12</v>
      </c>
    </row>
    <row r="381" hidden="1" outlineLevel="1">
      <c r="A381" s="90" t="s">
        <v>64</v>
      </c>
      <c r="B381" s="163"/>
      <c r="C381" s="163">
        <v>1.0</v>
      </c>
      <c r="D381" s="169">
        <f t="shared" si="129"/>
        <v>0.1</v>
      </c>
      <c r="E381" s="169">
        <f t="shared" si="131"/>
        <v>0.2326</v>
      </c>
      <c r="F381" s="173">
        <f t="shared" si="130"/>
        <v>7.753333333</v>
      </c>
    </row>
    <row r="382">
      <c r="A382" s="57"/>
      <c r="B382" s="60" t="s">
        <v>511</v>
      </c>
    </row>
    <row r="383" outlineLevel="1">
      <c r="A383" s="381"/>
      <c r="B383" s="60" t="s">
        <v>381</v>
      </c>
    </row>
    <row r="384" outlineLevel="1">
      <c r="A384" s="74" t="s">
        <v>73</v>
      </c>
      <c r="B384" s="74" t="s">
        <v>77</v>
      </c>
      <c r="C384" s="74" t="s">
        <v>78</v>
      </c>
      <c r="D384" s="76">
        <v>46300.0</v>
      </c>
      <c r="E384" s="76">
        <v>46301.0</v>
      </c>
      <c r="F384" s="76">
        <v>46302.0</v>
      </c>
      <c r="G384" s="76">
        <v>46303.0</v>
      </c>
      <c r="H384" s="76">
        <v>46304.0</v>
      </c>
      <c r="I384" s="76">
        <v>46305.0</v>
      </c>
      <c r="J384" s="76">
        <v>46306.0</v>
      </c>
      <c r="K384" s="82" t="s">
        <v>82</v>
      </c>
      <c r="L384" s="82" t="s">
        <v>84</v>
      </c>
      <c r="M384" s="183"/>
    </row>
    <row r="385" outlineLevel="1">
      <c r="A385" s="84"/>
      <c r="B385" s="84"/>
      <c r="C385" s="84"/>
      <c r="D385" s="87" t="str">
        <f t="shared" ref="D385:J385" si="132">text(D384,"ddd")</f>
        <v>Mon</v>
      </c>
      <c r="E385" s="87" t="str">
        <f t="shared" si="132"/>
        <v>Tue</v>
      </c>
      <c r="F385" s="87" t="str">
        <f t="shared" si="132"/>
        <v>Wed</v>
      </c>
      <c r="G385" s="87" t="str">
        <f t="shared" si="132"/>
        <v>Thu</v>
      </c>
      <c r="H385" s="87" t="str">
        <f t="shared" si="132"/>
        <v>Fri</v>
      </c>
      <c r="I385" s="87" t="str">
        <f t="shared" si="132"/>
        <v>Sat</v>
      </c>
      <c r="J385" s="87" t="str">
        <f t="shared" si="132"/>
        <v>Sun</v>
      </c>
      <c r="K385" s="84"/>
      <c r="L385" s="84"/>
    </row>
    <row r="386" outlineLevel="1">
      <c r="A386" s="90" t="s">
        <v>194</v>
      </c>
      <c r="B386" s="94">
        <f>20*5</f>
        <v>100</v>
      </c>
      <c r="C386" s="94">
        <f t="shared" ref="C386:C393" si="133">SUM(D386:J386)</f>
        <v>104</v>
      </c>
      <c r="D386" s="191">
        <v>17.0</v>
      </c>
      <c r="E386" s="191">
        <v>20.0</v>
      </c>
      <c r="F386" s="191">
        <v>17.0</v>
      </c>
      <c r="G386" s="191">
        <v>15.0</v>
      </c>
      <c r="H386" s="191">
        <v>29.0</v>
      </c>
      <c r="I386" s="191">
        <v>6.0</v>
      </c>
      <c r="J386" s="191" t="s">
        <v>92</v>
      </c>
      <c r="K386" s="103">
        <f t="shared" ref="K386:K393" si="134">iferror(C386/B386,"-")</f>
        <v>1.04</v>
      </c>
      <c r="L386" s="109">
        <f t="shared" ref="L386:L393" si="135">(IF(K386="",(0),IF(K386&gt;=1,(5),IF(K386&gt;=0.9,(4),IF(K386&gt;=0.8,(3),IF(K386&gt;=0.69,(2),IF(K386&lt;=0.69,(1))))))))</f>
        <v>5</v>
      </c>
    </row>
    <row r="387" outlineLevel="1">
      <c r="A387" s="90" t="s">
        <v>118</v>
      </c>
      <c r="B387" s="94">
        <f>25*5</f>
        <v>125</v>
      </c>
      <c r="C387" s="94">
        <f t="shared" si="133"/>
        <v>125</v>
      </c>
      <c r="D387" s="191">
        <v>23.0</v>
      </c>
      <c r="E387" s="191">
        <v>30.0</v>
      </c>
      <c r="F387" s="191">
        <v>19.0</v>
      </c>
      <c r="G387" s="191">
        <v>28.0</v>
      </c>
      <c r="H387" s="191">
        <v>25.0</v>
      </c>
      <c r="I387" s="191" t="s">
        <v>92</v>
      </c>
      <c r="J387" s="191" t="s">
        <v>92</v>
      </c>
      <c r="K387" s="103">
        <f t="shared" si="134"/>
        <v>1</v>
      </c>
      <c r="L387" s="109">
        <f t="shared" si="135"/>
        <v>5</v>
      </c>
    </row>
    <row r="388" outlineLevel="1">
      <c r="A388" s="90" t="s">
        <v>19</v>
      </c>
      <c r="B388" s="94">
        <f>20*5+10</f>
        <v>110</v>
      </c>
      <c r="C388" s="94">
        <f t="shared" si="133"/>
        <v>110</v>
      </c>
      <c r="D388" s="191">
        <v>22.0</v>
      </c>
      <c r="E388" s="191">
        <v>22.0</v>
      </c>
      <c r="F388" s="191" t="s">
        <v>92</v>
      </c>
      <c r="G388" s="191">
        <v>21.0</v>
      </c>
      <c r="H388" s="191">
        <v>21.0</v>
      </c>
      <c r="I388" s="191">
        <v>14.0</v>
      </c>
      <c r="J388" s="191">
        <v>10.0</v>
      </c>
      <c r="K388" s="103">
        <f t="shared" si="134"/>
        <v>1</v>
      </c>
      <c r="L388" s="109">
        <f t="shared" si="135"/>
        <v>5</v>
      </c>
    </row>
    <row r="389" outlineLevel="1">
      <c r="A389" s="90" t="s">
        <v>120</v>
      </c>
      <c r="B389" s="94">
        <f>25*4+15</f>
        <v>115</v>
      </c>
      <c r="C389" s="94">
        <f t="shared" si="133"/>
        <v>99</v>
      </c>
      <c r="D389" s="191">
        <v>17.0</v>
      </c>
      <c r="E389" s="191">
        <v>22.0</v>
      </c>
      <c r="F389" s="191">
        <v>30.0</v>
      </c>
      <c r="G389" s="191">
        <v>16.0</v>
      </c>
      <c r="H389" s="191" t="s">
        <v>92</v>
      </c>
      <c r="I389" s="191" t="s">
        <v>92</v>
      </c>
      <c r="J389" s="191">
        <v>14.0</v>
      </c>
      <c r="K389" s="103">
        <f t="shared" si="134"/>
        <v>0.8608695652</v>
      </c>
      <c r="L389" s="109">
        <f t="shared" si="135"/>
        <v>3</v>
      </c>
    </row>
    <row r="390" outlineLevel="1">
      <c r="A390" s="90" t="s">
        <v>22</v>
      </c>
      <c r="B390" s="94">
        <f>20*5</f>
        <v>100</v>
      </c>
      <c r="C390" s="94">
        <f t="shared" si="133"/>
        <v>101</v>
      </c>
      <c r="D390" s="191">
        <v>17.0</v>
      </c>
      <c r="E390" s="191">
        <v>14.0</v>
      </c>
      <c r="F390" s="191">
        <v>21.0</v>
      </c>
      <c r="G390" s="191">
        <v>9.0</v>
      </c>
      <c r="H390" s="191" t="s">
        <v>92</v>
      </c>
      <c r="I390" s="191">
        <v>18.0</v>
      </c>
      <c r="J390" s="191">
        <v>22.0</v>
      </c>
      <c r="K390" s="103">
        <f t="shared" si="134"/>
        <v>1.01</v>
      </c>
      <c r="L390" s="109">
        <f t="shared" si="135"/>
        <v>5</v>
      </c>
    </row>
    <row r="391" outlineLevel="1">
      <c r="A391" s="90" t="s">
        <v>129</v>
      </c>
      <c r="B391" s="94">
        <f t="shared" ref="B391:B392" si="136">25*5</f>
        <v>125</v>
      </c>
      <c r="C391" s="94">
        <f t="shared" si="133"/>
        <v>132</v>
      </c>
      <c r="D391" s="191">
        <v>37.0</v>
      </c>
      <c r="E391" s="310">
        <v>24.0</v>
      </c>
      <c r="F391" s="191">
        <v>31.0</v>
      </c>
      <c r="G391" s="191">
        <v>19.0</v>
      </c>
      <c r="H391" s="191">
        <v>21.0</v>
      </c>
      <c r="I391" s="191" t="s">
        <v>92</v>
      </c>
      <c r="J391" s="191" t="s">
        <v>92</v>
      </c>
      <c r="K391" s="103">
        <f t="shared" si="134"/>
        <v>1.056</v>
      </c>
      <c r="L391" s="109">
        <f t="shared" si="135"/>
        <v>5</v>
      </c>
    </row>
    <row r="392" outlineLevel="1">
      <c r="A392" s="90" t="s">
        <v>13</v>
      </c>
      <c r="B392" s="94">
        <f t="shared" si="136"/>
        <v>125</v>
      </c>
      <c r="C392" s="94">
        <f t="shared" si="133"/>
        <v>127</v>
      </c>
      <c r="D392" s="191">
        <v>22.0</v>
      </c>
      <c r="E392" s="191">
        <v>29.0</v>
      </c>
      <c r="F392" s="191">
        <v>23.0</v>
      </c>
      <c r="G392" s="191">
        <v>20.0</v>
      </c>
      <c r="H392" s="191">
        <v>18.0</v>
      </c>
      <c r="I392" s="191">
        <v>15.0</v>
      </c>
      <c r="J392" s="191" t="s">
        <v>92</v>
      </c>
      <c r="K392" s="103">
        <f t="shared" si="134"/>
        <v>1.016</v>
      </c>
      <c r="L392" s="109">
        <f t="shared" si="135"/>
        <v>5</v>
      </c>
    </row>
    <row r="393" outlineLevel="1">
      <c r="A393" s="90" t="s">
        <v>64</v>
      </c>
      <c r="B393" s="94">
        <f>15+(25*4)</f>
        <v>115</v>
      </c>
      <c r="C393" s="94">
        <f t="shared" si="133"/>
        <v>92</v>
      </c>
      <c r="D393" s="191">
        <v>15.0</v>
      </c>
      <c r="E393" s="191" t="s">
        <v>92</v>
      </c>
      <c r="F393" s="191" t="s">
        <v>92</v>
      </c>
      <c r="G393" s="191">
        <v>15.0</v>
      </c>
      <c r="H393" s="191">
        <v>29.0</v>
      </c>
      <c r="I393" s="191">
        <v>21.0</v>
      </c>
      <c r="J393" s="191">
        <v>12.0</v>
      </c>
      <c r="K393" s="103">
        <f t="shared" si="134"/>
        <v>0.8</v>
      </c>
      <c r="L393" s="109">
        <f t="shared" si="135"/>
        <v>3</v>
      </c>
    </row>
    <row r="394" outlineLevel="1">
      <c r="A394" s="388"/>
      <c r="B394" s="389"/>
      <c r="C394" s="389"/>
      <c r="D394" s="357"/>
      <c r="E394" s="357"/>
      <c r="F394" s="357"/>
      <c r="G394" s="357"/>
      <c r="H394" s="357"/>
      <c r="I394" s="357"/>
      <c r="J394" s="357"/>
      <c r="K394" s="390"/>
      <c r="L394" s="389"/>
      <c r="M394" s="268"/>
      <c r="N394" s="268"/>
    </row>
    <row r="395" outlineLevel="1">
      <c r="B395" s="60" t="s">
        <v>396</v>
      </c>
    </row>
    <row r="396" outlineLevel="1">
      <c r="A396" s="74" t="s">
        <v>73</v>
      </c>
      <c r="B396" s="74" t="s">
        <v>77</v>
      </c>
      <c r="C396" s="74" t="s">
        <v>78</v>
      </c>
      <c r="D396" s="76">
        <v>46300.0</v>
      </c>
      <c r="E396" s="76">
        <v>46301.0</v>
      </c>
      <c r="F396" s="76">
        <v>46302.0</v>
      </c>
      <c r="G396" s="76">
        <v>46303.0</v>
      </c>
      <c r="H396" s="76">
        <v>46304.0</v>
      </c>
      <c r="I396" s="76">
        <v>46305.0</v>
      </c>
      <c r="J396" s="76">
        <v>46306.0</v>
      </c>
      <c r="K396" s="82" t="s">
        <v>82</v>
      </c>
      <c r="L396" s="82" t="s">
        <v>84</v>
      </c>
      <c r="M396" s="183"/>
    </row>
    <row r="397" outlineLevel="1">
      <c r="A397" s="84"/>
      <c r="B397" s="84"/>
      <c r="C397" s="84"/>
      <c r="D397" s="87" t="str">
        <f t="shared" ref="D397:J397" si="137">text(D396,"ddd")</f>
        <v>Mon</v>
      </c>
      <c r="E397" s="87" t="str">
        <f t="shared" si="137"/>
        <v>Tue</v>
      </c>
      <c r="F397" s="87" t="str">
        <f t="shared" si="137"/>
        <v>Wed</v>
      </c>
      <c r="G397" s="87" t="str">
        <f t="shared" si="137"/>
        <v>Thu</v>
      </c>
      <c r="H397" s="87" t="str">
        <f t="shared" si="137"/>
        <v>Fri</v>
      </c>
      <c r="I397" s="87" t="str">
        <f t="shared" si="137"/>
        <v>Sat</v>
      </c>
      <c r="J397" s="87" t="str">
        <f t="shared" si="137"/>
        <v>Sun</v>
      </c>
      <c r="K397" s="84"/>
      <c r="L397" s="84"/>
    </row>
    <row r="398" outlineLevel="1">
      <c r="A398" s="90" t="s">
        <v>194</v>
      </c>
      <c r="B398" s="94">
        <f>20*5</f>
        <v>100</v>
      </c>
      <c r="C398" s="94">
        <f t="shared" ref="C398:C405" si="138">SUM(D398:J398)</f>
        <v>0</v>
      </c>
      <c r="D398" s="191"/>
      <c r="E398" s="191"/>
      <c r="F398" s="191"/>
      <c r="G398" s="191"/>
      <c r="H398" s="191"/>
      <c r="I398" s="191" t="s">
        <v>92</v>
      </c>
      <c r="J398" s="191" t="s">
        <v>92</v>
      </c>
      <c r="K398" s="103">
        <f t="shared" ref="K398:K405" si="139">iferror(C398/B398,"-")</f>
        <v>0</v>
      </c>
      <c r="L398" s="109">
        <f t="shared" ref="L398:L405" si="140">(IF(K398="",(0),IF(K398&gt;=1,(5),IF(K398&gt;=0.9,(4),IF(K398&gt;=0.8,(3),IF(K398&gt;=0.69,(2),IF(K398&lt;=0.69,(1))))))))</f>
        <v>1</v>
      </c>
    </row>
    <row r="399" outlineLevel="1">
      <c r="A399" s="90" t="s">
        <v>118</v>
      </c>
      <c r="B399" s="94">
        <f>30*5</f>
        <v>150</v>
      </c>
      <c r="C399" s="94">
        <f t="shared" si="138"/>
        <v>0</v>
      </c>
      <c r="D399" s="191"/>
      <c r="E399" s="191"/>
      <c r="F399" s="191"/>
      <c r="G399" s="191"/>
      <c r="H399" s="191"/>
      <c r="I399" s="191" t="s">
        <v>92</v>
      </c>
      <c r="J399" s="191" t="s">
        <v>92</v>
      </c>
      <c r="K399" s="103">
        <f t="shared" si="139"/>
        <v>0</v>
      </c>
      <c r="L399" s="109">
        <f t="shared" si="140"/>
        <v>1</v>
      </c>
    </row>
    <row r="400" outlineLevel="1">
      <c r="A400" s="90" t="s">
        <v>19</v>
      </c>
      <c r="B400" s="94">
        <f>20*5+15</f>
        <v>115</v>
      </c>
      <c r="C400" s="94">
        <f t="shared" si="138"/>
        <v>5</v>
      </c>
      <c r="D400" s="191">
        <v>1.0</v>
      </c>
      <c r="E400" s="191"/>
      <c r="F400" s="191" t="s">
        <v>92</v>
      </c>
      <c r="G400" s="191">
        <v>2.0</v>
      </c>
      <c r="H400" s="191"/>
      <c r="I400" s="191"/>
      <c r="J400" s="191">
        <v>2.0</v>
      </c>
      <c r="K400" s="103">
        <f t="shared" si="139"/>
        <v>0.04347826087</v>
      </c>
      <c r="L400" s="109">
        <f t="shared" si="140"/>
        <v>1</v>
      </c>
    </row>
    <row r="401" outlineLevel="1">
      <c r="A401" s="90" t="s">
        <v>120</v>
      </c>
      <c r="B401" s="94">
        <f>25*5</f>
        <v>125</v>
      </c>
      <c r="C401" s="94">
        <f t="shared" si="138"/>
        <v>2</v>
      </c>
      <c r="D401" s="191"/>
      <c r="E401" s="191"/>
      <c r="F401" s="191"/>
      <c r="G401" s="191" t="s">
        <v>92</v>
      </c>
      <c r="H401" s="191" t="s">
        <v>92</v>
      </c>
      <c r="I401" s="191"/>
      <c r="J401" s="191">
        <v>2.0</v>
      </c>
      <c r="K401" s="103">
        <f t="shared" si="139"/>
        <v>0.016</v>
      </c>
      <c r="L401" s="109">
        <f t="shared" si="140"/>
        <v>1</v>
      </c>
    </row>
    <row r="402" outlineLevel="1">
      <c r="A402" s="90" t="s">
        <v>22</v>
      </c>
      <c r="B402" s="94">
        <f>25*4+15</f>
        <v>115</v>
      </c>
      <c r="C402" s="94">
        <f t="shared" si="138"/>
        <v>1</v>
      </c>
      <c r="D402" s="191"/>
      <c r="E402" s="191"/>
      <c r="F402" s="191"/>
      <c r="G402" s="191" t="s">
        <v>92</v>
      </c>
      <c r="H402" s="191" t="s">
        <v>92</v>
      </c>
      <c r="I402" s="191"/>
      <c r="J402" s="191">
        <v>1.0</v>
      </c>
      <c r="K402" s="103">
        <f t="shared" si="139"/>
        <v>0.008695652174</v>
      </c>
      <c r="L402" s="109">
        <f t="shared" si="140"/>
        <v>1</v>
      </c>
    </row>
    <row r="403" outlineLevel="1">
      <c r="A403" s="90" t="s">
        <v>129</v>
      </c>
      <c r="B403" s="94">
        <f t="shared" ref="B403:B404" si="141">30*5</f>
        <v>150</v>
      </c>
      <c r="C403" s="94">
        <f t="shared" si="138"/>
        <v>0</v>
      </c>
      <c r="D403" s="191"/>
      <c r="E403" s="310"/>
      <c r="F403" s="191"/>
      <c r="G403" s="191"/>
      <c r="H403" s="191"/>
      <c r="I403" s="191" t="s">
        <v>92</v>
      </c>
      <c r="J403" s="191" t="s">
        <v>92</v>
      </c>
      <c r="K403" s="103">
        <f t="shared" si="139"/>
        <v>0</v>
      </c>
      <c r="L403" s="109">
        <f t="shared" si="140"/>
        <v>1</v>
      </c>
    </row>
    <row r="404" outlineLevel="1">
      <c r="A404" s="90" t="s">
        <v>13</v>
      </c>
      <c r="B404" s="94">
        <f t="shared" si="141"/>
        <v>150</v>
      </c>
      <c r="C404" s="94">
        <f t="shared" si="138"/>
        <v>5</v>
      </c>
      <c r="D404" s="191"/>
      <c r="E404" s="191"/>
      <c r="F404" s="191"/>
      <c r="G404" s="191"/>
      <c r="H404" s="191"/>
      <c r="I404" s="191">
        <v>5.0</v>
      </c>
      <c r="J404" s="191" t="s">
        <v>92</v>
      </c>
      <c r="K404" s="103">
        <f t="shared" si="139"/>
        <v>0.03333333333</v>
      </c>
      <c r="L404" s="109">
        <f t="shared" si="140"/>
        <v>1</v>
      </c>
    </row>
    <row r="405" outlineLevel="1">
      <c r="A405" s="90" t="s">
        <v>64</v>
      </c>
      <c r="B405" s="94">
        <f>25*4+15</f>
        <v>115</v>
      </c>
      <c r="C405" s="94">
        <f t="shared" si="138"/>
        <v>6</v>
      </c>
      <c r="D405" s="191"/>
      <c r="E405" s="191" t="s">
        <v>92</v>
      </c>
      <c r="F405" s="191" t="s">
        <v>92</v>
      </c>
      <c r="G405" s="191"/>
      <c r="H405" s="191"/>
      <c r="I405" s="191"/>
      <c r="J405" s="191">
        <v>6.0</v>
      </c>
      <c r="K405" s="103">
        <f t="shared" si="139"/>
        <v>0.05217391304</v>
      </c>
      <c r="L405" s="109">
        <f t="shared" si="140"/>
        <v>1</v>
      </c>
    </row>
    <row r="406" outlineLevel="1"/>
    <row r="407" outlineLevel="1"/>
    <row r="408" outlineLevel="1">
      <c r="B408" s="60" t="s">
        <v>400</v>
      </c>
    </row>
    <row r="409" outlineLevel="1">
      <c r="A409" s="74" t="s">
        <v>73</v>
      </c>
      <c r="B409" s="74" t="s">
        <v>137</v>
      </c>
      <c r="C409" s="74" t="s">
        <v>138</v>
      </c>
      <c r="D409" s="74" t="s">
        <v>139</v>
      </c>
      <c r="E409" s="74" t="s">
        <v>140</v>
      </c>
      <c r="F409" s="74" t="s">
        <v>141</v>
      </c>
      <c r="G409" s="74" t="s">
        <v>143</v>
      </c>
      <c r="H409" s="74" t="s">
        <v>145</v>
      </c>
    </row>
    <row r="410" outlineLevel="1">
      <c r="A410" s="84"/>
      <c r="B410" s="84"/>
      <c r="C410" s="84"/>
      <c r="D410" s="84"/>
      <c r="E410" s="84"/>
      <c r="F410" s="84"/>
      <c r="G410" s="84"/>
      <c r="H410" s="84"/>
    </row>
    <row r="411" outlineLevel="1">
      <c r="A411" s="90" t="s">
        <v>194</v>
      </c>
      <c r="B411" s="135">
        <v>107.0</v>
      </c>
      <c r="C411" s="135">
        <v>104.0</v>
      </c>
      <c r="D411" s="138">
        <f t="shared" ref="D411:D413" si="142">B411-C411</f>
        <v>3</v>
      </c>
      <c r="E411" s="140">
        <f t="shared" ref="E411:E413" si="143">Iferror(C411/B411,"")</f>
        <v>0.9719626168</v>
      </c>
      <c r="F411" s="141">
        <v>0.0021759259259259258</v>
      </c>
      <c r="G411" s="145">
        <f t="shared" ref="G411:G413" si="144">IFERROR((IF(E411="",(0),IF(E411&gt;=0.98,(5),IF(E411&gt;=0.95,(4.5),IF(E411&gt;=0.9,(4),IF(E411&gt;=0.8,(3),IF(E411&lt;=0.69,(1)))))))),"")</f>
        <v>4.5</v>
      </c>
      <c r="H411" s="145">
        <f t="shared" ref="H411:H413" si="145">ROUND(
IF(F411="",
0,
MAX(1, 5 - MAX(0, (F411 - TIME(0,4,0)) / TIME(0,1,0) * 0.5))
),
2
)
</f>
        <v>5</v>
      </c>
    </row>
    <row r="412" outlineLevel="1">
      <c r="A412" s="90" t="s">
        <v>19</v>
      </c>
      <c r="B412" s="135">
        <v>115.0</v>
      </c>
      <c r="C412" s="135">
        <v>110.0</v>
      </c>
      <c r="D412" s="138">
        <f t="shared" si="142"/>
        <v>5</v>
      </c>
      <c r="E412" s="140">
        <f t="shared" si="143"/>
        <v>0.9565217391</v>
      </c>
      <c r="F412" s="141">
        <v>0.0036689814814814814</v>
      </c>
      <c r="G412" s="145">
        <f t="shared" si="144"/>
        <v>4.5</v>
      </c>
      <c r="H412" s="145">
        <f t="shared" si="145"/>
        <v>4.36</v>
      </c>
    </row>
    <row r="413" outlineLevel="1">
      <c r="A413" s="90" t="s">
        <v>22</v>
      </c>
      <c r="B413" s="135">
        <v>105.0</v>
      </c>
      <c r="C413" s="135">
        <v>101.0</v>
      </c>
      <c r="D413" s="138">
        <f t="shared" si="142"/>
        <v>4</v>
      </c>
      <c r="E413" s="140">
        <f t="shared" si="143"/>
        <v>0.9619047619</v>
      </c>
      <c r="F413" s="141">
        <v>0.002511574074074074</v>
      </c>
      <c r="G413" s="145">
        <f t="shared" si="144"/>
        <v>4.5</v>
      </c>
      <c r="H413" s="145">
        <f t="shared" si="145"/>
        <v>5</v>
      </c>
    </row>
    <row r="414" outlineLevel="1">
      <c r="A414" s="90"/>
      <c r="B414" s="60" t="s">
        <v>411</v>
      </c>
    </row>
    <row r="415" outlineLevel="1">
      <c r="A415" s="74" t="s">
        <v>73</v>
      </c>
      <c r="B415" s="74" t="s">
        <v>137</v>
      </c>
      <c r="C415" s="74" t="s">
        <v>138</v>
      </c>
      <c r="D415" s="74" t="s">
        <v>139</v>
      </c>
      <c r="E415" s="74" t="s">
        <v>140</v>
      </c>
      <c r="F415" s="74" t="s">
        <v>141</v>
      </c>
      <c r="G415" s="74" t="s">
        <v>143</v>
      </c>
      <c r="H415" s="74" t="s">
        <v>145</v>
      </c>
    </row>
    <row r="416" outlineLevel="1">
      <c r="A416" s="84"/>
      <c r="B416" s="84"/>
      <c r="C416" s="84"/>
      <c r="D416" s="84"/>
      <c r="E416" s="84"/>
      <c r="F416" s="84"/>
      <c r="G416" s="371"/>
      <c r="H416" s="371"/>
    </row>
    <row r="417" outlineLevel="1">
      <c r="A417" s="90" t="s">
        <v>118</v>
      </c>
      <c r="B417" s="135">
        <v>129.0</v>
      </c>
      <c r="C417" s="135">
        <v>125.0</v>
      </c>
      <c r="D417" s="138">
        <f t="shared" ref="D417:D421" si="146">B417-C417</f>
        <v>4</v>
      </c>
      <c r="E417" s="140">
        <f t="shared" ref="E417:E421" si="147">Iferror(C417/B417,"")</f>
        <v>0.9689922481</v>
      </c>
      <c r="F417" s="141">
        <v>0.003726851851851852</v>
      </c>
      <c r="G417" s="145">
        <f t="shared" ref="G417:G421" si="148">IFERROR((IF(E417="",(0),IF(E417&gt;=0.98,(5),IF(E417&gt;=0.95,(4.5),IF(E417&gt;=0.9,(4),IF(E417&gt;=0.8,(3),IF(E417&lt;=0.69,(1)))))))),"")</f>
        <v>4.5</v>
      </c>
      <c r="H417" s="145">
        <f t="shared" ref="H417:H421" si="149">ROUND(
IF(F417="",
0,
MAX(1, 5 - MAX(0, (F417 - TIME(0,4,0)) / TIME(0,1,0) * 0.5))
),
2
)
</f>
        <v>4.32</v>
      </c>
    </row>
    <row r="418" outlineLevel="1">
      <c r="A418" s="90" t="s">
        <v>120</v>
      </c>
      <c r="B418" s="135">
        <v>103.0</v>
      </c>
      <c r="C418" s="135">
        <v>99.0</v>
      </c>
      <c r="D418" s="138">
        <f t="shared" si="146"/>
        <v>4</v>
      </c>
      <c r="E418" s="140">
        <f t="shared" si="147"/>
        <v>0.9611650485</v>
      </c>
      <c r="F418" s="141">
        <v>0.0028819444444444444</v>
      </c>
      <c r="G418" s="145">
        <f t="shared" si="148"/>
        <v>4.5</v>
      </c>
      <c r="H418" s="145">
        <f t="shared" si="149"/>
        <v>4.93</v>
      </c>
    </row>
    <row r="419" outlineLevel="1">
      <c r="A419" s="90" t="s">
        <v>129</v>
      </c>
      <c r="B419" s="135">
        <v>132.0</v>
      </c>
      <c r="C419" s="135">
        <v>132.0</v>
      </c>
      <c r="D419" s="138">
        <f t="shared" si="146"/>
        <v>0</v>
      </c>
      <c r="E419" s="140">
        <f t="shared" si="147"/>
        <v>1</v>
      </c>
      <c r="F419" s="141">
        <v>0.005555555555555556</v>
      </c>
      <c r="G419" s="145">
        <f t="shared" si="148"/>
        <v>5</v>
      </c>
      <c r="H419" s="145">
        <f t="shared" si="149"/>
        <v>3</v>
      </c>
    </row>
    <row r="420" outlineLevel="1">
      <c r="A420" s="90" t="s">
        <v>13</v>
      </c>
      <c r="B420" s="135">
        <v>127.0</v>
      </c>
      <c r="C420" s="135">
        <v>127.0</v>
      </c>
      <c r="D420" s="138">
        <f t="shared" si="146"/>
        <v>0</v>
      </c>
      <c r="E420" s="140">
        <f t="shared" si="147"/>
        <v>1</v>
      </c>
      <c r="F420" s="141">
        <v>0.003148148148148148</v>
      </c>
      <c r="G420" s="145">
        <f t="shared" si="148"/>
        <v>5</v>
      </c>
      <c r="H420" s="145">
        <f t="shared" si="149"/>
        <v>4.73</v>
      </c>
    </row>
    <row r="421" outlineLevel="1">
      <c r="A421" s="90" t="s">
        <v>64</v>
      </c>
      <c r="B421" s="135">
        <v>96.0</v>
      </c>
      <c r="C421" s="135">
        <v>92.0</v>
      </c>
      <c r="D421" s="138">
        <f t="shared" si="146"/>
        <v>4</v>
      </c>
      <c r="E421" s="140">
        <f t="shared" si="147"/>
        <v>0.9583333333</v>
      </c>
      <c r="F421" s="141">
        <v>0.0042592592592592595</v>
      </c>
      <c r="G421" s="145">
        <f t="shared" si="148"/>
        <v>4.5</v>
      </c>
      <c r="H421" s="145">
        <f t="shared" si="149"/>
        <v>3.93</v>
      </c>
    </row>
    <row r="422" outlineLevel="1"/>
    <row r="423" outlineLevel="1"/>
    <row r="424" outlineLevel="1">
      <c r="B424" s="60" t="s">
        <v>160</v>
      </c>
      <c r="H424" s="57" t="s">
        <v>162</v>
      </c>
    </row>
    <row r="425" outlineLevel="1">
      <c r="A425" s="74" t="s">
        <v>73</v>
      </c>
      <c r="B425" s="74" t="s">
        <v>540</v>
      </c>
      <c r="C425" s="74" t="s">
        <v>541</v>
      </c>
      <c r="D425" s="74" t="s">
        <v>166</v>
      </c>
      <c r="E425" s="74" t="s">
        <v>167</v>
      </c>
      <c r="F425" s="74" t="s">
        <v>168</v>
      </c>
      <c r="H425" s="162" t="s">
        <v>169</v>
      </c>
    </row>
    <row r="426" ht="19.5" customHeight="1" outlineLevel="1">
      <c r="A426" s="84"/>
      <c r="B426" s="84"/>
      <c r="C426" s="84"/>
      <c r="D426" s="84"/>
      <c r="E426" s="84"/>
      <c r="F426" s="84"/>
      <c r="H426" s="162" t="s">
        <v>171</v>
      </c>
    </row>
    <row r="427" outlineLevel="1">
      <c r="A427" s="90" t="s">
        <v>88</v>
      </c>
      <c r="B427" s="163">
        <v>1.0</v>
      </c>
      <c r="C427" s="163">
        <v>1.0</v>
      </c>
      <c r="D427" s="169">
        <f t="shared" ref="D427:D434" si="150">(B427*0.3)+(C427*0.1)</f>
        <v>0.4</v>
      </c>
      <c r="E427" s="169">
        <f>(L386+G411+H411)/15*0.3</f>
        <v>0.29</v>
      </c>
      <c r="F427" s="173">
        <f t="shared" ref="F427:F434" si="151">(E427/30%)*10</f>
        <v>9.666666667</v>
      </c>
      <c r="H427" s="162" t="s">
        <v>173</v>
      </c>
    </row>
    <row r="428" outlineLevel="1">
      <c r="A428" s="90" t="s">
        <v>118</v>
      </c>
      <c r="B428" s="163">
        <v>1.0</v>
      </c>
      <c r="C428" s="163">
        <v>1.0</v>
      </c>
      <c r="D428" s="169">
        <f t="shared" si="150"/>
        <v>0.4</v>
      </c>
      <c r="E428" s="169">
        <f>(L387+G417+H417)/15*0.3</f>
        <v>0.2764</v>
      </c>
      <c r="F428" s="173">
        <f t="shared" si="151"/>
        <v>9.213333333</v>
      </c>
    </row>
    <row r="429" outlineLevel="1">
      <c r="A429" s="90" t="s">
        <v>19</v>
      </c>
      <c r="B429" s="163">
        <v>1.0</v>
      </c>
      <c r="C429" s="163">
        <v>1.0</v>
      </c>
      <c r="D429" s="169">
        <f t="shared" si="150"/>
        <v>0.4</v>
      </c>
      <c r="E429" s="169">
        <f>(L388+G412+H412)/15*0.3</f>
        <v>0.2772</v>
      </c>
      <c r="F429" s="173">
        <f t="shared" si="151"/>
        <v>9.24</v>
      </c>
      <c r="H429" s="57" t="s">
        <v>175</v>
      </c>
    </row>
    <row r="430" outlineLevel="1">
      <c r="A430" s="90" t="s">
        <v>120</v>
      </c>
      <c r="B430" s="163">
        <v>1.0</v>
      </c>
      <c r="C430" s="163">
        <v>1.0</v>
      </c>
      <c r="D430" s="169">
        <f t="shared" si="150"/>
        <v>0.4</v>
      </c>
      <c r="E430" s="169">
        <f>(L389+G418+H418)/15*0.3</f>
        <v>0.2486</v>
      </c>
      <c r="F430" s="173">
        <f t="shared" si="151"/>
        <v>8.286666667</v>
      </c>
      <c r="H430" s="183" t="s">
        <v>177</v>
      </c>
      <c r="J430" s="184" t="s">
        <v>178</v>
      </c>
    </row>
    <row r="431" outlineLevel="1">
      <c r="A431" s="90" t="s">
        <v>22</v>
      </c>
      <c r="B431" s="163">
        <v>0.85</v>
      </c>
      <c r="C431" s="163">
        <v>1.0</v>
      </c>
      <c r="D431" s="169">
        <f t="shared" si="150"/>
        <v>0.355</v>
      </c>
      <c r="E431" s="169">
        <f>(L390+G413+H413)/15*0.3</f>
        <v>0.29</v>
      </c>
      <c r="F431" s="173">
        <f t="shared" si="151"/>
        <v>9.666666667</v>
      </c>
      <c r="H431" s="183" t="s">
        <v>179</v>
      </c>
      <c r="J431" s="184" t="s">
        <v>180</v>
      </c>
    </row>
    <row r="432" outlineLevel="1">
      <c r="A432" s="90" t="s">
        <v>129</v>
      </c>
      <c r="B432" s="163">
        <v>1.0</v>
      </c>
      <c r="C432" s="163">
        <v>1.0</v>
      </c>
      <c r="D432" s="169">
        <f t="shared" si="150"/>
        <v>0.4</v>
      </c>
      <c r="E432" s="169">
        <f t="shared" ref="E432:E434" si="152">(L391+G419+H419)/15*0.3</f>
        <v>0.26</v>
      </c>
      <c r="F432" s="173">
        <f t="shared" si="151"/>
        <v>8.666666667</v>
      </c>
    </row>
    <row r="433" outlineLevel="1">
      <c r="A433" s="90" t="s">
        <v>13</v>
      </c>
      <c r="B433" s="163">
        <v>0.6</v>
      </c>
      <c r="C433" s="163">
        <v>1.0</v>
      </c>
      <c r="D433" s="169">
        <f t="shared" si="150"/>
        <v>0.28</v>
      </c>
      <c r="E433" s="169">
        <f t="shared" si="152"/>
        <v>0.2946</v>
      </c>
      <c r="F433" s="173">
        <f t="shared" si="151"/>
        <v>9.82</v>
      </c>
    </row>
    <row r="434" outlineLevel="1">
      <c r="A434" s="90" t="s">
        <v>64</v>
      </c>
      <c r="B434" s="163">
        <v>0.6</v>
      </c>
      <c r="C434" s="163">
        <v>1.0</v>
      </c>
      <c r="D434" s="169">
        <f t="shared" si="150"/>
        <v>0.28</v>
      </c>
      <c r="E434" s="169">
        <f t="shared" si="152"/>
        <v>0.2286</v>
      </c>
      <c r="F434" s="173">
        <f t="shared" si="151"/>
        <v>7.62</v>
      </c>
    </row>
  </sheetData>
  <mergeCells count="360">
    <mergeCell ref="E303:E304"/>
    <mergeCell ref="F303:F304"/>
    <mergeCell ref="A303:A304"/>
    <mergeCell ref="B309:B310"/>
    <mergeCell ref="C309:C310"/>
    <mergeCell ref="D309:D310"/>
    <mergeCell ref="E309:E310"/>
    <mergeCell ref="F309:F310"/>
    <mergeCell ref="B318:F318"/>
    <mergeCell ref="E266:E267"/>
    <mergeCell ref="F266:F267"/>
    <mergeCell ref="H270:N270"/>
    <mergeCell ref="H271:I271"/>
    <mergeCell ref="H272:I272"/>
    <mergeCell ref="B276:N276"/>
    <mergeCell ref="B277:N277"/>
    <mergeCell ref="K290:K291"/>
    <mergeCell ref="L290:L291"/>
    <mergeCell ref="A278:A279"/>
    <mergeCell ref="B278:B279"/>
    <mergeCell ref="C278:C279"/>
    <mergeCell ref="K278:K279"/>
    <mergeCell ref="L278:L279"/>
    <mergeCell ref="B289:N289"/>
    <mergeCell ref="A290:A291"/>
    <mergeCell ref="G303:G304"/>
    <mergeCell ref="H303:H304"/>
    <mergeCell ref="B290:B291"/>
    <mergeCell ref="C290:C291"/>
    <mergeCell ref="B302:H302"/>
    <mergeCell ref="B303:B304"/>
    <mergeCell ref="C303:C304"/>
    <mergeCell ref="D303:D304"/>
    <mergeCell ref="B308:H308"/>
    <mergeCell ref="A309:A310"/>
    <mergeCell ref="A319:A320"/>
    <mergeCell ref="B319:B320"/>
    <mergeCell ref="C319:C320"/>
    <mergeCell ref="D319:D320"/>
    <mergeCell ref="E319:E320"/>
    <mergeCell ref="F319:F320"/>
    <mergeCell ref="G309:G310"/>
    <mergeCell ref="H309:H310"/>
    <mergeCell ref="H318:J318"/>
    <mergeCell ref="H319:J319"/>
    <mergeCell ref="H320:J320"/>
    <mergeCell ref="H321:J321"/>
    <mergeCell ref="H323:N323"/>
    <mergeCell ref="A331:A332"/>
    <mergeCell ref="A343:A344"/>
    <mergeCell ref="B343:B344"/>
    <mergeCell ref="C343:C344"/>
    <mergeCell ref="B355:H355"/>
    <mergeCell ref="B356:B357"/>
    <mergeCell ref="B361:H361"/>
    <mergeCell ref="A356:A357"/>
    <mergeCell ref="B362:B363"/>
    <mergeCell ref="C362:C363"/>
    <mergeCell ref="D362:D363"/>
    <mergeCell ref="E362:E363"/>
    <mergeCell ref="F362:F363"/>
    <mergeCell ref="B371:F371"/>
    <mergeCell ref="K331:K332"/>
    <mergeCell ref="L331:L332"/>
    <mergeCell ref="K343:K344"/>
    <mergeCell ref="L343:L344"/>
    <mergeCell ref="H324:I324"/>
    <mergeCell ref="H325:I325"/>
    <mergeCell ref="B329:N329"/>
    <mergeCell ref="B330:N330"/>
    <mergeCell ref="B331:B332"/>
    <mergeCell ref="C331:C332"/>
    <mergeCell ref="B342:N342"/>
    <mergeCell ref="C356:C357"/>
    <mergeCell ref="D356:D357"/>
    <mergeCell ref="E356:E357"/>
    <mergeCell ref="F356:F357"/>
    <mergeCell ref="G356:G357"/>
    <mergeCell ref="H356:H357"/>
    <mergeCell ref="A362:A363"/>
    <mergeCell ref="A372:A373"/>
    <mergeCell ref="B372:B373"/>
    <mergeCell ref="C372:C373"/>
    <mergeCell ref="D372:D373"/>
    <mergeCell ref="E372:E373"/>
    <mergeCell ref="F372:F373"/>
    <mergeCell ref="G362:G363"/>
    <mergeCell ref="H362:H363"/>
    <mergeCell ref="H371:J371"/>
    <mergeCell ref="H372:J372"/>
    <mergeCell ref="H373:J373"/>
    <mergeCell ref="H374:J374"/>
    <mergeCell ref="H376:N376"/>
    <mergeCell ref="A384:A385"/>
    <mergeCell ref="A396:A397"/>
    <mergeCell ref="B396:B397"/>
    <mergeCell ref="C396:C397"/>
    <mergeCell ref="B408:H408"/>
    <mergeCell ref="B409:B410"/>
    <mergeCell ref="B414:H414"/>
    <mergeCell ref="A409:A410"/>
    <mergeCell ref="B415:B416"/>
    <mergeCell ref="C415:C416"/>
    <mergeCell ref="D415:D416"/>
    <mergeCell ref="E415:E416"/>
    <mergeCell ref="F415:F416"/>
    <mergeCell ref="B424:F424"/>
    <mergeCell ref="K384:K385"/>
    <mergeCell ref="L384:L385"/>
    <mergeCell ref="K396:K397"/>
    <mergeCell ref="L396:L397"/>
    <mergeCell ref="H377:I377"/>
    <mergeCell ref="H378:I378"/>
    <mergeCell ref="B382:N382"/>
    <mergeCell ref="B383:N383"/>
    <mergeCell ref="B384:B385"/>
    <mergeCell ref="C384:C385"/>
    <mergeCell ref="B395:N395"/>
    <mergeCell ref="C409:C410"/>
    <mergeCell ref="D409:D410"/>
    <mergeCell ref="E409:E410"/>
    <mergeCell ref="F409:F410"/>
    <mergeCell ref="G409:G410"/>
    <mergeCell ref="H409:H410"/>
    <mergeCell ref="A415:A416"/>
    <mergeCell ref="A425:A426"/>
    <mergeCell ref="B425:B426"/>
    <mergeCell ref="C425:C426"/>
    <mergeCell ref="D425:D426"/>
    <mergeCell ref="E425:E426"/>
    <mergeCell ref="F425:F426"/>
    <mergeCell ref="H430:I430"/>
    <mergeCell ref="H431:I431"/>
    <mergeCell ref="G415:G416"/>
    <mergeCell ref="H415:H416"/>
    <mergeCell ref="H424:J424"/>
    <mergeCell ref="H425:J425"/>
    <mergeCell ref="H426:J426"/>
    <mergeCell ref="H427:J427"/>
    <mergeCell ref="H429:N429"/>
    <mergeCell ref="D65:D66"/>
    <mergeCell ref="E65:E66"/>
    <mergeCell ref="F52:F53"/>
    <mergeCell ref="G52:G53"/>
    <mergeCell ref="B64:F64"/>
    <mergeCell ref="A65:A66"/>
    <mergeCell ref="B65:B66"/>
    <mergeCell ref="C65:C66"/>
    <mergeCell ref="F65:F66"/>
    <mergeCell ref="B1:N1"/>
    <mergeCell ref="B2:L2"/>
    <mergeCell ref="B3:B4"/>
    <mergeCell ref="C3:C4"/>
    <mergeCell ref="K3:K4"/>
    <mergeCell ref="L3:L4"/>
    <mergeCell ref="B14:H14"/>
    <mergeCell ref="G15:G16"/>
    <mergeCell ref="H15:H16"/>
    <mergeCell ref="H27:J27"/>
    <mergeCell ref="H28:J28"/>
    <mergeCell ref="H29:J29"/>
    <mergeCell ref="H30:J30"/>
    <mergeCell ref="H33:I33"/>
    <mergeCell ref="H34:I34"/>
    <mergeCell ref="A3:A4"/>
    <mergeCell ref="A15:A16"/>
    <mergeCell ref="B15:B16"/>
    <mergeCell ref="C15:C16"/>
    <mergeCell ref="D15:D16"/>
    <mergeCell ref="E15:E16"/>
    <mergeCell ref="F15:F16"/>
    <mergeCell ref="B27:F27"/>
    <mergeCell ref="A28:A29"/>
    <mergeCell ref="B28:B29"/>
    <mergeCell ref="C28:C29"/>
    <mergeCell ref="D28:D29"/>
    <mergeCell ref="E28:E29"/>
    <mergeCell ref="F28:F29"/>
    <mergeCell ref="H32:N32"/>
    <mergeCell ref="B38:N38"/>
    <mergeCell ref="B39:L39"/>
    <mergeCell ref="A40:A41"/>
    <mergeCell ref="B40:B41"/>
    <mergeCell ref="K40:K41"/>
    <mergeCell ref="L40:L41"/>
    <mergeCell ref="C40:C41"/>
    <mergeCell ref="B51:H51"/>
    <mergeCell ref="A52:A53"/>
    <mergeCell ref="B52:B53"/>
    <mergeCell ref="C52:C53"/>
    <mergeCell ref="D52:D53"/>
    <mergeCell ref="E52:E53"/>
    <mergeCell ref="H52:H53"/>
    <mergeCell ref="H64:J64"/>
    <mergeCell ref="H65:J65"/>
    <mergeCell ref="H66:J66"/>
    <mergeCell ref="H67:J67"/>
    <mergeCell ref="H69:N69"/>
    <mergeCell ref="H70:I70"/>
    <mergeCell ref="H71:I71"/>
    <mergeCell ref="D139:D140"/>
    <mergeCell ref="E139:E140"/>
    <mergeCell ref="F126:F127"/>
    <mergeCell ref="G126:G127"/>
    <mergeCell ref="B138:F138"/>
    <mergeCell ref="A139:A140"/>
    <mergeCell ref="B139:B140"/>
    <mergeCell ref="C139:C140"/>
    <mergeCell ref="F139:F140"/>
    <mergeCell ref="B75:N75"/>
    <mergeCell ref="B76:L76"/>
    <mergeCell ref="B77:B78"/>
    <mergeCell ref="C77:C78"/>
    <mergeCell ref="K77:K78"/>
    <mergeCell ref="L77:L78"/>
    <mergeCell ref="B88:H88"/>
    <mergeCell ref="G89:G90"/>
    <mergeCell ref="H89:H90"/>
    <mergeCell ref="H101:J101"/>
    <mergeCell ref="H102:J102"/>
    <mergeCell ref="H103:J103"/>
    <mergeCell ref="H104:J104"/>
    <mergeCell ref="H107:I107"/>
    <mergeCell ref="H108:I108"/>
    <mergeCell ref="A77:A78"/>
    <mergeCell ref="A89:A90"/>
    <mergeCell ref="B89:B90"/>
    <mergeCell ref="C89:C90"/>
    <mergeCell ref="D89:D90"/>
    <mergeCell ref="E89:E90"/>
    <mergeCell ref="F89:F90"/>
    <mergeCell ref="B101:F101"/>
    <mergeCell ref="A102:A103"/>
    <mergeCell ref="B102:B103"/>
    <mergeCell ref="C102:C103"/>
    <mergeCell ref="D102:D103"/>
    <mergeCell ref="E102:E103"/>
    <mergeCell ref="F102:F103"/>
    <mergeCell ref="H106:N106"/>
    <mergeCell ref="B112:N112"/>
    <mergeCell ref="B113:L113"/>
    <mergeCell ref="A114:A115"/>
    <mergeCell ref="B114:B115"/>
    <mergeCell ref="K114:K115"/>
    <mergeCell ref="L114:L115"/>
    <mergeCell ref="C114:C115"/>
    <mergeCell ref="B125:H125"/>
    <mergeCell ref="A126:A127"/>
    <mergeCell ref="B126:B127"/>
    <mergeCell ref="C126:C127"/>
    <mergeCell ref="D126:D127"/>
    <mergeCell ref="E126:E127"/>
    <mergeCell ref="H126:H127"/>
    <mergeCell ref="H138:J138"/>
    <mergeCell ref="H139:J139"/>
    <mergeCell ref="H140:J140"/>
    <mergeCell ref="H141:J141"/>
    <mergeCell ref="H143:N143"/>
    <mergeCell ref="H144:I144"/>
    <mergeCell ref="H145:I145"/>
    <mergeCell ref="D213:D214"/>
    <mergeCell ref="E213:E214"/>
    <mergeCell ref="F200:F201"/>
    <mergeCell ref="G200:G201"/>
    <mergeCell ref="B212:F212"/>
    <mergeCell ref="A213:A214"/>
    <mergeCell ref="B213:B214"/>
    <mergeCell ref="C213:C214"/>
    <mergeCell ref="F213:F214"/>
    <mergeCell ref="B149:N149"/>
    <mergeCell ref="B150:L150"/>
    <mergeCell ref="B151:B152"/>
    <mergeCell ref="C151:C152"/>
    <mergeCell ref="K151:K152"/>
    <mergeCell ref="L151:L152"/>
    <mergeCell ref="B162:H162"/>
    <mergeCell ref="G163:G164"/>
    <mergeCell ref="H163:H164"/>
    <mergeCell ref="H175:J175"/>
    <mergeCell ref="H176:J176"/>
    <mergeCell ref="H177:J177"/>
    <mergeCell ref="H178:J178"/>
    <mergeCell ref="H181:I181"/>
    <mergeCell ref="H182:I182"/>
    <mergeCell ref="A151:A152"/>
    <mergeCell ref="A163:A164"/>
    <mergeCell ref="B163:B164"/>
    <mergeCell ref="C163:C164"/>
    <mergeCell ref="D163:D164"/>
    <mergeCell ref="E163:E164"/>
    <mergeCell ref="F163:F164"/>
    <mergeCell ref="B175:F175"/>
    <mergeCell ref="A176:A177"/>
    <mergeCell ref="B176:B177"/>
    <mergeCell ref="C176:C177"/>
    <mergeCell ref="D176:D177"/>
    <mergeCell ref="E176:E177"/>
    <mergeCell ref="F176:F177"/>
    <mergeCell ref="H180:N180"/>
    <mergeCell ref="B186:N186"/>
    <mergeCell ref="B187:L187"/>
    <mergeCell ref="A188:A189"/>
    <mergeCell ref="B188:B189"/>
    <mergeCell ref="K188:K189"/>
    <mergeCell ref="L188:L189"/>
    <mergeCell ref="C188:C189"/>
    <mergeCell ref="B199:H199"/>
    <mergeCell ref="A200:A201"/>
    <mergeCell ref="B200:B201"/>
    <mergeCell ref="C200:C201"/>
    <mergeCell ref="D200:D201"/>
    <mergeCell ref="E200:E201"/>
    <mergeCell ref="H200:H201"/>
    <mergeCell ref="H212:J212"/>
    <mergeCell ref="H213:J213"/>
    <mergeCell ref="H214:J214"/>
    <mergeCell ref="H215:J215"/>
    <mergeCell ref="H217:N217"/>
    <mergeCell ref="H218:I218"/>
    <mergeCell ref="H219:I219"/>
    <mergeCell ref="A225:A226"/>
    <mergeCell ref="A237:A238"/>
    <mergeCell ref="B237:B238"/>
    <mergeCell ref="C237:C238"/>
    <mergeCell ref="B223:N223"/>
    <mergeCell ref="B224:N224"/>
    <mergeCell ref="B225:B226"/>
    <mergeCell ref="C225:C226"/>
    <mergeCell ref="K225:K226"/>
    <mergeCell ref="L225:L226"/>
    <mergeCell ref="B236:N236"/>
    <mergeCell ref="E250:E251"/>
    <mergeCell ref="F250:F251"/>
    <mergeCell ref="K237:K238"/>
    <mergeCell ref="L237:L238"/>
    <mergeCell ref="B249:H249"/>
    <mergeCell ref="A250:A251"/>
    <mergeCell ref="B250:B251"/>
    <mergeCell ref="C250:C251"/>
    <mergeCell ref="D250:D251"/>
    <mergeCell ref="G256:G257"/>
    <mergeCell ref="H256:H257"/>
    <mergeCell ref="H265:J265"/>
    <mergeCell ref="H266:J266"/>
    <mergeCell ref="H267:J267"/>
    <mergeCell ref="H268:J268"/>
    <mergeCell ref="G250:G251"/>
    <mergeCell ref="H250:H251"/>
    <mergeCell ref="B255:H255"/>
    <mergeCell ref="A256:A257"/>
    <mergeCell ref="B256:B257"/>
    <mergeCell ref="C256:C257"/>
    <mergeCell ref="D256:D257"/>
    <mergeCell ref="E256:E257"/>
    <mergeCell ref="F256:F257"/>
    <mergeCell ref="B265:F265"/>
    <mergeCell ref="A266:A267"/>
    <mergeCell ref="B266:B267"/>
    <mergeCell ref="C266:C267"/>
    <mergeCell ref="D266:D267"/>
  </mergeCells>
  <conditionalFormatting sqref="A1:N1019">
    <cfRule type="cellIs" dxfId="5" priority="1" operator="equal">
      <formula>"OFF"</formula>
    </cfRule>
  </conditionalFormatting>
  <drawing r:id="rId1"/>
  <tableParts count="6">
    <tablePart r:id="rId8"/>
    <tablePart r:id="rId9"/>
    <tablePart r:id="rId10"/>
    <tablePart r:id="rId11"/>
    <tablePart r:id="rId12"/>
    <tablePart r:id="rId1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outlineLevelCol="1"/>
  <cols>
    <col customWidth="1" min="1" max="1" width="22.88"/>
    <col customWidth="1" min="4" max="4" width="11.13"/>
    <col customWidth="1" min="7" max="7" width="13.0"/>
  </cols>
  <sheetData>
    <row r="1" collapsed="1">
      <c r="A1" s="12"/>
      <c r="B1" s="13" t="s">
        <v>28</v>
      </c>
      <c r="C1" s="14"/>
      <c r="D1" s="14"/>
      <c r="E1" s="14"/>
      <c r="F1" s="14"/>
      <c r="G1" s="14"/>
      <c r="H1" s="15"/>
      <c r="I1" s="16"/>
    </row>
    <row r="2" hidden="1" outlineLevel="1">
      <c r="A2" s="17"/>
      <c r="B2" s="18" t="s">
        <v>29</v>
      </c>
      <c r="C2" s="19" t="s">
        <v>4</v>
      </c>
      <c r="D2" s="19" t="s">
        <v>19</v>
      </c>
      <c r="E2" s="19" t="s">
        <v>30</v>
      </c>
      <c r="F2" s="19" t="s">
        <v>31</v>
      </c>
      <c r="G2" s="21" t="s">
        <v>32</v>
      </c>
      <c r="H2" s="22"/>
      <c r="I2" s="23"/>
    </row>
    <row r="3" hidden="1" outlineLevel="1">
      <c r="A3" s="25" t="s">
        <v>36</v>
      </c>
      <c r="B3" s="26" t="s">
        <v>37</v>
      </c>
      <c r="C3" s="27"/>
      <c r="D3" s="27"/>
      <c r="E3" s="27"/>
      <c r="F3" s="27"/>
      <c r="G3" s="28"/>
      <c r="H3" s="30"/>
      <c r="I3" s="30"/>
    </row>
    <row r="4" hidden="1" outlineLevel="1">
      <c r="A4" s="32" t="s">
        <v>45</v>
      </c>
      <c r="B4" s="34"/>
      <c r="C4" s="2"/>
      <c r="D4" s="2"/>
      <c r="E4" s="2"/>
      <c r="F4" s="2"/>
      <c r="G4" s="36"/>
      <c r="H4" s="30"/>
      <c r="I4" s="30"/>
    </row>
    <row r="5" hidden="1" outlineLevel="1">
      <c r="A5" s="38" t="s">
        <v>49</v>
      </c>
      <c r="B5" s="40">
        <v>47.24</v>
      </c>
      <c r="C5" s="42">
        <v>44.0</v>
      </c>
      <c r="D5" s="42">
        <v>46.0</v>
      </c>
      <c r="E5" s="42">
        <v>51.93</v>
      </c>
      <c r="F5" s="42">
        <v>43.54</v>
      </c>
      <c r="G5" s="44">
        <v>52.44</v>
      </c>
      <c r="H5" s="45"/>
      <c r="I5" s="47"/>
    </row>
    <row r="6" hidden="1" outlineLevel="1">
      <c r="A6" s="49" t="s">
        <v>53</v>
      </c>
      <c r="B6" s="50">
        <v>40.0</v>
      </c>
      <c r="C6" s="51">
        <v>40.0</v>
      </c>
      <c r="D6" s="51">
        <v>40.0</v>
      </c>
      <c r="E6" s="51">
        <v>40.0</v>
      </c>
      <c r="F6" s="51">
        <v>40.0</v>
      </c>
      <c r="G6" s="51">
        <v>40.0</v>
      </c>
      <c r="H6" s="52"/>
      <c r="I6" s="53"/>
    </row>
    <row r="7" hidden="1" outlineLevel="1">
      <c r="A7" s="54" t="s">
        <v>57</v>
      </c>
      <c r="B7" s="58">
        <f t="shared" ref="B7:G7" si="1">B5/B6</f>
        <v>1.181</v>
      </c>
      <c r="C7" s="61">
        <f t="shared" si="1"/>
        <v>1.1</v>
      </c>
      <c r="D7" s="61">
        <f t="shared" si="1"/>
        <v>1.15</v>
      </c>
      <c r="E7" s="61">
        <f t="shared" si="1"/>
        <v>1.29825</v>
      </c>
      <c r="F7" s="61">
        <f t="shared" si="1"/>
        <v>1.0885</v>
      </c>
      <c r="G7" s="61">
        <f t="shared" si="1"/>
        <v>1.311</v>
      </c>
      <c r="H7" s="62"/>
      <c r="I7" s="63"/>
    </row>
    <row r="8" hidden="1" outlineLevel="1">
      <c r="A8" s="32" t="s">
        <v>66</v>
      </c>
      <c r="B8" s="34"/>
      <c r="C8" s="2"/>
      <c r="D8" s="2"/>
      <c r="E8" s="2"/>
      <c r="F8" s="2"/>
      <c r="G8" s="36"/>
      <c r="H8" s="30"/>
      <c r="I8" s="30"/>
    </row>
    <row r="9" hidden="1" outlineLevel="1">
      <c r="A9" s="64" t="s">
        <v>67</v>
      </c>
      <c r="B9" s="65" t="s">
        <v>68</v>
      </c>
      <c r="C9" s="66" t="s">
        <v>69</v>
      </c>
      <c r="D9" s="66" t="s">
        <v>70</v>
      </c>
      <c r="E9" s="66" t="s">
        <v>68</v>
      </c>
      <c r="F9" s="66" t="s">
        <v>68</v>
      </c>
      <c r="G9" s="66" t="s">
        <v>68</v>
      </c>
      <c r="H9" s="67"/>
      <c r="I9" s="68"/>
    </row>
    <row r="10" hidden="1" outlineLevel="1">
      <c r="A10" s="69" t="s">
        <v>72</v>
      </c>
      <c r="B10" s="70">
        <v>40.0</v>
      </c>
      <c r="C10" s="71">
        <v>40.0</v>
      </c>
      <c r="D10" s="71">
        <v>40.0</v>
      </c>
      <c r="E10" s="71">
        <v>40.0</v>
      </c>
      <c r="F10" s="71">
        <v>40.0</v>
      </c>
      <c r="G10" s="71">
        <v>40.0</v>
      </c>
      <c r="H10" s="72"/>
      <c r="I10" s="73"/>
    </row>
    <row r="11" hidden="1" outlineLevel="1">
      <c r="A11" s="54" t="s">
        <v>74</v>
      </c>
      <c r="B11" s="58">
        <f t="shared" ref="B11:G11" si="2">B9/B10</f>
        <v>1</v>
      </c>
      <c r="C11" s="61">
        <f t="shared" si="2"/>
        <v>0.9975</v>
      </c>
      <c r="D11" s="61">
        <f t="shared" si="2"/>
        <v>0.935</v>
      </c>
      <c r="E11" s="61">
        <f t="shared" si="2"/>
        <v>1</v>
      </c>
      <c r="F11" s="61">
        <f t="shared" si="2"/>
        <v>1</v>
      </c>
      <c r="G11" s="61">
        <f t="shared" si="2"/>
        <v>1</v>
      </c>
      <c r="H11" s="62"/>
      <c r="I11" s="63"/>
    </row>
    <row r="12" hidden="1" outlineLevel="1">
      <c r="A12" s="32" t="s">
        <v>75</v>
      </c>
      <c r="B12" s="34"/>
      <c r="C12" s="2"/>
      <c r="D12" s="2"/>
      <c r="E12" s="2"/>
      <c r="F12" s="2"/>
      <c r="G12" s="36"/>
      <c r="H12" s="30"/>
      <c r="I12" s="30"/>
    </row>
    <row r="13" hidden="1" outlineLevel="1">
      <c r="A13" s="64" t="s">
        <v>76</v>
      </c>
      <c r="B13" s="75" t="s">
        <v>79</v>
      </c>
      <c r="C13" s="77" t="s">
        <v>80</v>
      </c>
      <c r="D13" s="78" t="s">
        <v>80</v>
      </c>
      <c r="E13" s="78" t="s">
        <v>80</v>
      </c>
      <c r="F13" s="78" t="s">
        <v>80</v>
      </c>
      <c r="G13" s="77" t="s">
        <v>79</v>
      </c>
      <c r="H13" s="79"/>
      <c r="I13" s="80"/>
    </row>
    <row r="14" hidden="1" outlineLevel="1">
      <c r="A14" s="64" t="s">
        <v>81</v>
      </c>
      <c r="B14" s="83" t="s">
        <v>83</v>
      </c>
      <c r="C14" s="78" t="s">
        <v>85</v>
      </c>
      <c r="D14" s="78" t="s">
        <v>83</v>
      </c>
      <c r="E14" s="78" t="s">
        <v>85</v>
      </c>
      <c r="F14" s="78" t="s">
        <v>83</v>
      </c>
      <c r="G14" s="78" t="s">
        <v>85</v>
      </c>
      <c r="H14" s="79"/>
      <c r="I14" s="80"/>
    </row>
    <row r="15" hidden="1" outlineLevel="1">
      <c r="A15" s="64" t="s">
        <v>86</v>
      </c>
      <c r="B15" s="92">
        <f>IF(B5&lt;B6,B6,B5) *
IF(B13="AM",
    IF(B14="Oricle",4,
    IF(B14="Other Brands",3,
    IF(B14="Oricle Prio",0.6,""))),
 IF(B13="MID",
    IF(B14="Oricle",2.5,
    IF(B14="Other Brands",3,
    IF(B14="Oricle Prio",0.6,""))),
 IF(B13="GY",
    IF(B14="Oricle",0.9,
    IF(B14="Other Brands",0.9,
    IF(B14="Oricle Prio",0.3,""))),"")))-17</f>
        <v>124.72</v>
      </c>
      <c r="C15" s="92">
        <f t="shared" ref="C15:G15" si="3">IF(C5&lt;C6,C6,C5) *
IF(C13="AM",
    IF(C14="Oricle",4,
    IF(C14="Other Brands",3,
    IF(C14="Oricle Prio",0.6,""))),
 IF(C13="MID",
    IF(C14="Oricle",2.5,
    IF(C14="Other Brands",3,
    IF(C14="Oricle Prio",0.6,""))),
 IF(C13="GY",
    IF(C14="Oricle",0.9,
    IF(C14="Other Brands",0.9,
    IF(C14="Oricle Prio",0.3,""))),"")))</f>
        <v>176</v>
      </c>
      <c r="D15" s="92">
        <f t="shared" si="3"/>
        <v>138</v>
      </c>
      <c r="E15" s="92">
        <f t="shared" si="3"/>
        <v>207.72</v>
      </c>
      <c r="F15" s="92">
        <f t="shared" si="3"/>
        <v>130.62</v>
      </c>
      <c r="G15" s="92">
        <f t="shared" si="3"/>
        <v>131.1</v>
      </c>
      <c r="H15" s="104"/>
      <c r="I15" s="106"/>
    </row>
    <row r="16" hidden="1" outlineLevel="1">
      <c r="A16" s="64" t="s">
        <v>98</v>
      </c>
      <c r="B16" s="65" t="s">
        <v>99</v>
      </c>
      <c r="C16" s="66" t="s">
        <v>100</v>
      </c>
      <c r="D16" s="66" t="s">
        <v>101</v>
      </c>
      <c r="E16" s="66" t="s">
        <v>102</v>
      </c>
      <c r="F16" s="66" t="s">
        <v>103</v>
      </c>
      <c r="G16" s="66" t="s">
        <v>105</v>
      </c>
      <c r="H16" s="67"/>
      <c r="I16" s="68"/>
    </row>
    <row r="17" hidden="1" outlineLevel="1">
      <c r="A17" s="64" t="s">
        <v>107</v>
      </c>
      <c r="B17" s="65" t="s">
        <v>108</v>
      </c>
      <c r="C17" s="66" t="s">
        <v>100</v>
      </c>
      <c r="D17" s="66" t="s">
        <v>110</v>
      </c>
      <c r="E17" s="66" t="s">
        <v>112</v>
      </c>
      <c r="F17" s="66" t="s">
        <v>113</v>
      </c>
      <c r="G17" s="66" t="s">
        <v>105</v>
      </c>
      <c r="H17" s="67"/>
      <c r="I17" s="68"/>
    </row>
    <row r="18" hidden="1" outlineLevel="1">
      <c r="A18" s="69" t="s">
        <v>115</v>
      </c>
      <c r="B18" s="108">
        <f t="shared" ref="B18:H18" si="4">IF(B16&gt;0,B17/B16,0)</f>
        <v>0.9791666667</v>
      </c>
      <c r="C18" s="110">
        <f t="shared" si="4"/>
        <v>1</v>
      </c>
      <c r="D18" s="110">
        <f t="shared" si="4"/>
        <v>0.9562043796</v>
      </c>
      <c r="E18" s="110">
        <f t="shared" si="4"/>
        <v>0.9786096257</v>
      </c>
      <c r="F18" s="110">
        <f t="shared" si="4"/>
        <v>0.9883040936</v>
      </c>
      <c r="G18" s="110">
        <f t="shared" si="4"/>
        <v>1</v>
      </c>
      <c r="H18" s="111">
        <f t="shared" si="4"/>
        <v>0</v>
      </c>
      <c r="I18" s="112"/>
    </row>
    <row r="19" hidden="1" outlineLevel="1">
      <c r="A19" s="69" t="s">
        <v>119</v>
      </c>
      <c r="B19" s="114">
        <f t="shared" ref="B19:H19" si="5">IF(B15&gt;0,B17/B15,0)</f>
        <v>1.130532393</v>
      </c>
      <c r="C19" s="110">
        <f t="shared" si="5"/>
        <v>0.6761363636</v>
      </c>
      <c r="D19" s="110">
        <f t="shared" si="5"/>
        <v>0.9492753623</v>
      </c>
      <c r="E19" s="110">
        <f t="shared" si="5"/>
        <v>0.8809936453</v>
      </c>
      <c r="F19" s="110">
        <f t="shared" si="5"/>
        <v>1.293829429</v>
      </c>
      <c r="G19" s="110">
        <f t="shared" si="5"/>
        <v>0.9839816934</v>
      </c>
      <c r="H19" s="111">
        <f t="shared" si="5"/>
        <v>0</v>
      </c>
      <c r="I19" s="112"/>
    </row>
    <row r="20" hidden="1" outlineLevel="1">
      <c r="A20" s="116" t="s">
        <v>82</v>
      </c>
      <c r="B20" s="117">
        <f t="shared" ref="B20:H20" si="6">average(B18:B19)</f>
        <v>1.05484953</v>
      </c>
      <c r="C20" s="61">
        <f t="shared" si="6"/>
        <v>0.8380681818</v>
      </c>
      <c r="D20" s="61">
        <f t="shared" si="6"/>
        <v>0.9527398709</v>
      </c>
      <c r="E20" s="61">
        <f t="shared" si="6"/>
        <v>0.9298016355</v>
      </c>
      <c r="F20" s="61">
        <f t="shared" si="6"/>
        <v>1.141066761</v>
      </c>
      <c r="G20" s="61">
        <f t="shared" si="6"/>
        <v>0.9919908467</v>
      </c>
      <c r="H20" s="62">
        <f t="shared" si="6"/>
        <v>0</v>
      </c>
      <c r="I20" s="63"/>
    </row>
    <row r="21" hidden="1" outlineLevel="1">
      <c r="A21" s="32" t="s">
        <v>121</v>
      </c>
      <c r="B21" s="34"/>
      <c r="C21" s="2"/>
      <c r="D21" s="2"/>
      <c r="E21" s="2"/>
      <c r="F21" s="2"/>
      <c r="G21" s="36"/>
      <c r="H21" s="30"/>
      <c r="I21" s="30"/>
    </row>
    <row r="22" hidden="1" outlineLevel="1">
      <c r="A22" s="64" t="s">
        <v>122</v>
      </c>
      <c r="B22" s="65" t="s">
        <v>123</v>
      </c>
      <c r="C22" s="66" t="s">
        <v>124</v>
      </c>
      <c r="D22" s="66" t="s">
        <v>125</v>
      </c>
      <c r="E22" s="66" t="s">
        <v>126</v>
      </c>
      <c r="F22" s="66" t="s">
        <v>127</v>
      </c>
      <c r="G22" s="66" t="s">
        <v>124</v>
      </c>
      <c r="H22" s="67" t="s">
        <v>124</v>
      </c>
      <c r="I22" s="68"/>
    </row>
    <row r="23" hidden="1" outlineLevel="1">
      <c r="A23" s="69" t="s">
        <v>128</v>
      </c>
      <c r="B23" s="119">
        <v>10.0</v>
      </c>
      <c r="C23" s="120">
        <v>10.0</v>
      </c>
      <c r="D23" s="120">
        <v>10.0</v>
      </c>
      <c r="E23" s="120">
        <v>10.0</v>
      </c>
      <c r="F23" s="120">
        <v>10.0</v>
      </c>
      <c r="G23" s="120">
        <v>10.0</v>
      </c>
      <c r="H23" s="121">
        <v>10.0</v>
      </c>
      <c r="I23" s="122"/>
    </row>
    <row r="24" hidden="1" outlineLevel="1">
      <c r="A24" s="54" t="s">
        <v>130</v>
      </c>
      <c r="B24" s="58">
        <f t="shared" ref="B24:H24" si="7">IF(B22=0,0,B22/B23)</f>
        <v>1</v>
      </c>
      <c r="C24" s="61">
        <f t="shared" si="7"/>
        <v>0.933</v>
      </c>
      <c r="D24" s="61">
        <f t="shared" si="7"/>
        <v>0.877</v>
      </c>
      <c r="E24" s="61">
        <f t="shared" si="7"/>
        <v>0.966</v>
      </c>
      <c r="F24" s="61">
        <f t="shared" si="7"/>
        <v>0.893</v>
      </c>
      <c r="G24" s="61">
        <f t="shared" si="7"/>
        <v>0.933</v>
      </c>
      <c r="H24" s="62">
        <f t="shared" si="7"/>
        <v>0.933</v>
      </c>
      <c r="I24" s="63"/>
    </row>
    <row r="25" hidden="1" outlineLevel="1">
      <c r="A25" s="32" t="s">
        <v>131</v>
      </c>
      <c r="B25" s="34"/>
      <c r="C25" s="2"/>
      <c r="D25" s="2"/>
      <c r="E25" s="2"/>
      <c r="F25" s="2"/>
      <c r="G25" s="36"/>
      <c r="H25" s="30"/>
      <c r="I25" s="30"/>
    </row>
    <row r="26" hidden="1" outlineLevel="1">
      <c r="A26" s="64" t="s">
        <v>132</v>
      </c>
      <c r="B26" s="123" t="s">
        <v>133</v>
      </c>
      <c r="C26" s="124" t="s">
        <v>133</v>
      </c>
      <c r="D26" s="124" t="s">
        <v>133</v>
      </c>
      <c r="E26" s="124" t="s">
        <v>133</v>
      </c>
      <c r="F26" s="124" t="s">
        <v>133</v>
      </c>
      <c r="G26" s="124" t="s">
        <v>133</v>
      </c>
      <c r="H26" s="125" t="s">
        <v>133</v>
      </c>
      <c r="I26" s="126"/>
    </row>
    <row r="27" hidden="1" outlineLevel="1">
      <c r="A27" s="127" t="s">
        <v>134</v>
      </c>
      <c r="B27" s="34"/>
      <c r="C27" s="2"/>
      <c r="D27" s="2"/>
      <c r="E27" s="2"/>
      <c r="F27" s="2"/>
      <c r="G27" s="36"/>
      <c r="H27" s="30"/>
      <c r="I27" s="30"/>
    </row>
    <row r="28" hidden="1" outlineLevel="1">
      <c r="A28" s="69" t="s">
        <v>136</v>
      </c>
      <c r="B28" s="129">
        <f t="shared" ref="B28:H28" si="8">B7*25</f>
        <v>29.525</v>
      </c>
      <c r="C28" s="130">
        <f t="shared" si="8"/>
        <v>27.5</v>
      </c>
      <c r="D28" s="130">
        <f t="shared" si="8"/>
        <v>28.75</v>
      </c>
      <c r="E28" s="130">
        <f t="shared" si="8"/>
        <v>32.45625</v>
      </c>
      <c r="F28" s="130">
        <f t="shared" si="8"/>
        <v>27.2125</v>
      </c>
      <c r="G28" s="130">
        <f t="shared" si="8"/>
        <v>32.775</v>
      </c>
      <c r="H28" s="132">
        <f t="shared" si="8"/>
        <v>0</v>
      </c>
      <c r="I28" s="133"/>
    </row>
    <row r="29" hidden="1" outlineLevel="1">
      <c r="A29" s="69" t="s">
        <v>144</v>
      </c>
      <c r="B29" s="129">
        <f t="shared" ref="B29:H29" si="9">B11*35</f>
        <v>35</v>
      </c>
      <c r="C29" s="130">
        <f t="shared" si="9"/>
        <v>34.9125</v>
      </c>
      <c r="D29" s="130">
        <f t="shared" si="9"/>
        <v>32.725</v>
      </c>
      <c r="E29" s="130">
        <f t="shared" si="9"/>
        <v>35</v>
      </c>
      <c r="F29" s="130">
        <f t="shared" si="9"/>
        <v>35</v>
      </c>
      <c r="G29" s="130">
        <f t="shared" si="9"/>
        <v>35</v>
      </c>
      <c r="H29" s="132">
        <f t="shared" si="9"/>
        <v>0</v>
      </c>
      <c r="I29" s="133"/>
    </row>
    <row r="30" hidden="1" outlineLevel="1">
      <c r="A30" s="69" t="s">
        <v>146</v>
      </c>
      <c r="B30" s="139">
        <f t="shared" ref="B30:H30" si="10">if(B7&lt;100%,B20*25,B20*30)</f>
        <v>31.64548589</v>
      </c>
      <c r="C30" s="130">
        <f t="shared" si="10"/>
        <v>25.14204545</v>
      </c>
      <c r="D30" s="130">
        <f t="shared" si="10"/>
        <v>28.58219613</v>
      </c>
      <c r="E30" s="130">
        <f t="shared" si="10"/>
        <v>27.89404906</v>
      </c>
      <c r="F30" s="130">
        <f t="shared" si="10"/>
        <v>34.23200284</v>
      </c>
      <c r="G30" s="130">
        <f t="shared" si="10"/>
        <v>29.7597254</v>
      </c>
      <c r="H30" s="132">
        <f t="shared" si="10"/>
        <v>0</v>
      </c>
      <c r="I30" s="133"/>
    </row>
    <row r="31" hidden="1" outlineLevel="1">
      <c r="A31" s="69" t="s">
        <v>148</v>
      </c>
      <c r="B31" s="129">
        <f t="shared" ref="B31:H31" si="11">B24*15</f>
        <v>15</v>
      </c>
      <c r="C31" s="130">
        <f t="shared" si="11"/>
        <v>13.995</v>
      </c>
      <c r="D31" s="130">
        <f t="shared" si="11"/>
        <v>13.155</v>
      </c>
      <c r="E31" s="130">
        <f t="shared" si="11"/>
        <v>14.49</v>
      </c>
      <c r="F31" s="130">
        <f t="shared" si="11"/>
        <v>13.395</v>
      </c>
      <c r="G31" s="130">
        <f t="shared" si="11"/>
        <v>13.995</v>
      </c>
      <c r="H31" s="132">
        <f t="shared" si="11"/>
        <v>13.995</v>
      </c>
      <c r="I31" s="133"/>
    </row>
    <row r="32" hidden="1" outlineLevel="1">
      <c r="A32" s="69" t="s">
        <v>149</v>
      </c>
      <c r="B32" s="129">
        <f t="shared" ref="B32:H32" si="12">B26*-10</f>
        <v>0</v>
      </c>
      <c r="C32" s="130">
        <f t="shared" si="12"/>
        <v>0</v>
      </c>
      <c r="D32" s="130">
        <f t="shared" si="12"/>
        <v>0</v>
      </c>
      <c r="E32" s="130">
        <f t="shared" si="12"/>
        <v>0</v>
      </c>
      <c r="F32" s="130">
        <f t="shared" si="12"/>
        <v>0</v>
      </c>
      <c r="G32" s="130">
        <f t="shared" si="12"/>
        <v>0</v>
      </c>
      <c r="H32" s="132">
        <f t="shared" si="12"/>
        <v>0</v>
      </c>
      <c r="I32" s="133"/>
    </row>
    <row r="33" hidden="1" outlineLevel="1">
      <c r="A33" s="142" t="s">
        <v>150</v>
      </c>
      <c r="B33" s="129">
        <f t="shared" ref="B33:H33" si="13">B28+B29+B30+B31+B32</f>
        <v>111.1704859</v>
      </c>
      <c r="C33" s="130">
        <f t="shared" si="13"/>
        <v>101.5495455</v>
      </c>
      <c r="D33" s="130">
        <f t="shared" si="13"/>
        <v>103.2121961</v>
      </c>
      <c r="E33" s="130">
        <f t="shared" si="13"/>
        <v>109.8402991</v>
      </c>
      <c r="F33" s="130">
        <f t="shared" si="13"/>
        <v>109.8395028</v>
      </c>
      <c r="G33" s="130">
        <f t="shared" si="13"/>
        <v>111.5297254</v>
      </c>
      <c r="H33" s="132">
        <f t="shared" si="13"/>
        <v>13.995</v>
      </c>
      <c r="I33" s="133"/>
    </row>
    <row r="34" hidden="1" outlineLevel="1">
      <c r="A34" s="54" t="s">
        <v>152</v>
      </c>
      <c r="B34" s="146">
        <f t="shared" ref="B34:H34" si="14">B33/100</f>
        <v>1.111704859</v>
      </c>
      <c r="C34" s="147">
        <f t="shared" si="14"/>
        <v>1.015495455</v>
      </c>
      <c r="D34" s="147">
        <f t="shared" si="14"/>
        <v>1.032121961</v>
      </c>
      <c r="E34" s="147">
        <f t="shared" si="14"/>
        <v>1.098402991</v>
      </c>
      <c r="F34" s="147">
        <f t="shared" si="14"/>
        <v>1.098395028</v>
      </c>
      <c r="G34" s="147">
        <f t="shared" si="14"/>
        <v>1.115297254</v>
      </c>
      <c r="H34" s="148">
        <f t="shared" si="14"/>
        <v>0.13995</v>
      </c>
      <c r="I34" s="149"/>
    </row>
    <row r="35" hidden="1" outlineLevel="1">
      <c r="A35" s="127" t="s">
        <v>154</v>
      </c>
      <c r="B35" s="150" t="s">
        <v>155</v>
      </c>
      <c r="C35" s="151" t="s">
        <v>155</v>
      </c>
      <c r="D35" s="151" t="s">
        <v>155</v>
      </c>
      <c r="E35" s="152" t="s">
        <v>155</v>
      </c>
      <c r="F35" s="151" t="s">
        <v>155</v>
      </c>
      <c r="G35" s="152" t="s">
        <v>156</v>
      </c>
      <c r="H35" s="153" t="s">
        <v>157</v>
      </c>
      <c r="I35" s="154"/>
    </row>
    <row r="36" hidden="1" outlineLevel="1">
      <c r="A36" s="155" t="s">
        <v>158</v>
      </c>
      <c r="B36" s="156"/>
      <c r="C36" s="157"/>
      <c r="D36" s="157"/>
      <c r="E36" s="157"/>
      <c r="F36" s="157"/>
      <c r="G36" s="157"/>
      <c r="H36" s="158" t="s">
        <v>161</v>
      </c>
      <c r="I36" s="159"/>
    </row>
    <row r="37" hidden="1" collapsed="1">
      <c r="A37" s="160" t="s">
        <v>163</v>
      </c>
      <c r="B37" s="161"/>
      <c r="C37" s="27"/>
      <c r="D37" s="27"/>
      <c r="E37" s="27"/>
      <c r="F37" s="27"/>
      <c r="G37" s="27"/>
      <c r="H37" s="27"/>
      <c r="I37" s="27"/>
    </row>
    <row r="38" hidden="1" outlineLevel="1" collapsed="1">
      <c r="A38" s="12"/>
      <c r="B38" s="13" t="s">
        <v>170</v>
      </c>
      <c r="C38" s="14"/>
      <c r="D38" s="14"/>
      <c r="E38" s="14"/>
      <c r="F38" s="14"/>
      <c r="G38" s="14"/>
      <c r="H38" s="15"/>
      <c r="I38" s="16"/>
    </row>
    <row r="39" hidden="1" outlineLevel="2">
      <c r="A39" s="164"/>
      <c r="B39" s="165" t="s">
        <v>29</v>
      </c>
      <c r="C39" s="166" t="s">
        <v>4</v>
      </c>
      <c r="D39" s="166" t="s">
        <v>19</v>
      </c>
      <c r="E39" s="166" t="s">
        <v>30</v>
      </c>
      <c r="F39" s="166" t="s">
        <v>31</v>
      </c>
      <c r="G39" s="167" t="s">
        <v>32</v>
      </c>
      <c r="H39" s="168"/>
      <c r="I39" s="170"/>
    </row>
    <row r="40" hidden="1" outlineLevel="2">
      <c r="A40" s="25" t="s">
        <v>36</v>
      </c>
      <c r="B40" s="171" t="s">
        <v>170</v>
      </c>
      <c r="C40" s="27"/>
      <c r="D40" s="27"/>
      <c r="E40" s="27"/>
      <c r="F40" s="27"/>
      <c r="G40" s="27"/>
      <c r="H40" s="28"/>
      <c r="I40" s="172"/>
    </row>
    <row r="41" hidden="1" outlineLevel="2">
      <c r="A41" s="32" t="s">
        <v>45</v>
      </c>
      <c r="B41" s="34"/>
      <c r="C41" s="2"/>
      <c r="D41" s="2"/>
      <c r="E41" s="2"/>
      <c r="F41" s="2"/>
      <c r="G41" s="2"/>
      <c r="H41" s="36"/>
      <c r="I41" s="174"/>
    </row>
    <row r="42" hidden="1" outlineLevel="2">
      <c r="A42" s="38" t="s">
        <v>49</v>
      </c>
      <c r="B42" s="175">
        <v>47.37</v>
      </c>
      <c r="C42" s="176">
        <v>54.05</v>
      </c>
      <c r="D42" s="176">
        <v>46.94</v>
      </c>
      <c r="E42" s="176">
        <v>51.52</v>
      </c>
      <c r="F42" s="176">
        <v>29.74</v>
      </c>
      <c r="G42" s="178">
        <v>52.18</v>
      </c>
      <c r="H42" s="179"/>
      <c r="I42" s="180"/>
    </row>
    <row r="43" hidden="1" outlineLevel="2">
      <c r="A43" s="49" t="s">
        <v>53</v>
      </c>
      <c r="B43" s="181">
        <v>37.0</v>
      </c>
      <c r="C43" s="51">
        <v>40.0</v>
      </c>
      <c r="D43" s="51">
        <v>40.0</v>
      </c>
      <c r="E43" s="51">
        <v>37.0</v>
      </c>
      <c r="F43" s="51">
        <v>28.5</v>
      </c>
      <c r="G43" s="182">
        <v>40.0</v>
      </c>
      <c r="H43" s="111"/>
      <c r="I43" s="53"/>
    </row>
    <row r="44" hidden="1" outlineLevel="2">
      <c r="A44" s="54" t="s">
        <v>57</v>
      </c>
      <c r="B44" s="108">
        <f t="shared" ref="B44:G44" si="15">B42/B43</f>
        <v>1.28027027</v>
      </c>
      <c r="C44" s="110">
        <f t="shared" si="15"/>
        <v>1.35125</v>
      </c>
      <c r="D44" s="110">
        <f t="shared" si="15"/>
        <v>1.1735</v>
      </c>
      <c r="E44" s="110">
        <f t="shared" si="15"/>
        <v>1.392432432</v>
      </c>
      <c r="F44" s="110">
        <f t="shared" si="15"/>
        <v>1.043508772</v>
      </c>
      <c r="G44" s="110">
        <f t="shared" si="15"/>
        <v>1.3045</v>
      </c>
      <c r="I44" s="112"/>
    </row>
    <row r="45" hidden="1" outlineLevel="2">
      <c r="A45" s="32" t="s">
        <v>66</v>
      </c>
      <c r="B45" s="34"/>
      <c r="C45" s="2"/>
      <c r="D45" s="2"/>
      <c r="E45" s="2"/>
      <c r="F45" s="2"/>
      <c r="G45" s="36"/>
      <c r="H45" s="30"/>
      <c r="I45" s="30"/>
    </row>
    <row r="46" hidden="1" outlineLevel="2">
      <c r="A46" s="64" t="s">
        <v>67</v>
      </c>
      <c r="B46" s="185" t="s">
        <v>68</v>
      </c>
      <c r="C46" s="78" t="s">
        <v>68</v>
      </c>
      <c r="D46" s="78" t="s">
        <v>68</v>
      </c>
      <c r="E46" s="78" t="s">
        <v>68</v>
      </c>
      <c r="F46" s="78" t="s">
        <v>68</v>
      </c>
      <c r="G46" s="78" t="s">
        <v>68</v>
      </c>
      <c r="H46" s="79"/>
      <c r="I46" s="80"/>
    </row>
    <row r="47" hidden="1" outlineLevel="2">
      <c r="A47" s="69" t="s">
        <v>72</v>
      </c>
      <c r="B47" s="186">
        <v>40.0</v>
      </c>
      <c r="C47" s="187">
        <v>40.0</v>
      </c>
      <c r="D47" s="187">
        <v>40.0</v>
      </c>
      <c r="E47" s="187">
        <v>40.0</v>
      </c>
      <c r="F47" s="187">
        <v>40.0</v>
      </c>
      <c r="G47" s="187">
        <v>40.0</v>
      </c>
      <c r="H47" s="188">
        <v>40.0</v>
      </c>
      <c r="I47" s="189"/>
    </row>
    <row r="48" hidden="1" outlineLevel="2">
      <c r="A48" s="54" t="s">
        <v>74</v>
      </c>
      <c r="B48" s="108">
        <f t="shared" ref="B48:H48" si="16">B46/B47</f>
        <v>1</v>
      </c>
      <c r="C48" s="110">
        <f t="shared" si="16"/>
        <v>1</v>
      </c>
      <c r="D48" s="110">
        <f t="shared" si="16"/>
        <v>1</v>
      </c>
      <c r="E48" s="110">
        <f t="shared" si="16"/>
        <v>1</v>
      </c>
      <c r="F48" s="110">
        <f t="shared" si="16"/>
        <v>1</v>
      </c>
      <c r="G48" s="110">
        <f t="shared" si="16"/>
        <v>1</v>
      </c>
      <c r="H48" s="111">
        <f t="shared" si="16"/>
        <v>0</v>
      </c>
      <c r="I48" s="112"/>
    </row>
    <row r="49" hidden="1" outlineLevel="2">
      <c r="A49" s="32" t="s">
        <v>75</v>
      </c>
      <c r="B49" s="34"/>
      <c r="C49" s="2"/>
      <c r="D49" s="2"/>
      <c r="E49" s="2"/>
      <c r="F49" s="2"/>
      <c r="G49" s="36"/>
      <c r="H49" s="30"/>
      <c r="I49" s="30"/>
    </row>
    <row r="50" hidden="1" outlineLevel="2">
      <c r="A50" s="64" t="s">
        <v>76</v>
      </c>
      <c r="B50" s="185" t="s">
        <v>79</v>
      </c>
      <c r="C50" s="78" t="s">
        <v>80</v>
      </c>
      <c r="D50" s="78" t="s">
        <v>80</v>
      </c>
      <c r="E50" s="78" t="s">
        <v>80</v>
      </c>
      <c r="F50" s="78" t="s">
        <v>80</v>
      </c>
      <c r="G50" s="78" t="s">
        <v>79</v>
      </c>
      <c r="H50" s="79" t="s">
        <v>80</v>
      </c>
      <c r="I50" s="80"/>
    </row>
    <row r="51" hidden="1" outlineLevel="2">
      <c r="A51" s="64" t="s">
        <v>81</v>
      </c>
      <c r="B51" s="185" t="s">
        <v>83</v>
      </c>
      <c r="C51" s="78" t="s">
        <v>85</v>
      </c>
      <c r="D51" s="78" t="s">
        <v>83</v>
      </c>
      <c r="E51" s="78" t="s">
        <v>85</v>
      </c>
      <c r="F51" s="78" t="s">
        <v>83</v>
      </c>
      <c r="G51" s="78" t="s">
        <v>85</v>
      </c>
      <c r="H51" s="79" t="s">
        <v>85</v>
      </c>
      <c r="I51" s="80"/>
    </row>
    <row r="52" hidden="1" outlineLevel="2">
      <c r="A52" s="64" t="s">
        <v>86</v>
      </c>
      <c r="B52" s="194">
        <f>IF(B42&lt;B43,B43,B42) *
IF(B50="AM",
    IF(B51="Oricle",4,
    IF(B51="Other Brands",3,
    IF(B51="Oricle Prio",0.6,""))),
 IF(B50="MID",
    IF(B51="Oricle",2.5,
    IF(B51="Other Brands",3,
    IF(B51="Oricle Prio",0.6,""))),
 IF(B50="GY",
    IF(B51="Oricle",0.9,
    IF(B51="Other Brands",0.9,
    IF(B51="Oricle Prio",0.3,""))),"")))-17</f>
        <v>125.11</v>
      </c>
      <c r="C52" s="204">
        <f t="shared" ref="C52:D52" si="17">IF(C42&lt;C43,C43,C42) *
IF(C50="AM",
    IF(C51="Oricle",4,
    IF(C51="Other Brands",3,
    IF(C51="Oricle Prio",0.6,""))),
 IF(C50="MID",
    IF(C51="Oricle",2.5,
    IF(C51="Other Brands",3,
    IF(C51="Oricle Prio",0.6,""))),
 IF(C50="GY",
    IF(C51="Oricle",0.9,
    IF(C51="Other Brands",0.9,
    IF(C51="Oricle Prio",0.3,""))),"")))</f>
        <v>216.2</v>
      </c>
      <c r="D52" s="204">
        <f t="shared" si="17"/>
        <v>140.82</v>
      </c>
      <c r="E52" s="204">
        <f>IF(E42&lt;E43,E43,E42) *
IF(E50="AM",
    IF(E51="Oricle",4,
    IF(E51="Other Brands",3,
    IF(E51="Oricle Prio",0.6,""))),
 IF(E50="MID",
    IF(E51="Oricle",2.5,
    IF(E51="Other Brands",3,
    IF(E51="Oricle Prio",0.6,""))),
 IF(E50="GY",
    IF(E51="Oricle",0.9,
    IF(E51="Other Brands",0.9,
    IF(E51="Oricle Prio",0.3,""))),"")))-25-13</f>
        <v>168.08</v>
      </c>
      <c r="F52" s="204">
        <f t="shared" ref="F52:G52" si="18">IF(F42&lt;F43,F43,F42) *
IF(F50="AM",
    IF(F51="Oricle",4,
    IF(F51="Other Brands",3,
    IF(F51="Oricle Prio",0.6,""))),
 IF(F50="MID",
    IF(F51="Oricle",2.5,
    IF(F51="Other Brands",3,
    IF(F51="Oricle Prio",0.6,""))),
 IF(F50="GY",
    IF(F51="Oricle",0.9,
    IF(F51="Other Brands",0.9,
    IF(F51="Oricle Prio",0.3,""))),"")))</f>
        <v>89.22</v>
      </c>
      <c r="G52" s="204">
        <f t="shared" si="18"/>
        <v>130.45</v>
      </c>
      <c r="H52" s="104" t="str">
        <f>IF(H42&lt;#REF!,#REF!,H42) *
IF(H50="AM",
    IF(H51="Oricle",2.5,
    IF(H51="Other Brands",3,
    IF(H51="Oricle Prio",0.6,""))),
 IF(H50="MID",
    IF(H51="Oricle",2.5,
    IF(H51="Other Brands",3,
    IF(H51="Oricle Prio",0.6,""))),
 IF(H50="GY",
    IF(H51="Oricle",0.9,
    IF(H51="Other Brands",0.9,
    IF(H51="Oricle Prio",0.3,""))),"")))</f>
        <v>#REF!</v>
      </c>
      <c r="I52" s="106"/>
    </row>
    <row r="53" hidden="1" outlineLevel="2">
      <c r="A53" s="64" t="s">
        <v>98</v>
      </c>
      <c r="B53" s="185" t="s">
        <v>200</v>
      </c>
      <c r="C53" s="78" t="s">
        <v>201</v>
      </c>
      <c r="D53" s="78" t="s">
        <v>202</v>
      </c>
      <c r="E53" s="78" t="s">
        <v>112</v>
      </c>
      <c r="F53" s="78" t="s">
        <v>203</v>
      </c>
      <c r="G53" s="78" t="s">
        <v>204</v>
      </c>
      <c r="H53" s="79"/>
      <c r="I53" s="80"/>
    </row>
    <row r="54" hidden="1" outlineLevel="2">
      <c r="A54" s="64" t="s">
        <v>107</v>
      </c>
      <c r="B54" s="185" t="s">
        <v>205</v>
      </c>
      <c r="C54" s="78" t="s">
        <v>206</v>
      </c>
      <c r="D54" s="78" t="s">
        <v>207</v>
      </c>
      <c r="E54" s="78" t="s">
        <v>208</v>
      </c>
      <c r="F54" s="78" t="s">
        <v>209</v>
      </c>
      <c r="G54" s="78" t="s">
        <v>204</v>
      </c>
      <c r="H54" s="79"/>
      <c r="I54" s="80"/>
    </row>
    <row r="55" hidden="1" outlineLevel="2">
      <c r="A55" s="69" t="s">
        <v>115</v>
      </c>
      <c r="B55" s="108">
        <f t="shared" ref="B55:H55" si="19">IF(B53&gt;0,B54/B53,0)</f>
        <v>0.9692307692</v>
      </c>
      <c r="C55" s="110">
        <f t="shared" si="19"/>
        <v>0.9935483871</v>
      </c>
      <c r="D55" s="110">
        <f t="shared" si="19"/>
        <v>0.9775280899</v>
      </c>
      <c r="E55" s="110">
        <f t="shared" si="19"/>
        <v>0.9836065574</v>
      </c>
      <c r="F55" s="110">
        <f t="shared" si="19"/>
        <v>0.9888888889</v>
      </c>
      <c r="G55" s="110">
        <f t="shared" si="19"/>
        <v>1</v>
      </c>
      <c r="H55" s="111">
        <f t="shared" si="19"/>
        <v>0</v>
      </c>
      <c r="I55" s="112"/>
    </row>
    <row r="56" hidden="1" outlineLevel="2">
      <c r="A56" s="69" t="s">
        <v>119</v>
      </c>
      <c r="B56" s="108">
        <f t="shared" ref="B56:H56" si="20">IF(B52&gt;0,B54/B52,0)</f>
        <v>1.00711374</v>
      </c>
      <c r="C56" s="110">
        <f t="shared" si="20"/>
        <v>0.7123034228</v>
      </c>
      <c r="D56" s="110">
        <f t="shared" si="20"/>
        <v>1.23561994</v>
      </c>
      <c r="E56" s="110">
        <f t="shared" si="20"/>
        <v>1.07091861</v>
      </c>
      <c r="F56" s="110">
        <f t="shared" si="20"/>
        <v>0.9975341852</v>
      </c>
      <c r="G56" s="110">
        <f t="shared" si="20"/>
        <v>1.31851284</v>
      </c>
      <c r="H56" s="111" t="str">
        <f t="shared" si="20"/>
        <v>#REF!</v>
      </c>
      <c r="I56" s="112"/>
    </row>
    <row r="57" hidden="1" outlineLevel="2">
      <c r="A57" s="116" t="s">
        <v>82</v>
      </c>
      <c r="B57" s="108">
        <f t="shared" ref="B57:H57" si="21">average(B55:B56)</f>
        <v>0.9881722546</v>
      </c>
      <c r="C57" s="110">
        <f t="shared" si="21"/>
        <v>0.8529259049</v>
      </c>
      <c r="D57" s="110">
        <f t="shared" si="21"/>
        <v>1.106574015</v>
      </c>
      <c r="E57" s="110">
        <f t="shared" si="21"/>
        <v>1.027262584</v>
      </c>
      <c r="F57" s="110">
        <f t="shared" si="21"/>
        <v>0.993211537</v>
      </c>
      <c r="G57" s="110">
        <f t="shared" si="21"/>
        <v>1.15925642</v>
      </c>
      <c r="H57" s="111" t="str">
        <f t="shared" si="21"/>
        <v>#REF!</v>
      </c>
      <c r="I57" s="112"/>
    </row>
    <row r="58" hidden="1" outlineLevel="2">
      <c r="A58" s="32" t="s">
        <v>121</v>
      </c>
      <c r="B58" s="34"/>
      <c r="C58" s="2"/>
      <c r="D58" s="2"/>
      <c r="E58" s="2"/>
      <c r="F58" s="2"/>
      <c r="G58" s="36"/>
      <c r="H58" s="30"/>
      <c r="I58" s="30"/>
    </row>
    <row r="59" hidden="1" outlineLevel="2">
      <c r="A59" s="64" t="s">
        <v>122</v>
      </c>
      <c r="B59" s="185" t="s">
        <v>126</v>
      </c>
      <c r="C59" s="78" t="s">
        <v>124</v>
      </c>
      <c r="D59" s="78" t="s">
        <v>212</v>
      </c>
      <c r="E59" s="78" t="s">
        <v>123</v>
      </c>
      <c r="F59" s="78" t="s">
        <v>213</v>
      </c>
      <c r="G59" s="78" t="s">
        <v>123</v>
      </c>
      <c r="H59" s="79"/>
      <c r="I59" s="80"/>
    </row>
    <row r="60" hidden="1" outlineLevel="2">
      <c r="A60" s="69" t="s">
        <v>128</v>
      </c>
      <c r="B60" s="119">
        <v>10.0</v>
      </c>
      <c r="C60" s="120">
        <v>10.0</v>
      </c>
      <c r="D60" s="120">
        <v>10.0</v>
      </c>
      <c r="E60" s="120">
        <v>10.0</v>
      </c>
      <c r="F60" s="120">
        <v>10.0</v>
      </c>
      <c r="G60" s="120">
        <v>10.0</v>
      </c>
      <c r="H60" s="121">
        <v>10.0</v>
      </c>
      <c r="I60" s="122"/>
    </row>
    <row r="61" hidden="1" outlineLevel="2">
      <c r="A61" s="54" t="s">
        <v>130</v>
      </c>
      <c r="B61" s="108">
        <f t="shared" ref="B61:H61" si="22">IF(B59=0,0,B59/B60)</f>
        <v>0.966</v>
      </c>
      <c r="C61" s="110">
        <f t="shared" si="22"/>
        <v>0.933</v>
      </c>
      <c r="D61" s="110">
        <f t="shared" si="22"/>
        <v>0.945</v>
      </c>
      <c r="E61" s="110">
        <f t="shared" si="22"/>
        <v>1</v>
      </c>
      <c r="F61" s="110">
        <f t="shared" si="22"/>
        <v>0.985</v>
      </c>
      <c r="G61" s="110">
        <f t="shared" si="22"/>
        <v>1</v>
      </c>
      <c r="H61" s="111">
        <f t="shared" si="22"/>
        <v>0</v>
      </c>
      <c r="I61" s="112"/>
    </row>
    <row r="62" hidden="1" outlineLevel="2">
      <c r="A62" s="32" t="s">
        <v>131</v>
      </c>
      <c r="B62" s="34"/>
      <c r="C62" s="2"/>
      <c r="D62" s="2"/>
      <c r="E62" s="2"/>
      <c r="F62" s="2"/>
      <c r="G62" s="36"/>
      <c r="H62" s="30"/>
      <c r="I62" s="30"/>
    </row>
    <row r="63" hidden="1" outlineLevel="2">
      <c r="A63" s="64" t="s">
        <v>132</v>
      </c>
      <c r="B63" s="123" t="s">
        <v>133</v>
      </c>
      <c r="C63" s="124" t="s">
        <v>133</v>
      </c>
      <c r="D63" s="124" t="s">
        <v>133</v>
      </c>
      <c r="E63" s="124" t="s">
        <v>133</v>
      </c>
      <c r="F63" s="124" t="s">
        <v>133</v>
      </c>
      <c r="G63" s="124" t="s">
        <v>133</v>
      </c>
      <c r="H63" s="125" t="s">
        <v>133</v>
      </c>
      <c r="I63" s="126"/>
    </row>
    <row r="64" hidden="1" outlineLevel="2">
      <c r="A64" s="127" t="s">
        <v>134</v>
      </c>
      <c r="B64" s="34"/>
      <c r="C64" s="2"/>
      <c r="D64" s="2"/>
      <c r="E64" s="2"/>
      <c r="F64" s="2"/>
      <c r="G64" s="36"/>
      <c r="H64" s="30"/>
      <c r="I64" s="30"/>
    </row>
    <row r="65" hidden="1" outlineLevel="2">
      <c r="A65" s="69" t="s">
        <v>136</v>
      </c>
      <c r="B65" s="129">
        <f t="shared" ref="B65:G65" si="23">B44*25</f>
        <v>32.00675676</v>
      </c>
      <c r="C65" s="130">
        <f t="shared" si="23"/>
        <v>33.78125</v>
      </c>
      <c r="D65" s="130">
        <f t="shared" si="23"/>
        <v>29.3375</v>
      </c>
      <c r="E65" s="130">
        <f t="shared" si="23"/>
        <v>34.81081081</v>
      </c>
      <c r="F65" s="130">
        <f t="shared" si="23"/>
        <v>26.0877193</v>
      </c>
      <c r="G65" s="130">
        <f t="shared" si="23"/>
        <v>32.6125</v>
      </c>
      <c r="H65" s="132">
        <f>H43*25</f>
        <v>0</v>
      </c>
      <c r="I65" s="133"/>
    </row>
    <row r="66" hidden="1" outlineLevel="2">
      <c r="A66" s="69" t="s">
        <v>144</v>
      </c>
      <c r="B66" s="129">
        <f t="shared" ref="B66:H66" si="24">B48*35</f>
        <v>35</v>
      </c>
      <c r="C66" s="130">
        <f t="shared" si="24"/>
        <v>35</v>
      </c>
      <c r="D66" s="130">
        <f t="shared" si="24"/>
        <v>35</v>
      </c>
      <c r="E66" s="130">
        <f t="shared" si="24"/>
        <v>35</v>
      </c>
      <c r="F66" s="130">
        <f t="shared" si="24"/>
        <v>35</v>
      </c>
      <c r="G66" s="130">
        <f t="shared" si="24"/>
        <v>35</v>
      </c>
      <c r="H66" s="132">
        <f t="shared" si="24"/>
        <v>0</v>
      </c>
      <c r="I66" s="133"/>
    </row>
    <row r="67" hidden="1" outlineLevel="2">
      <c r="A67" s="69" t="s">
        <v>146</v>
      </c>
      <c r="B67" s="129">
        <f t="shared" ref="B67:H67" si="25">IF(AND(B48&lt;85%, B57&gt;100%), 25, B57*25)</f>
        <v>24.70430636</v>
      </c>
      <c r="C67" s="130">
        <f t="shared" si="25"/>
        <v>21.32314762</v>
      </c>
      <c r="D67" s="130">
        <f t="shared" si="25"/>
        <v>27.66435038</v>
      </c>
      <c r="E67" s="130">
        <f t="shared" si="25"/>
        <v>25.68156459</v>
      </c>
      <c r="F67" s="130">
        <f t="shared" si="25"/>
        <v>24.83028843</v>
      </c>
      <c r="G67" s="130">
        <f t="shared" si="25"/>
        <v>28.9814105</v>
      </c>
      <c r="H67" s="132" t="str">
        <f t="shared" si="25"/>
        <v>#REF!</v>
      </c>
      <c r="I67" s="133"/>
    </row>
    <row r="68" hidden="1" outlineLevel="2">
      <c r="A68" s="69" t="s">
        <v>148</v>
      </c>
      <c r="B68" s="129">
        <f t="shared" ref="B68:H68" si="26">B61*15</f>
        <v>14.49</v>
      </c>
      <c r="C68" s="130">
        <f t="shared" si="26"/>
        <v>13.995</v>
      </c>
      <c r="D68" s="130">
        <f t="shared" si="26"/>
        <v>14.175</v>
      </c>
      <c r="E68" s="130">
        <f t="shared" si="26"/>
        <v>15</v>
      </c>
      <c r="F68" s="130">
        <f t="shared" si="26"/>
        <v>14.775</v>
      </c>
      <c r="G68" s="130">
        <f t="shared" si="26"/>
        <v>15</v>
      </c>
      <c r="H68" s="132">
        <f t="shared" si="26"/>
        <v>0</v>
      </c>
      <c r="I68" s="133"/>
    </row>
    <row r="69" hidden="1" outlineLevel="2">
      <c r="A69" s="69" t="s">
        <v>149</v>
      </c>
      <c r="B69" s="129">
        <f t="shared" ref="B69:H69" si="27">B63*-10</f>
        <v>0</v>
      </c>
      <c r="C69" s="130">
        <f t="shared" si="27"/>
        <v>0</v>
      </c>
      <c r="D69" s="130">
        <f t="shared" si="27"/>
        <v>0</v>
      </c>
      <c r="E69" s="130">
        <f t="shared" si="27"/>
        <v>0</v>
      </c>
      <c r="F69" s="130">
        <f t="shared" si="27"/>
        <v>0</v>
      </c>
      <c r="G69" s="130">
        <f t="shared" si="27"/>
        <v>0</v>
      </c>
      <c r="H69" s="132">
        <f t="shared" si="27"/>
        <v>0</v>
      </c>
      <c r="I69" s="133"/>
    </row>
    <row r="70" hidden="1" outlineLevel="2">
      <c r="A70" s="142" t="s">
        <v>150</v>
      </c>
      <c r="B70" s="129">
        <f t="shared" ref="B70:H70" si="28">B65+B66+B67+B68+B69</f>
        <v>106.2010631</v>
      </c>
      <c r="C70" s="130">
        <f t="shared" si="28"/>
        <v>104.0993976</v>
      </c>
      <c r="D70" s="130">
        <f t="shared" si="28"/>
        <v>106.1768504</v>
      </c>
      <c r="E70" s="130">
        <f t="shared" si="28"/>
        <v>110.4923754</v>
      </c>
      <c r="F70" s="130">
        <f t="shared" si="28"/>
        <v>100.6930077</v>
      </c>
      <c r="G70" s="130">
        <f t="shared" si="28"/>
        <v>111.5939105</v>
      </c>
      <c r="H70" s="132" t="str">
        <f t="shared" si="28"/>
        <v>#REF!</v>
      </c>
      <c r="I70" s="133"/>
    </row>
    <row r="71" hidden="1" outlineLevel="2">
      <c r="A71" s="54" t="s">
        <v>152</v>
      </c>
      <c r="B71" s="231">
        <f t="shared" ref="B71:H71" si="29">B70/100</f>
        <v>1.062010631</v>
      </c>
      <c r="C71" s="233">
        <f t="shared" si="29"/>
        <v>1.040993976</v>
      </c>
      <c r="D71" s="233">
        <f t="shared" si="29"/>
        <v>1.061768504</v>
      </c>
      <c r="E71" s="233">
        <f t="shared" si="29"/>
        <v>1.104923754</v>
      </c>
      <c r="F71" s="233">
        <f t="shared" si="29"/>
        <v>1.006930077</v>
      </c>
      <c r="G71" s="233">
        <f t="shared" si="29"/>
        <v>1.115939105</v>
      </c>
      <c r="H71" s="234" t="str">
        <f t="shared" si="29"/>
        <v>#REF!</v>
      </c>
      <c r="I71" s="235"/>
    </row>
    <row r="72" hidden="1" outlineLevel="2">
      <c r="A72" s="127" t="s">
        <v>154</v>
      </c>
      <c r="B72" s="236" t="s">
        <v>155</v>
      </c>
      <c r="C72" s="237" t="s">
        <v>155</v>
      </c>
      <c r="D72" s="237" t="s">
        <v>155</v>
      </c>
      <c r="E72" s="237" t="s">
        <v>155</v>
      </c>
      <c r="F72" s="237" t="s">
        <v>155</v>
      </c>
      <c r="G72" s="237" t="s">
        <v>156</v>
      </c>
      <c r="H72" s="238" t="s">
        <v>155</v>
      </c>
      <c r="I72" s="239"/>
    </row>
    <row r="73" hidden="1" outlineLevel="2">
      <c r="A73" s="127" t="s">
        <v>158</v>
      </c>
      <c r="B73" s="156"/>
      <c r="C73" s="157"/>
      <c r="D73" s="157"/>
      <c r="E73" s="157"/>
      <c r="F73" s="157"/>
      <c r="G73" s="157"/>
      <c r="H73" s="158"/>
      <c r="I73" s="159"/>
    </row>
    <row r="74" hidden="1" outlineLevel="1" collapsed="1">
      <c r="A74" s="12"/>
      <c r="B74" s="13" t="s">
        <v>226</v>
      </c>
      <c r="C74" s="14"/>
      <c r="D74" s="14"/>
      <c r="E74" s="14"/>
      <c r="F74" s="14"/>
      <c r="G74" s="14"/>
      <c r="H74" s="15"/>
      <c r="I74" s="16"/>
    </row>
    <row r="75" hidden="1" outlineLevel="2">
      <c r="A75" s="164"/>
      <c r="B75" s="165" t="s">
        <v>29</v>
      </c>
      <c r="C75" s="166" t="s">
        <v>4</v>
      </c>
      <c r="D75" s="166" t="s">
        <v>19</v>
      </c>
      <c r="E75" s="166" t="s">
        <v>30</v>
      </c>
      <c r="F75" s="166" t="s">
        <v>31</v>
      </c>
      <c r="G75" s="167" t="s">
        <v>32</v>
      </c>
      <c r="H75" s="241" t="s">
        <v>13</v>
      </c>
      <c r="I75" s="242"/>
    </row>
    <row r="76" hidden="1" outlineLevel="2">
      <c r="A76" s="25" t="s">
        <v>36</v>
      </c>
      <c r="B76" s="243" t="s">
        <v>226</v>
      </c>
      <c r="C76" s="244"/>
      <c r="D76" s="244"/>
      <c r="E76" s="244"/>
      <c r="F76" s="244"/>
      <c r="G76" s="244"/>
      <c r="H76" s="245"/>
      <c r="I76" s="172"/>
    </row>
    <row r="77" hidden="1" outlineLevel="2">
      <c r="A77" s="32" t="s">
        <v>45</v>
      </c>
      <c r="B77" s="34"/>
      <c r="C77" s="2"/>
      <c r="D77" s="2"/>
      <c r="E77" s="2"/>
      <c r="F77" s="2"/>
      <c r="G77" s="2"/>
      <c r="H77" s="36"/>
      <c r="I77" s="174"/>
    </row>
    <row r="78" hidden="1" outlineLevel="2">
      <c r="A78" s="38" t="s">
        <v>49</v>
      </c>
      <c r="B78" s="246">
        <v>31.53</v>
      </c>
      <c r="C78" s="247">
        <v>54.51</v>
      </c>
      <c r="D78" s="247">
        <v>48.26</v>
      </c>
      <c r="E78" s="247">
        <v>44.06</v>
      </c>
      <c r="F78" s="247">
        <v>53.22</v>
      </c>
      <c r="G78" s="247">
        <v>54.41</v>
      </c>
      <c r="H78" s="248">
        <v>40.0</v>
      </c>
      <c r="I78" s="249"/>
    </row>
    <row r="79" hidden="1" outlineLevel="2">
      <c r="A79" s="49" t="s">
        <v>53</v>
      </c>
      <c r="B79" s="181">
        <v>37.0</v>
      </c>
      <c r="C79" s="51">
        <v>40.0</v>
      </c>
      <c r="D79" s="51">
        <v>40.0</v>
      </c>
      <c r="E79" s="51">
        <v>37.0</v>
      </c>
      <c r="F79" s="250">
        <v>39.5</v>
      </c>
      <c r="G79" s="51">
        <v>40.0</v>
      </c>
      <c r="H79" s="52">
        <v>40.0</v>
      </c>
      <c r="I79" s="53"/>
    </row>
    <row r="80" hidden="1" outlineLevel="2">
      <c r="A80" s="54" t="s">
        <v>57</v>
      </c>
      <c r="B80" s="252">
        <f t="shared" ref="B80:H80" si="30">B78/B79</f>
        <v>0.8521621622</v>
      </c>
      <c r="C80" s="253">
        <f t="shared" si="30"/>
        <v>1.36275</v>
      </c>
      <c r="D80" s="253">
        <f t="shared" si="30"/>
        <v>1.2065</v>
      </c>
      <c r="E80" s="253">
        <f t="shared" si="30"/>
        <v>1.190810811</v>
      </c>
      <c r="F80" s="253">
        <f t="shared" si="30"/>
        <v>1.347341772</v>
      </c>
      <c r="G80" s="253">
        <f t="shared" si="30"/>
        <v>1.36025</v>
      </c>
      <c r="H80" s="256">
        <f t="shared" si="30"/>
        <v>1</v>
      </c>
      <c r="I80" s="257"/>
    </row>
    <row r="81" hidden="1" outlineLevel="2">
      <c r="A81" s="32" t="s">
        <v>66</v>
      </c>
      <c r="B81" s="34"/>
      <c r="C81" s="2"/>
      <c r="D81" s="2"/>
      <c r="E81" s="2"/>
      <c r="F81" s="2"/>
      <c r="G81" s="2"/>
      <c r="H81" s="36"/>
      <c r="I81" s="174"/>
    </row>
    <row r="82" hidden="1" outlineLevel="2">
      <c r="A82" s="64" t="s">
        <v>67</v>
      </c>
      <c r="B82" s="246">
        <v>40.0</v>
      </c>
      <c r="C82" s="247">
        <v>40.0</v>
      </c>
      <c r="D82" s="247">
        <v>40.0</v>
      </c>
      <c r="E82" s="247">
        <v>40.0</v>
      </c>
      <c r="F82" s="247">
        <v>40.0</v>
      </c>
      <c r="G82" s="247">
        <v>39.83</v>
      </c>
      <c r="H82" s="248">
        <v>36.4</v>
      </c>
      <c r="I82" s="249"/>
    </row>
    <row r="83" hidden="1" outlineLevel="2">
      <c r="A83" s="69" t="s">
        <v>72</v>
      </c>
      <c r="B83" s="186">
        <v>40.0</v>
      </c>
      <c r="C83" s="187">
        <v>40.0</v>
      </c>
      <c r="D83" s="187">
        <v>40.0</v>
      </c>
      <c r="E83" s="187">
        <v>40.0</v>
      </c>
      <c r="F83" s="187">
        <v>40.0</v>
      </c>
      <c r="G83" s="187">
        <v>40.0</v>
      </c>
      <c r="H83" s="188">
        <v>40.0</v>
      </c>
      <c r="I83" s="189"/>
    </row>
    <row r="84" hidden="1" outlineLevel="2">
      <c r="A84" s="54" t="s">
        <v>74</v>
      </c>
      <c r="B84" s="252">
        <f t="shared" ref="B84:H84" si="31">B82/B83</f>
        <v>1</v>
      </c>
      <c r="C84" s="253">
        <f t="shared" si="31"/>
        <v>1</v>
      </c>
      <c r="D84" s="253">
        <f t="shared" si="31"/>
        <v>1</v>
      </c>
      <c r="E84" s="253">
        <f t="shared" si="31"/>
        <v>1</v>
      </c>
      <c r="F84" s="253">
        <f t="shared" si="31"/>
        <v>1</v>
      </c>
      <c r="G84" s="253">
        <f t="shared" si="31"/>
        <v>0.99575</v>
      </c>
      <c r="H84" s="256">
        <f t="shared" si="31"/>
        <v>0.91</v>
      </c>
      <c r="I84" s="257"/>
    </row>
    <row r="85" hidden="1" outlineLevel="2">
      <c r="A85" s="32" t="s">
        <v>75</v>
      </c>
      <c r="B85" s="34"/>
      <c r="C85" s="2"/>
      <c r="D85" s="2"/>
      <c r="E85" s="2"/>
      <c r="F85" s="2"/>
      <c r="G85" s="2"/>
      <c r="H85" s="36"/>
      <c r="I85" s="174"/>
    </row>
    <row r="86" hidden="1" outlineLevel="2">
      <c r="A86" s="64" t="s">
        <v>76</v>
      </c>
      <c r="B86" s="185" t="s">
        <v>79</v>
      </c>
      <c r="C86" s="78" t="s">
        <v>80</v>
      </c>
      <c r="D86" s="78" t="s">
        <v>80</v>
      </c>
      <c r="E86" s="78" t="s">
        <v>80</v>
      </c>
      <c r="F86" s="78" t="s">
        <v>80</v>
      </c>
      <c r="G86" s="78" t="s">
        <v>79</v>
      </c>
      <c r="H86" s="258" t="s">
        <v>79</v>
      </c>
      <c r="I86" s="259"/>
    </row>
    <row r="87" hidden="1" outlineLevel="2">
      <c r="A87" s="64" t="s">
        <v>81</v>
      </c>
      <c r="B87" s="185" t="s">
        <v>83</v>
      </c>
      <c r="C87" s="78" t="s">
        <v>85</v>
      </c>
      <c r="D87" s="78" t="s">
        <v>83</v>
      </c>
      <c r="E87" s="78" t="s">
        <v>85</v>
      </c>
      <c r="F87" s="78" t="s">
        <v>83</v>
      </c>
      <c r="G87" s="78" t="s">
        <v>85</v>
      </c>
      <c r="H87" s="79" t="s">
        <v>85</v>
      </c>
      <c r="I87" s="80"/>
    </row>
    <row r="88" hidden="1" outlineLevel="2">
      <c r="A88" s="64" t="s">
        <v>86</v>
      </c>
      <c r="B88" s="194">
        <f>IF(B78&lt;B79,B79,B78) *
IF(B86="AM",
    IF(B87="Oricle",4,
    IF(B87="Other Brands",3,
    IF(B87="Oricle Prio",0.6,""))),
 IF(B86="MID",
    IF(B87="Oricle",2.5,
    IF(B87="Other Brands",3,
    IF(B87="Oricle Prio",0.6,""))),
 IF(B86="GY",
    IF(B87="Oricle",0.9,
    IF(B87="Other Brands",0.9,
    IF(B87="Oricle Prio",0.3,""))),"")))-17</f>
        <v>94</v>
      </c>
      <c r="C88" s="204">
        <f t="shared" ref="C88:D88" si="32">IF(C78&lt;C79,C79,C78) *
IF(C86="AM",
    IF(C87="Oricle",4,
    IF(C87="Other Brands",3,
    IF(C87="Oricle Prio",0.6,""))),
 IF(C86="MID",
    IF(C87="Oricle",2.5,
    IF(C87="Other Brands",3,
    IF(C87="Oricle Prio",0.6,""))),
 IF(C86="GY",
    IF(C87="Oricle",0.9,
    IF(C87="Other Brands",0.9,
    IF(C87="Oricle Prio",0.3,""))),"")))</f>
        <v>218.04</v>
      </c>
      <c r="D88" s="204">
        <f t="shared" si="32"/>
        <v>144.78</v>
      </c>
      <c r="E88" s="204">
        <f>IF(E78&lt;E79,E79,E78) *
IF(E86="AM",
    IF(E87="Oricle",4,
    IF(E87="Other Brands",3,
    IF(E87="Oricle Prio",0.6,""))),
 IF(E86="MID",
    IF(E87="Oricle",2.5,
    IF(E87="Other Brands",3,
    IF(E87="Oricle Prio",0.6,""))),
 IF(E86="GY",
    IF(E87="Oricle",0.9,
    IF(E87="Other Brands",0.9,
    IF(E87="Oricle Prio",0.3,""))),"")))-25-13</f>
        <v>138.24</v>
      </c>
      <c r="F88" s="204">
        <f t="shared" ref="F88:G88" si="33">IF(F78&lt;F79,F79,F78) *
IF(F86="AM",
    IF(F87="Oricle",4,
    IF(F87="Other Brands",3,
    IF(F87="Oricle Prio",0.6,""))),
 IF(F86="MID",
    IF(F87="Oricle",2.5,
    IF(F87="Other Brands",3,
    IF(F87="Oricle Prio",0.6,""))),
 IF(F86="GY",
    IF(F87="Oricle",0.9,
    IF(F87="Other Brands",0.9,
    IF(F87="Oricle Prio",0.3,""))),"")))</f>
        <v>159.66</v>
      </c>
      <c r="G88" s="204">
        <f t="shared" si="33"/>
        <v>136.025</v>
      </c>
      <c r="H88" s="261">
        <v>30.0</v>
      </c>
      <c r="I88" s="263"/>
    </row>
    <row r="89" hidden="1" outlineLevel="2">
      <c r="A89" s="64" t="s">
        <v>98</v>
      </c>
      <c r="B89" s="266" t="s">
        <v>245</v>
      </c>
      <c r="C89" s="77" t="s">
        <v>248</v>
      </c>
      <c r="D89" s="77" t="s">
        <v>249</v>
      </c>
      <c r="E89" s="77" t="s">
        <v>100</v>
      </c>
      <c r="F89" s="77" t="s">
        <v>250</v>
      </c>
      <c r="G89" s="77" t="s">
        <v>251</v>
      </c>
      <c r="H89" s="258" t="s">
        <v>252</v>
      </c>
      <c r="I89" s="259"/>
    </row>
    <row r="90" hidden="1" outlineLevel="2">
      <c r="A90" s="64" t="s">
        <v>107</v>
      </c>
      <c r="B90" s="266" t="s">
        <v>253</v>
      </c>
      <c r="C90" s="77" t="s">
        <v>254</v>
      </c>
      <c r="D90" s="77" t="s">
        <v>255</v>
      </c>
      <c r="E90" s="77" t="s">
        <v>256</v>
      </c>
      <c r="F90" s="77" t="s">
        <v>257</v>
      </c>
      <c r="G90" s="77" t="s">
        <v>258</v>
      </c>
      <c r="H90" s="258" t="s">
        <v>252</v>
      </c>
      <c r="I90" s="259"/>
    </row>
    <row r="91" hidden="1" outlineLevel="2">
      <c r="A91" s="69" t="s">
        <v>115</v>
      </c>
      <c r="B91" s="108">
        <f t="shared" ref="B91:H91" si="34">IF(B89&gt;0,B90/B89,0)</f>
        <v>0.9743589744</v>
      </c>
      <c r="C91" s="110">
        <f t="shared" si="34"/>
        <v>0.9855072464</v>
      </c>
      <c r="D91" s="110">
        <f t="shared" si="34"/>
        <v>0.9735099338</v>
      </c>
      <c r="E91" s="110">
        <f t="shared" si="34"/>
        <v>0.9915966387</v>
      </c>
      <c r="F91" s="110">
        <f t="shared" si="34"/>
        <v>0.9877300613</v>
      </c>
      <c r="G91" s="110">
        <f t="shared" si="34"/>
        <v>0.9928571429</v>
      </c>
      <c r="H91" s="111">
        <f t="shared" si="34"/>
        <v>1</v>
      </c>
      <c r="I91" s="112"/>
    </row>
    <row r="92" hidden="1" outlineLevel="2">
      <c r="A92" s="69" t="s">
        <v>119</v>
      </c>
      <c r="B92" s="108">
        <f t="shared" ref="B92:H92" si="35">IF(B88&gt;0,B90/B88,0)</f>
        <v>0.8085106383</v>
      </c>
      <c r="C92" s="110">
        <f t="shared" si="35"/>
        <v>0.6237387635</v>
      </c>
      <c r="D92" s="110">
        <f t="shared" si="35"/>
        <v>1.01533361</v>
      </c>
      <c r="E92" s="110">
        <f t="shared" si="35"/>
        <v>0.853587963</v>
      </c>
      <c r="F92" s="110">
        <f t="shared" si="35"/>
        <v>1.008392835</v>
      </c>
      <c r="G92" s="110">
        <f t="shared" si="35"/>
        <v>1.02187098</v>
      </c>
      <c r="H92" s="111">
        <f t="shared" si="35"/>
        <v>1</v>
      </c>
      <c r="I92" s="112"/>
    </row>
    <row r="93" hidden="1" outlineLevel="2">
      <c r="A93" s="116" t="s">
        <v>82</v>
      </c>
      <c r="B93" s="252">
        <f t="shared" ref="B93:H93" si="36">average(B91:B92)</f>
        <v>0.8914348063</v>
      </c>
      <c r="C93" s="253">
        <f t="shared" si="36"/>
        <v>0.804623005</v>
      </c>
      <c r="D93" s="253">
        <f t="shared" si="36"/>
        <v>0.9944217717</v>
      </c>
      <c r="E93" s="253">
        <f t="shared" si="36"/>
        <v>0.9225923008</v>
      </c>
      <c r="F93" s="253">
        <f t="shared" si="36"/>
        <v>0.9980614481</v>
      </c>
      <c r="G93" s="253">
        <f t="shared" si="36"/>
        <v>1.007364061</v>
      </c>
      <c r="H93" s="256">
        <f t="shared" si="36"/>
        <v>1</v>
      </c>
      <c r="I93" s="257"/>
    </row>
    <row r="94" hidden="1" outlineLevel="2">
      <c r="A94" s="32" t="s">
        <v>121</v>
      </c>
      <c r="B94" s="34"/>
      <c r="C94" s="2"/>
      <c r="D94" s="2"/>
      <c r="E94" s="2"/>
      <c r="F94" s="2"/>
      <c r="G94" s="2"/>
      <c r="H94" s="36"/>
      <c r="I94" s="174"/>
    </row>
    <row r="95" hidden="1" outlineLevel="2">
      <c r="A95" s="64" t="s">
        <v>122</v>
      </c>
      <c r="B95" s="246">
        <v>7.55</v>
      </c>
      <c r="C95" s="247">
        <v>9.15</v>
      </c>
      <c r="D95" s="247">
        <v>9.38</v>
      </c>
      <c r="E95" s="247">
        <v>10.0</v>
      </c>
      <c r="F95" s="247">
        <v>9.91</v>
      </c>
      <c r="G95" s="247">
        <v>9.33</v>
      </c>
      <c r="H95" s="248">
        <v>10.0</v>
      </c>
      <c r="I95" s="249"/>
    </row>
    <row r="96" hidden="1" outlineLevel="2">
      <c r="A96" s="69" t="s">
        <v>128</v>
      </c>
      <c r="B96" s="119">
        <v>10.0</v>
      </c>
      <c r="C96" s="120">
        <v>10.0</v>
      </c>
      <c r="D96" s="120">
        <v>10.0</v>
      </c>
      <c r="E96" s="120">
        <v>10.0</v>
      </c>
      <c r="F96" s="120">
        <v>10.0</v>
      </c>
      <c r="G96" s="120">
        <v>10.0</v>
      </c>
      <c r="H96" s="121">
        <v>10.0</v>
      </c>
      <c r="I96" s="122"/>
    </row>
    <row r="97" hidden="1" outlineLevel="2">
      <c r="A97" s="54" t="s">
        <v>130</v>
      </c>
      <c r="B97" s="252">
        <f t="shared" ref="B97:H97" si="37">IF(B95=0,0,B95/B96)</f>
        <v>0.755</v>
      </c>
      <c r="C97" s="253">
        <f t="shared" si="37"/>
        <v>0.915</v>
      </c>
      <c r="D97" s="253">
        <f t="shared" si="37"/>
        <v>0.938</v>
      </c>
      <c r="E97" s="253">
        <f t="shared" si="37"/>
        <v>1</v>
      </c>
      <c r="F97" s="253">
        <f t="shared" si="37"/>
        <v>0.991</v>
      </c>
      <c r="G97" s="253">
        <f t="shared" si="37"/>
        <v>0.933</v>
      </c>
      <c r="H97" s="256">
        <f t="shared" si="37"/>
        <v>1</v>
      </c>
      <c r="I97" s="257"/>
    </row>
    <row r="98" hidden="1" outlineLevel="2">
      <c r="A98" s="32" t="s">
        <v>131</v>
      </c>
      <c r="B98" s="34"/>
      <c r="C98" s="2"/>
      <c r="D98" s="2"/>
      <c r="E98" s="2"/>
      <c r="F98" s="2"/>
      <c r="G98" s="2"/>
      <c r="H98" s="36"/>
      <c r="I98" s="174"/>
    </row>
    <row r="99" hidden="1" outlineLevel="2">
      <c r="A99" s="64" t="s">
        <v>132</v>
      </c>
      <c r="B99" s="246">
        <v>0.0</v>
      </c>
      <c r="C99" s="247">
        <v>0.0</v>
      </c>
      <c r="D99" s="247">
        <v>0.0</v>
      </c>
      <c r="E99" s="247">
        <v>0.0</v>
      </c>
      <c r="F99" s="247">
        <v>0.0</v>
      </c>
      <c r="G99" s="247">
        <v>0.0</v>
      </c>
      <c r="H99" s="248">
        <v>0.0</v>
      </c>
      <c r="I99" s="249"/>
    </row>
    <row r="100" hidden="1" outlineLevel="2">
      <c r="A100" s="127" t="s">
        <v>134</v>
      </c>
      <c r="B100" s="34"/>
      <c r="C100" s="2"/>
      <c r="D100" s="2"/>
      <c r="E100" s="2"/>
      <c r="F100" s="2"/>
      <c r="G100" s="2"/>
      <c r="H100" s="36"/>
      <c r="I100" s="174"/>
    </row>
    <row r="101" hidden="1" outlineLevel="2">
      <c r="A101" s="69" t="s">
        <v>136</v>
      </c>
      <c r="B101" s="129">
        <f t="shared" ref="B101:H101" si="38">B80*25</f>
        <v>21.30405405</v>
      </c>
      <c r="C101" s="130">
        <f t="shared" si="38"/>
        <v>34.06875</v>
      </c>
      <c r="D101" s="130">
        <f t="shared" si="38"/>
        <v>30.1625</v>
      </c>
      <c r="E101" s="130">
        <f t="shared" si="38"/>
        <v>29.77027027</v>
      </c>
      <c r="F101" s="130">
        <f t="shared" si="38"/>
        <v>33.6835443</v>
      </c>
      <c r="G101" s="130">
        <f t="shared" si="38"/>
        <v>34.00625</v>
      </c>
      <c r="H101" s="132">
        <f t="shared" si="38"/>
        <v>25</v>
      </c>
      <c r="I101" s="133"/>
    </row>
    <row r="102" hidden="1" outlineLevel="2">
      <c r="A102" s="69" t="s">
        <v>144</v>
      </c>
      <c r="B102" s="129">
        <f t="shared" ref="B102:H102" si="39">B84*35</f>
        <v>35</v>
      </c>
      <c r="C102" s="130">
        <f t="shared" si="39"/>
        <v>35</v>
      </c>
      <c r="D102" s="130">
        <f t="shared" si="39"/>
        <v>35</v>
      </c>
      <c r="E102" s="130">
        <f t="shared" si="39"/>
        <v>35</v>
      </c>
      <c r="F102" s="130">
        <f t="shared" si="39"/>
        <v>35</v>
      </c>
      <c r="G102" s="130">
        <f t="shared" si="39"/>
        <v>34.85125</v>
      </c>
      <c r="H102" s="132">
        <f t="shared" si="39"/>
        <v>31.85</v>
      </c>
      <c r="I102" s="133"/>
    </row>
    <row r="103" hidden="1" outlineLevel="2">
      <c r="A103" s="69" t="s">
        <v>146</v>
      </c>
      <c r="B103" s="129">
        <f t="shared" ref="B103:H103" si="40">IF(AND(B84&lt;85%, B93&gt;100%), 25, B93*25)</f>
        <v>22.28587016</v>
      </c>
      <c r="C103" s="130">
        <f t="shared" si="40"/>
        <v>20.11557512</v>
      </c>
      <c r="D103" s="130">
        <f t="shared" si="40"/>
        <v>24.86054429</v>
      </c>
      <c r="E103" s="130">
        <f t="shared" si="40"/>
        <v>23.06480752</v>
      </c>
      <c r="F103" s="130">
        <f t="shared" si="40"/>
        <v>24.9515362</v>
      </c>
      <c r="G103" s="130">
        <f t="shared" si="40"/>
        <v>25.18410153</v>
      </c>
      <c r="H103" s="132">
        <f t="shared" si="40"/>
        <v>25</v>
      </c>
      <c r="I103" s="133"/>
    </row>
    <row r="104" hidden="1" outlineLevel="2">
      <c r="A104" s="69" t="s">
        <v>148</v>
      </c>
      <c r="B104" s="129">
        <f t="shared" ref="B104:H104" si="41">B97*15</f>
        <v>11.325</v>
      </c>
      <c r="C104" s="130">
        <f t="shared" si="41"/>
        <v>13.725</v>
      </c>
      <c r="D104" s="130">
        <f t="shared" si="41"/>
        <v>14.07</v>
      </c>
      <c r="E104" s="130">
        <f t="shared" si="41"/>
        <v>15</v>
      </c>
      <c r="F104" s="130">
        <f t="shared" si="41"/>
        <v>14.865</v>
      </c>
      <c r="G104" s="130">
        <f t="shared" si="41"/>
        <v>13.995</v>
      </c>
      <c r="H104" s="132">
        <f t="shared" si="41"/>
        <v>15</v>
      </c>
      <c r="I104" s="133"/>
    </row>
    <row r="105" hidden="1" outlineLevel="2">
      <c r="A105" s="69" t="s">
        <v>149</v>
      </c>
      <c r="B105" s="129">
        <f t="shared" ref="B105:H105" si="42">B99*-10</f>
        <v>0</v>
      </c>
      <c r="C105" s="130">
        <f t="shared" si="42"/>
        <v>0</v>
      </c>
      <c r="D105" s="130">
        <f t="shared" si="42"/>
        <v>0</v>
      </c>
      <c r="E105" s="130">
        <f t="shared" si="42"/>
        <v>0</v>
      </c>
      <c r="F105" s="130">
        <f t="shared" si="42"/>
        <v>0</v>
      </c>
      <c r="G105" s="130">
        <f t="shared" si="42"/>
        <v>0</v>
      </c>
      <c r="H105" s="132">
        <f t="shared" si="42"/>
        <v>0</v>
      </c>
      <c r="I105" s="133"/>
    </row>
    <row r="106" hidden="1" outlineLevel="2">
      <c r="A106" s="142" t="s">
        <v>150</v>
      </c>
      <c r="B106" s="129">
        <f t="shared" ref="B106:H106" si="43">B101+B102+B103+B104+B105</f>
        <v>89.91492421</v>
      </c>
      <c r="C106" s="130">
        <f t="shared" si="43"/>
        <v>102.9093251</v>
      </c>
      <c r="D106" s="130">
        <f t="shared" si="43"/>
        <v>104.0930443</v>
      </c>
      <c r="E106" s="130">
        <f t="shared" si="43"/>
        <v>102.8350778</v>
      </c>
      <c r="F106" s="130">
        <f t="shared" si="43"/>
        <v>108.5000805</v>
      </c>
      <c r="G106" s="130">
        <f t="shared" si="43"/>
        <v>108.0366015</v>
      </c>
      <c r="H106" s="132">
        <f t="shared" si="43"/>
        <v>96.85</v>
      </c>
      <c r="I106" s="133"/>
    </row>
    <row r="107" hidden="1" outlineLevel="2">
      <c r="A107" s="54" t="s">
        <v>152</v>
      </c>
      <c r="B107" s="58">
        <f t="shared" ref="B107:H107" si="44">B106/100</f>
        <v>0.8991492421</v>
      </c>
      <c r="C107" s="61">
        <f t="shared" si="44"/>
        <v>1.029093251</v>
      </c>
      <c r="D107" s="61">
        <f t="shared" si="44"/>
        <v>1.040930443</v>
      </c>
      <c r="E107" s="61">
        <f t="shared" si="44"/>
        <v>1.028350778</v>
      </c>
      <c r="F107" s="61">
        <f t="shared" si="44"/>
        <v>1.085000805</v>
      </c>
      <c r="G107" s="61">
        <f t="shared" si="44"/>
        <v>1.080366015</v>
      </c>
      <c r="H107" s="62">
        <f t="shared" si="44"/>
        <v>0.9685</v>
      </c>
      <c r="I107" s="63"/>
    </row>
    <row r="108" hidden="1" outlineLevel="2">
      <c r="A108" s="127" t="s">
        <v>154</v>
      </c>
      <c r="B108" s="150" t="s">
        <v>155</v>
      </c>
      <c r="C108" s="152" t="s">
        <v>155</v>
      </c>
      <c r="D108" s="152" t="s">
        <v>155</v>
      </c>
      <c r="E108" s="152" t="s">
        <v>155</v>
      </c>
      <c r="F108" s="152" t="s">
        <v>156</v>
      </c>
      <c r="G108" s="152" t="s">
        <v>155</v>
      </c>
      <c r="H108" s="298" t="s">
        <v>155</v>
      </c>
      <c r="I108" s="299"/>
    </row>
    <row r="109" hidden="1" outlineLevel="2">
      <c r="A109" s="127" t="s">
        <v>158</v>
      </c>
      <c r="B109" s="156"/>
      <c r="C109" s="157"/>
      <c r="D109" s="157"/>
      <c r="E109" s="157"/>
      <c r="F109" s="157"/>
      <c r="G109" s="157"/>
      <c r="H109" s="158"/>
      <c r="I109" s="159"/>
    </row>
    <row r="110" hidden="1" outlineLevel="1" collapsed="1">
      <c r="A110" s="12"/>
      <c r="B110" s="13" t="s">
        <v>280</v>
      </c>
      <c r="C110" s="14"/>
      <c r="D110" s="14"/>
      <c r="E110" s="14"/>
      <c r="F110" s="14"/>
      <c r="G110" s="14"/>
      <c r="H110" s="15"/>
      <c r="I110" s="16"/>
    </row>
    <row r="111" hidden="1" outlineLevel="2">
      <c r="A111" s="164"/>
      <c r="B111" s="302" t="s">
        <v>29</v>
      </c>
      <c r="C111" s="303" t="s">
        <v>4</v>
      </c>
      <c r="D111" s="303" t="s">
        <v>19</v>
      </c>
      <c r="E111" s="303" t="s">
        <v>30</v>
      </c>
      <c r="F111" s="303" t="s">
        <v>31</v>
      </c>
      <c r="G111" s="304" t="s">
        <v>32</v>
      </c>
      <c r="H111" s="305" t="s">
        <v>13</v>
      </c>
      <c r="I111" s="242"/>
    </row>
    <row r="112" hidden="1" outlineLevel="2">
      <c r="A112" s="25" t="s">
        <v>36</v>
      </c>
      <c r="B112" s="306" t="s">
        <v>283</v>
      </c>
      <c r="C112" s="244"/>
      <c r="D112" s="244"/>
      <c r="E112" s="244"/>
      <c r="F112" s="244"/>
      <c r="G112" s="244"/>
      <c r="H112" s="245"/>
      <c r="I112" s="307"/>
    </row>
    <row r="113" hidden="1" outlineLevel="2">
      <c r="A113" s="32" t="s">
        <v>45</v>
      </c>
      <c r="B113" s="34"/>
      <c r="C113" s="2"/>
      <c r="D113" s="2"/>
      <c r="E113" s="2"/>
      <c r="F113" s="2"/>
      <c r="G113" s="2"/>
      <c r="H113" s="36"/>
      <c r="I113" s="174"/>
    </row>
    <row r="114" hidden="1" outlineLevel="2">
      <c r="A114" s="38" t="s">
        <v>49</v>
      </c>
      <c r="B114" s="175">
        <v>47.54</v>
      </c>
      <c r="C114" s="176">
        <v>52.44</v>
      </c>
      <c r="D114" s="176">
        <v>46.29</v>
      </c>
      <c r="E114" s="176">
        <v>54.03</v>
      </c>
      <c r="F114" s="176">
        <v>45.49</v>
      </c>
      <c r="G114" s="176">
        <v>46.46</v>
      </c>
      <c r="H114" s="179">
        <v>48.0</v>
      </c>
      <c r="I114" s="180"/>
    </row>
    <row r="115" hidden="1" outlineLevel="2">
      <c r="A115" s="49" t="s">
        <v>53</v>
      </c>
      <c r="B115" s="181">
        <v>37.5</v>
      </c>
      <c r="C115" s="250">
        <v>39.0</v>
      </c>
      <c r="D115" s="51">
        <v>40.0</v>
      </c>
      <c r="E115" s="51">
        <v>39.0</v>
      </c>
      <c r="F115" s="51">
        <v>39.0</v>
      </c>
      <c r="G115" s="51">
        <v>40.0</v>
      </c>
      <c r="H115" s="52">
        <v>40.0</v>
      </c>
      <c r="I115" s="53"/>
    </row>
    <row r="116" hidden="1" outlineLevel="2">
      <c r="A116" s="54" t="s">
        <v>57</v>
      </c>
      <c r="B116" s="252">
        <f t="shared" ref="B116:H116" si="45">B114/B115</f>
        <v>1.267733333</v>
      </c>
      <c r="C116" s="253">
        <f t="shared" si="45"/>
        <v>1.344615385</v>
      </c>
      <c r="D116" s="253">
        <f t="shared" si="45"/>
        <v>1.15725</v>
      </c>
      <c r="E116" s="253">
        <f t="shared" si="45"/>
        <v>1.385384615</v>
      </c>
      <c r="F116" s="253">
        <f t="shared" si="45"/>
        <v>1.166410256</v>
      </c>
      <c r="G116" s="253">
        <f t="shared" si="45"/>
        <v>1.1615</v>
      </c>
      <c r="H116" s="256">
        <f t="shared" si="45"/>
        <v>1.2</v>
      </c>
      <c r="I116" s="257"/>
    </row>
    <row r="117" hidden="1" outlineLevel="2">
      <c r="A117" s="32" t="s">
        <v>66</v>
      </c>
      <c r="B117" s="34"/>
      <c r="C117" s="2"/>
      <c r="D117" s="2"/>
      <c r="E117" s="2"/>
      <c r="F117" s="2"/>
      <c r="G117" s="2"/>
      <c r="H117" s="36"/>
      <c r="I117" s="174"/>
    </row>
    <row r="118" hidden="1" outlineLevel="2">
      <c r="A118" s="64" t="s">
        <v>67</v>
      </c>
      <c r="B118" s="175">
        <v>40.0</v>
      </c>
      <c r="C118" s="176">
        <v>40.0</v>
      </c>
      <c r="D118" s="176">
        <v>27.3</v>
      </c>
      <c r="E118" s="176">
        <v>28.0</v>
      </c>
      <c r="F118" s="176">
        <v>40.0</v>
      </c>
      <c r="G118" s="176">
        <v>39.3</v>
      </c>
      <c r="H118" s="179">
        <v>39.73</v>
      </c>
      <c r="I118" s="180"/>
    </row>
    <row r="119" hidden="1" outlineLevel="2">
      <c r="A119" s="69" t="s">
        <v>72</v>
      </c>
      <c r="B119" s="186">
        <v>40.0</v>
      </c>
      <c r="C119" s="187">
        <v>40.0</v>
      </c>
      <c r="D119" s="187">
        <v>40.0</v>
      </c>
      <c r="E119" s="187">
        <v>40.0</v>
      </c>
      <c r="F119" s="187">
        <v>40.0</v>
      </c>
      <c r="G119" s="187">
        <v>40.0</v>
      </c>
      <c r="H119" s="188">
        <v>40.0</v>
      </c>
      <c r="I119" s="189"/>
    </row>
    <row r="120" hidden="1" outlineLevel="2">
      <c r="A120" s="54" t="s">
        <v>74</v>
      </c>
      <c r="B120" s="252">
        <f t="shared" ref="B120:H120" si="46">B118/B119</f>
        <v>1</v>
      </c>
      <c r="C120" s="253">
        <f t="shared" si="46"/>
        <v>1</v>
      </c>
      <c r="D120" s="253">
        <f t="shared" si="46"/>
        <v>0.6825</v>
      </c>
      <c r="E120" s="253">
        <f t="shared" si="46"/>
        <v>0.7</v>
      </c>
      <c r="F120" s="253">
        <f t="shared" si="46"/>
        <v>1</v>
      </c>
      <c r="G120" s="253">
        <f t="shared" si="46"/>
        <v>0.9825</v>
      </c>
      <c r="H120" s="256">
        <f t="shared" si="46"/>
        <v>0.99325</v>
      </c>
      <c r="I120" s="257"/>
    </row>
    <row r="121" hidden="1" outlineLevel="2">
      <c r="A121" s="32" t="s">
        <v>75</v>
      </c>
      <c r="B121" s="34"/>
      <c r="C121" s="2"/>
      <c r="D121" s="2"/>
      <c r="E121" s="2"/>
      <c r="F121" s="2"/>
      <c r="G121" s="2"/>
      <c r="H121" s="36"/>
      <c r="I121" s="174"/>
    </row>
    <row r="122" hidden="1" outlineLevel="2">
      <c r="A122" s="64" t="s">
        <v>76</v>
      </c>
      <c r="B122" s="185" t="s">
        <v>79</v>
      </c>
      <c r="C122" s="78" t="s">
        <v>80</v>
      </c>
      <c r="D122" s="78" t="s">
        <v>80</v>
      </c>
      <c r="E122" s="78" t="s">
        <v>79</v>
      </c>
      <c r="F122" s="78" t="s">
        <v>79</v>
      </c>
      <c r="G122" s="78" t="s">
        <v>79</v>
      </c>
      <c r="H122" s="79" t="s">
        <v>79</v>
      </c>
      <c r="I122" s="80"/>
    </row>
    <row r="123" hidden="1" outlineLevel="2">
      <c r="A123" s="64" t="s">
        <v>81</v>
      </c>
      <c r="B123" s="185" t="s">
        <v>83</v>
      </c>
      <c r="C123" s="78" t="s">
        <v>85</v>
      </c>
      <c r="D123" s="78" t="s">
        <v>83</v>
      </c>
      <c r="E123" s="78" t="s">
        <v>85</v>
      </c>
      <c r="F123" s="78" t="s">
        <v>83</v>
      </c>
      <c r="G123" s="78" t="s">
        <v>85</v>
      </c>
      <c r="H123" s="79" t="s">
        <v>85</v>
      </c>
      <c r="I123" s="80"/>
    </row>
    <row r="124" hidden="1" outlineLevel="2">
      <c r="A124" s="64" t="s">
        <v>86</v>
      </c>
      <c r="B124" s="194">
        <f>IF(B114&lt;B115,B115,B114) *
IF(B122="AM",
    IF(B123="Oricle",4,
    IF(B123="Other Brands",3,
    IF(B123="Oricle Prio",0.6,""))),
 IF(B122="MID",
    IF(B123="Oricle",2.5,
    IF(B123="Other Brands",3,
    IF(B123="Oricle Prio",0.6,""))),
 IF(B122="GY",
    IF(B123="Oricle",0.9,
    IF(B123="Other Brands",0.9,
    IF(B123="Oricle Prio",0.3,""))),"")))-17</f>
        <v>125.62</v>
      </c>
      <c r="C124" s="204">
        <f t="shared" ref="C124:D124" si="47">IF(C114&lt;C115,C115,C114) *
IF(C122="AM",
    IF(C123="Oricle",4,
    IF(C123="Other Brands",3,
    IF(C123="Oricle Prio",0.6,""))),
 IF(C122="MID",
    IF(C123="Oricle",2.5,
    IF(C123="Other Brands",3,
    IF(C123="Oricle Prio",0.6,""))),
 IF(C122="GY",
    IF(C123="Oricle",0.9,
    IF(C123="Other Brands",0.9,
    IF(C123="Oricle Prio",0.3,""))),"")))</f>
        <v>209.76</v>
      </c>
      <c r="D124" s="204">
        <f t="shared" si="47"/>
        <v>138.87</v>
      </c>
      <c r="E124" s="204">
        <f>IF(E114&lt;E115,E115,E114) *
IF(E122="AM",
    IF(E123="Oricle",4,
    IF(E123="Other Brands",3,
    IF(E123="Oricle Prio",0.6,""))),
 IF(E122="MID",
    IF(E123="Oricle",2.5,
    IF(E123="Other Brands",3,
    IF(E123="Oricle Prio",0.6,""))),
 IF(E122="GY",
    IF(E123="Oricle",0.9,
    IF(E123="Other Brands",0.9,
    IF(E123="Oricle Prio",0.3,""))),"")))-13</f>
        <v>122.075</v>
      </c>
      <c r="F124" s="204">
        <f t="shared" ref="F124:G124" si="48">IF(F114&lt;F115,F115,F114) *
IF(F122="AM",
    IF(F123="Oricle",4,
    IF(F123="Other Brands",3,
    IF(F123="Oricle Prio",0.6,""))),
 IF(F122="MID",
    IF(F123="Oricle",2.5,
    IF(F123="Other Brands",3,
    IF(F123="Oricle Prio",0.6,""))),
 IF(F122="GY",
    IF(F123="Oricle",0.9,
    IF(F123="Other Brands",0.9,
    IF(F123="Oricle Prio",0.3,""))),"")))</f>
        <v>136.47</v>
      </c>
      <c r="G124" s="204">
        <f t="shared" si="48"/>
        <v>116.15</v>
      </c>
      <c r="H124" s="204">
        <f>IF(H114&lt;H115,H115,H114) *
IF(H122="AM",
    IF(H123="Oricle",4,
    IF(H123="Other Brands",3,
    IF(H123="Oricle Prio",0.6,""))),
 IF(H122="MID",
    IF(H123="Oricle",2,
    IF(H123="Other Brands",3,
    IF(H123="Oricle Prio",0.6,""))),
 IF(H122="GY",
    IF(H123="Oricle",0.9,
    IF(H123="Other Brands",0.9,
    IF(H123="Oricle Prio",0.3,""))),"")))</f>
        <v>96</v>
      </c>
      <c r="I124" s="106"/>
    </row>
    <row r="125" hidden="1" outlineLevel="2">
      <c r="A125" s="64" t="s">
        <v>98</v>
      </c>
      <c r="B125" s="185" t="s">
        <v>296</v>
      </c>
      <c r="C125" s="78" t="s">
        <v>297</v>
      </c>
      <c r="D125" s="78" t="s">
        <v>298</v>
      </c>
      <c r="E125" s="78" t="s">
        <v>248</v>
      </c>
      <c r="F125" s="78" t="s">
        <v>299</v>
      </c>
      <c r="G125" s="78" t="s">
        <v>248</v>
      </c>
      <c r="H125" s="79" t="s">
        <v>300</v>
      </c>
      <c r="I125" s="80"/>
    </row>
    <row r="126" hidden="1" outlineLevel="2">
      <c r="A126" s="64" t="s">
        <v>107</v>
      </c>
      <c r="B126" s="185" t="s">
        <v>301</v>
      </c>
      <c r="C126" s="78" t="s">
        <v>302</v>
      </c>
      <c r="D126" s="78" t="s">
        <v>249</v>
      </c>
      <c r="E126" s="78" t="s">
        <v>101</v>
      </c>
      <c r="F126" s="78" t="s">
        <v>256</v>
      </c>
      <c r="G126" s="78" t="s">
        <v>101</v>
      </c>
      <c r="H126" s="79" t="s">
        <v>303</v>
      </c>
      <c r="I126" s="80"/>
    </row>
    <row r="127" hidden="1" outlineLevel="2">
      <c r="A127" s="69" t="s">
        <v>115</v>
      </c>
      <c r="B127" s="108">
        <f t="shared" ref="B127:H127" si="49">IF(B125&gt;0,B126/B125,0)</f>
        <v>0.9814814815</v>
      </c>
      <c r="C127" s="110">
        <f t="shared" si="49"/>
        <v>0.9939759036</v>
      </c>
      <c r="D127" s="110">
        <f t="shared" si="49"/>
        <v>0.9869281046</v>
      </c>
      <c r="E127" s="110">
        <f t="shared" si="49"/>
        <v>0.9927536232</v>
      </c>
      <c r="F127" s="110">
        <f t="shared" si="49"/>
        <v>0.9833333333</v>
      </c>
      <c r="G127" s="110">
        <f t="shared" si="49"/>
        <v>0.9927536232</v>
      </c>
      <c r="H127" s="111">
        <f t="shared" si="49"/>
        <v>0.9898989899</v>
      </c>
      <c r="I127" s="112"/>
    </row>
    <row r="128" hidden="1" outlineLevel="2">
      <c r="A128" s="69" t="s">
        <v>119</v>
      </c>
      <c r="B128" s="108">
        <f t="shared" ref="B128:H128" si="50">IF(B124&gt;0,B126/B124,0)</f>
        <v>0.8438146792</v>
      </c>
      <c r="C128" s="110">
        <f t="shared" si="50"/>
        <v>0.7866132723</v>
      </c>
      <c r="D128" s="110">
        <f t="shared" si="50"/>
        <v>1.087347879</v>
      </c>
      <c r="E128" s="110">
        <f t="shared" si="50"/>
        <v>1.122260905</v>
      </c>
      <c r="F128" s="110">
        <f t="shared" si="50"/>
        <v>0.8646588994</v>
      </c>
      <c r="G128" s="110">
        <f t="shared" si="50"/>
        <v>1.179509255</v>
      </c>
      <c r="H128" s="111">
        <f t="shared" si="50"/>
        <v>1.020833333</v>
      </c>
      <c r="I128" s="112"/>
    </row>
    <row r="129" hidden="1" outlineLevel="2">
      <c r="A129" s="116" t="s">
        <v>82</v>
      </c>
      <c r="B129" s="252">
        <f t="shared" ref="B129:H129" si="51">average(B127:B128)</f>
        <v>0.9126480803</v>
      </c>
      <c r="C129" s="253">
        <f t="shared" si="51"/>
        <v>0.890294588</v>
      </c>
      <c r="D129" s="253">
        <f t="shared" si="51"/>
        <v>1.037137992</v>
      </c>
      <c r="E129" s="253">
        <f t="shared" si="51"/>
        <v>1.057507264</v>
      </c>
      <c r="F129" s="253">
        <f t="shared" si="51"/>
        <v>0.9239961164</v>
      </c>
      <c r="G129" s="253">
        <f t="shared" si="51"/>
        <v>1.086131439</v>
      </c>
      <c r="H129" s="256">
        <f t="shared" si="51"/>
        <v>1.005366162</v>
      </c>
      <c r="I129" s="257"/>
    </row>
    <row r="130" hidden="1" outlineLevel="2">
      <c r="A130" s="32" t="s">
        <v>121</v>
      </c>
      <c r="B130" s="34"/>
      <c r="C130" s="2"/>
      <c r="D130" s="2"/>
      <c r="E130" s="2"/>
      <c r="F130" s="2"/>
      <c r="G130" s="2"/>
      <c r="H130" s="36"/>
      <c r="I130" s="174"/>
    </row>
    <row r="131" hidden="1" outlineLevel="2">
      <c r="A131" s="64" t="s">
        <v>122</v>
      </c>
      <c r="B131" s="175">
        <v>10.0</v>
      </c>
      <c r="C131" s="176">
        <v>9.33</v>
      </c>
      <c r="D131" s="176">
        <v>9.64</v>
      </c>
      <c r="E131" s="176">
        <v>10.0</v>
      </c>
      <c r="F131" s="176">
        <v>9.26</v>
      </c>
      <c r="G131" s="176">
        <v>10.0</v>
      </c>
      <c r="H131" s="179">
        <v>10.0</v>
      </c>
      <c r="I131" s="180"/>
    </row>
    <row r="132" hidden="1" outlineLevel="2">
      <c r="A132" s="69" t="s">
        <v>128</v>
      </c>
      <c r="B132" s="119">
        <v>10.0</v>
      </c>
      <c r="C132" s="120">
        <v>10.0</v>
      </c>
      <c r="D132" s="120">
        <v>10.0</v>
      </c>
      <c r="E132" s="120">
        <v>10.0</v>
      </c>
      <c r="F132" s="120">
        <v>10.0</v>
      </c>
      <c r="G132" s="120">
        <v>10.0</v>
      </c>
      <c r="H132" s="121">
        <v>10.0</v>
      </c>
      <c r="I132" s="122"/>
    </row>
    <row r="133" hidden="1" outlineLevel="2">
      <c r="A133" s="54" t="s">
        <v>130</v>
      </c>
      <c r="B133" s="252">
        <f t="shared" ref="B133:H133" si="52">IF(B131=0,0,B131/B132)</f>
        <v>1</v>
      </c>
      <c r="C133" s="253">
        <f t="shared" si="52"/>
        <v>0.933</v>
      </c>
      <c r="D133" s="253">
        <f t="shared" si="52"/>
        <v>0.964</v>
      </c>
      <c r="E133" s="253">
        <f t="shared" si="52"/>
        <v>1</v>
      </c>
      <c r="F133" s="253">
        <f t="shared" si="52"/>
        <v>0.926</v>
      </c>
      <c r="G133" s="253">
        <f t="shared" si="52"/>
        <v>1</v>
      </c>
      <c r="H133" s="256">
        <f t="shared" si="52"/>
        <v>1</v>
      </c>
      <c r="I133" s="257"/>
    </row>
    <row r="134" hidden="1" outlineLevel="2">
      <c r="A134" s="32" t="s">
        <v>131</v>
      </c>
      <c r="B134" s="34"/>
      <c r="C134" s="2"/>
      <c r="D134" s="2"/>
      <c r="E134" s="2"/>
      <c r="F134" s="2"/>
      <c r="G134" s="2"/>
      <c r="H134" s="36"/>
      <c r="I134" s="174"/>
    </row>
    <row r="135" hidden="1" outlineLevel="2">
      <c r="A135" s="64" t="s">
        <v>132</v>
      </c>
      <c r="B135" s="312"/>
      <c r="C135" s="313"/>
      <c r="D135" s="313"/>
      <c r="E135" s="313"/>
      <c r="F135" s="313"/>
      <c r="G135" s="313"/>
      <c r="H135" s="314"/>
      <c r="I135" s="315"/>
    </row>
    <row r="136" hidden="1" outlineLevel="2">
      <c r="A136" s="127" t="s">
        <v>134</v>
      </c>
      <c r="B136" s="34"/>
      <c r="C136" s="2"/>
      <c r="D136" s="2"/>
      <c r="E136" s="2"/>
      <c r="F136" s="2"/>
      <c r="G136" s="2"/>
      <c r="H136" s="36"/>
      <c r="I136" s="174"/>
    </row>
    <row r="137" hidden="1" outlineLevel="2">
      <c r="A137" s="69" t="s">
        <v>136</v>
      </c>
      <c r="B137" s="129">
        <f t="shared" ref="B137:H137" si="53">B116*25</f>
        <v>31.69333333</v>
      </c>
      <c r="C137" s="130">
        <f t="shared" si="53"/>
        <v>33.61538462</v>
      </c>
      <c r="D137" s="130">
        <f t="shared" si="53"/>
        <v>28.93125</v>
      </c>
      <c r="E137" s="130">
        <f t="shared" si="53"/>
        <v>34.63461538</v>
      </c>
      <c r="F137" s="130">
        <f t="shared" si="53"/>
        <v>29.16025641</v>
      </c>
      <c r="G137" s="130">
        <f t="shared" si="53"/>
        <v>29.0375</v>
      </c>
      <c r="H137" s="132">
        <f t="shared" si="53"/>
        <v>30</v>
      </c>
      <c r="I137" s="133"/>
    </row>
    <row r="138" hidden="1" outlineLevel="2">
      <c r="A138" s="69" t="s">
        <v>144</v>
      </c>
      <c r="B138" s="129">
        <f t="shared" ref="B138:H138" si="54">B120*35</f>
        <v>35</v>
      </c>
      <c r="C138" s="130">
        <f t="shared" si="54"/>
        <v>35</v>
      </c>
      <c r="D138" s="130">
        <f t="shared" si="54"/>
        <v>23.8875</v>
      </c>
      <c r="E138" s="130">
        <f t="shared" si="54"/>
        <v>24.5</v>
      </c>
      <c r="F138" s="130">
        <f t="shared" si="54"/>
        <v>35</v>
      </c>
      <c r="G138" s="130">
        <f t="shared" si="54"/>
        <v>34.3875</v>
      </c>
      <c r="H138" s="132">
        <f t="shared" si="54"/>
        <v>34.76375</v>
      </c>
      <c r="I138" s="133"/>
    </row>
    <row r="139" hidden="1" outlineLevel="2">
      <c r="A139" s="69" t="s">
        <v>146</v>
      </c>
      <c r="B139" s="129">
        <f t="shared" ref="B139:H139" si="55">IF(AND(B120&lt;85%, B129&gt;100%), 25, B129*25)</f>
        <v>22.81620201</v>
      </c>
      <c r="C139" s="130">
        <f t="shared" si="55"/>
        <v>22.2573647</v>
      </c>
      <c r="D139" s="130">
        <f t="shared" si="55"/>
        <v>25</v>
      </c>
      <c r="E139" s="130">
        <f t="shared" si="55"/>
        <v>25</v>
      </c>
      <c r="F139" s="130">
        <f t="shared" si="55"/>
        <v>23.09990291</v>
      </c>
      <c r="G139" s="130">
        <f t="shared" si="55"/>
        <v>27.15328598</v>
      </c>
      <c r="H139" s="132">
        <f t="shared" si="55"/>
        <v>25.13415404</v>
      </c>
      <c r="I139" s="133"/>
    </row>
    <row r="140" hidden="1" outlineLevel="2">
      <c r="A140" s="69" t="s">
        <v>148</v>
      </c>
      <c r="B140" s="129">
        <f t="shared" ref="B140:H140" si="56">B133*15</f>
        <v>15</v>
      </c>
      <c r="C140" s="130">
        <f t="shared" si="56"/>
        <v>13.995</v>
      </c>
      <c r="D140" s="130">
        <f t="shared" si="56"/>
        <v>14.46</v>
      </c>
      <c r="E140" s="130">
        <f t="shared" si="56"/>
        <v>15</v>
      </c>
      <c r="F140" s="130">
        <f t="shared" si="56"/>
        <v>13.89</v>
      </c>
      <c r="G140" s="130">
        <f t="shared" si="56"/>
        <v>15</v>
      </c>
      <c r="H140" s="132">
        <f t="shared" si="56"/>
        <v>15</v>
      </c>
      <c r="I140" s="133"/>
    </row>
    <row r="141" hidden="1" outlineLevel="2">
      <c r="A141" s="69" t="s">
        <v>149</v>
      </c>
      <c r="B141" s="129">
        <f t="shared" ref="B141:H141" si="57">B135*-10</f>
        <v>0</v>
      </c>
      <c r="C141" s="130">
        <f t="shared" si="57"/>
        <v>0</v>
      </c>
      <c r="D141" s="130">
        <f t="shared" si="57"/>
        <v>0</v>
      </c>
      <c r="E141" s="130">
        <f t="shared" si="57"/>
        <v>0</v>
      </c>
      <c r="F141" s="130">
        <f t="shared" si="57"/>
        <v>0</v>
      </c>
      <c r="G141" s="130">
        <f t="shared" si="57"/>
        <v>0</v>
      </c>
      <c r="H141" s="132">
        <f t="shared" si="57"/>
        <v>0</v>
      </c>
      <c r="I141" s="133"/>
    </row>
    <row r="142" hidden="1" outlineLevel="2">
      <c r="A142" s="142" t="s">
        <v>150</v>
      </c>
      <c r="B142" s="129">
        <f t="shared" ref="B142:H142" si="58">B137+B138+B139+B140+B141</f>
        <v>104.5095353</v>
      </c>
      <c r="C142" s="130">
        <f t="shared" si="58"/>
        <v>104.8677493</v>
      </c>
      <c r="D142" s="130">
        <f t="shared" si="58"/>
        <v>92.27875</v>
      </c>
      <c r="E142" s="130">
        <f t="shared" si="58"/>
        <v>99.13461538</v>
      </c>
      <c r="F142" s="130">
        <f t="shared" si="58"/>
        <v>101.1501593</v>
      </c>
      <c r="G142" s="130">
        <f t="shared" si="58"/>
        <v>105.578286</v>
      </c>
      <c r="H142" s="132">
        <f t="shared" si="58"/>
        <v>104.897904</v>
      </c>
      <c r="I142" s="133"/>
    </row>
    <row r="143" hidden="1" outlineLevel="2">
      <c r="A143" s="54" t="s">
        <v>152</v>
      </c>
      <c r="B143" s="58">
        <f t="shared" ref="B143:H143" si="59">B142/100</f>
        <v>1.045095353</v>
      </c>
      <c r="C143" s="61">
        <f t="shared" si="59"/>
        <v>1.048677493</v>
      </c>
      <c r="D143" s="61">
        <f t="shared" si="59"/>
        <v>0.9227875</v>
      </c>
      <c r="E143" s="61">
        <f t="shared" si="59"/>
        <v>0.9913461538</v>
      </c>
      <c r="F143" s="61">
        <f t="shared" si="59"/>
        <v>1.011501593</v>
      </c>
      <c r="G143" s="61">
        <f t="shared" si="59"/>
        <v>1.05578286</v>
      </c>
      <c r="H143" s="62">
        <f t="shared" si="59"/>
        <v>1.04897904</v>
      </c>
      <c r="I143" s="63"/>
    </row>
    <row r="144" hidden="1" outlineLevel="2">
      <c r="A144" s="127" t="s">
        <v>154</v>
      </c>
      <c r="B144" s="236" t="s">
        <v>155</v>
      </c>
      <c r="C144" s="237" t="s">
        <v>155</v>
      </c>
      <c r="D144" s="237" t="s">
        <v>155</v>
      </c>
      <c r="E144" s="237" t="s">
        <v>155</v>
      </c>
      <c r="F144" s="237" t="s">
        <v>155</v>
      </c>
      <c r="G144" s="237" t="s">
        <v>156</v>
      </c>
      <c r="H144" s="238" t="s">
        <v>155</v>
      </c>
      <c r="I144" s="239"/>
    </row>
    <row r="145" hidden="1" outlineLevel="2">
      <c r="A145" s="127" t="s">
        <v>158</v>
      </c>
      <c r="B145" s="156"/>
      <c r="C145" s="157"/>
      <c r="D145" s="157"/>
      <c r="E145" s="157"/>
      <c r="F145" s="157"/>
      <c r="G145" s="157"/>
      <c r="H145" s="158"/>
      <c r="I145" s="159"/>
    </row>
    <row r="146" hidden="1" outlineLevel="1">
      <c r="A146" s="12"/>
      <c r="B146" s="13" t="s">
        <v>313</v>
      </c>
      <c r="C146" s="14"/>
      <c r="D146" s="14"/>
      <c r="E146" s="14"/>
      <c r="F146" s="14"/>
      <c r="G146" s="14"/>
      <c r="H146" s="15"/>
      <c r="I146" s="16"/>
    </row>
    <row r="147" hidden="1" outlineLevel="1">
      <c r="A147" s="164"/>
      <c r="B147" s="302" t="s">
        <v>29</v>
      </c>
      <c r="C147" s="303" t="s">
        <v>4</v>
      </c>
      <c r="D147" s="303" t="s">
        <v>19</v>
      </c>
      <c r="E147" s="303" t="s">
        <v>30</v>
      </c>
      <c r="F147" s="303" t="s">
        <v>31</v>
      </c>
      <c r="G147" s="304" t="s">
        <v>32</v>
      </c>
      <c r="H147" s="305" t="s">
        <v>13</v>
      </c>
      <c r="I147" s="242"/>
    </row>
    <row r="148" hidden="1" outlineLevel="1">
      <c r="A148" s="25" t="s">
        <v>36</v>
      </c>
      <c r="B148" s="243" t="s">
        <v>313</v>
      </c>
      <c r="C148" s="244"/>
      <c r="D148" s="244"/>
      <c r="E148" s="244"/>
      <c r="F148" s="244"/>
      <c r="G148" s="244"/>
      <c r="H148" s="245"/>
      <c r="I148" s="172"/>
    </row>
    <row r="149" hidden="1" outlineLevel="1">
      <c r="A149" s="32" t="s">
        <v>45</v>
      </c>
      <c r="B149" s="316"/>
      <c r="C149" s="2"/>
      <c r="D149" s="2"/>
      <c r="E149" s="2"/>
      <c r="F149" s="2"/>
      <c r="G149" s="2"/>
      <c r="H149" s="3"/>
      <c r="I149" s="180"/>
    </row>
    <row r="150" hidden="1" outlineLevel="1">
      <c r="A150" s="38" t="s">
        <v>49</v>
      </c>
      <c r="B150" s="317">
        <v>43.57</v>
      </c>
      <c r="C150" s="318">
        <v>44.25</v>
      </c>
      <c r="D150" s="319">
        <v>46.07</v>
      </c>
      <c r="E150" s="318">
        <v>52.06</v>
      </c>
      <c r="F150" s="318">
        <v>51.54</v>
      </c>
      <c r="G150" s="318">
        <v>50.59</v>
      </c>
      <c r="H150" s="320">
        <v>48.06</v>
      </c>
      <c r="I150" s="321"/>
    </row>
    <row r="151" hidden="1" outlineLevel="1">
      <c r="A151" s="49" t="s">
        <v>53</v>
      </c>
      <c r="B151" s="181">
        <v>37.0</v>
      </c>
      <c r="C151" s="51">
        <v>40.0</v>
      </c>
      <c r="D151" s="51">
        <v>40.0</v>
      </c>
      <c r="E151" s="51">
        <v>39.0</v>
      </c>
      <c r="F151" s="51">
        <v>39.0</v>
      </c>
      <c r="G151" s="51">
        <v>40.0</v>
      </c>
      <c r="H151" s="52">
        <v>40.0</v>
      </c>
      <c r="I151" s="53"/>
    </row>
    <row r="152" hidden="1" outlineLevel="1">
      <c r="A152" s="54" t="s">
        <v>57</v>
      </c>
      <c r="B152" s="252">
        <f t="shared" ref="B152:C152" si="60">B150/B151</f>
        <v>1.177567568</v>
      </c>
      <c r="C152" s="253">
        <f t="shared" si="60"/>
        <v>1.10625</v>
      </c>
      <c r="D152" s="253">
        <f>B149/D151</f>
        <v>0</v>
      </c>
      <c r="E152" s="253">
        <f t="shared" ref="E152:H152" si="61">E150/E151</f>
        <v>1.334871795</v>
      </c>
      <c r="F152" s="253">
        <f t="shared" si="61"/>
        <v>1.321538462</v>
      </c>
      <c r="G152" s="253">
        <f t="shared" si="61"/>
        <v>1.26475</v>
      </c>
      <c r="H152" s="256">
        <f t="shared" si="61"/>
        <v>1.2015</v>
      </c>
      <c r="I152" s="257"/>
    </row>
    <row r="153" hidden="1" outlineLevel="1">
      <c r="A153" s="32" t="s">
        <v>66</v>
      </c>
      <c r="B153" s="34"/>
      <c r="C153" s="2"/>
      <c r="D153" s="2"/>
      <c r="E153" s="2"/>
      <c r="F153" s="2"/>
      <c r="G153" s="2"/>
      <c r="H153" s="36"/>
      <c r="I153" s="174"/>
    </row>
    <row r="154" hidden="1" outlineLevel="1">
      <c r="A154" s="64" t="s">
        <v>67</v>
      </c>
      <c r="B154" s="317">
        <v>40.0</v>
      </c>
      <c r="C154" s="322">
        <v>40.0</v>
      </c>
      <c r="D154" s="318">
        <v>30.47</v>
      </c>
      <c r="E154" s="318">
        <v>39.9</v>
      </c>
      <c r="F154" s="318">
        <v>40.0</v>
      </c>
      <c r="G154" s="318">
        <v>39.57</v>
      </c>
      <c r="H154" s="320">
        <v>34.47</v>
      </c>
      <c r="I154" s="321"/>
    </row>
    <row r="155" hidden="1" outlineLevel="1">
      <c r="A155" s="69" t="s">
        <v>72</v>
      </c>
      <c r="B155" s="186">
        <v>40.0</v>
      </c>
      <c r="C155" s="187">
        <v>40.0</v>
      </c>
      <c r="D155" s="187">
        <v>40.0</v>
      </c>
      <c r="E155" s="187">
        <v>40.0</v>
      </c>
      <c r="F155" s="187">
        <v>40.0</v>
      </c>
      <c r="G155" s="187">
        <v>40.0</v>
      </c>
      <c r="H155" s="188">
        <v>40.0</v>
      </c>
      <c r="I155" s="189"/>
    </row>
    <row r="156" hidden="1" outlineLevel="1">
      <c r="A156" s="54" t="s">
        <v>74</v>
      </c>
      <c r="B156" s="252">
        <f t="shared" ref="B156:H156" si="62">B154/B155</f>
        <v>1</v>
      </c>
      <c r="C156" s="253">
        <f t="shared" si="62"/>
        <v>1</v>
      </c>
      <c r="D156" s="253">
        <f t="shared" si="62"/>
        <v>0.76175</v>
      </c>
      <c r="E156" s="253">
        <f t="shared" si="62"/>
        <v>0.9975</v>
      </c>
      <c r="F156" s="253">
        <f t="shared" si="62"/>
        <v>1</v>
      </c>
      <c r="G156" s="253">
        <f t="shared" si="62"/>
        <v>0.98925</v>
      </c>
      <c r="H156" s="256">
        <f t="shared" si="62"/>
        <v>0.86175</v>
      </c>
      <c r="I156" s="257"/>
    </row>
    <row r="157" hidden="1" outlineLevel="1">
      <c r="A157" s="32" t="s">
        <v>75</v>
      </c>
      <c r="B157" s="34"/>
      <c r="C157" s="2"/>
      <c r="D157" s="2"/>
      <c r="E157" s="2"/>
      <c r="F157" s="2"/>
      <c r="G157" s="2"/>
      <c r="H157" s="36"/>
      <c r="I157" s="174"/>
    </row>
    <row r="158" hidden="1" outlineLevel="1">
      <c r="A158" s="64" t="s">
        <v>76</v>
      </c>
      <c r="B158" s="185" t="s">
        <v>79</v>
      </c>
      <c r="C158" s="78" t="s">
        <v>80</v>
      </c>
      <c r="D158" s="78" t="s">
        <v>80</v>
      </c>
      <c r="E158" s="78" t="s">
        <v>79</v>
      </c>
      <c r="F158" s="78" t="s">
        <v>79</v>
      </c>
      <c r="G158" s="78" t="s">
        <v>79</v>
      </c>
      <c r="H158" s="79" t="s">
        <v>79</v>
      </c>
      <c r="I158" s="80"/>
    </row>
    <row r="159" hidden="1" outlineLevel="1">
      <c r="A159" s="64" t="s">
        <v>81</v>
      </c>
      <c r="B159" s="185" t="s">
        <v>83</v>
      </c>
      <c r="C159" s="78" t="s">
        <v>85</v>
      </c>
      <c r="D159" s="78" t="s">
        <v>83</v>
      </c>
      <c r="E159" s="78" t="s">
        <v>85</v>
      </c>
      <c r="F159" s="78" t="s">
        <v>83</v>
      </c>
      <c r="G159" s="78" t="s">
        <v>85</v>
      </c>
      <c r="H159" s="79" t="s">
        <v>85</v>
      </c>
      <c r="I159" s="80"/>
    </row>
    <row r="160" hidden="1" outlineLevel="1">
      <c r="A160" s="64" t="s">
        <v>86</v>
      </c>
      <c r="B160" s="194">
        <f>IF(B150&lt;B151,B151,B150) *
IF(B158="AM",
    IF(B159="Oricle",4,
    IF(B159="Other Brands",3,
    IF(B159="Oricle Prio",0.6,""))),
 IF(B158="MID",
    IF(B159="Oricle",2.5,
    IF(B159="Other Brands",3,
    IF(B159="Oricle Prio",0.6,""))),
 IF(B158="GY",
    IF(B159="Oricle",0.9,
    IF(B159="Other Brands",0.9,
    IF(B159="Oricle Prio",0.3,""))),"")))-17</f>
        <v>113.71</v>
      </c>
      <c r="C160" s="204">
        <f>IF(C150&lt;C151,C151,C150) *
IF(C158="AM",
    IF(C159="Oricle",4,
    IF(C159="Other Brands",3,
    IF(C159="Oricle Prio",0.6,""))),
 IF(C158="MID",
    IF(C159="Oricle",2.5,
    IF(C159="Other Brands",3,
    IF(C159="Oricle Prio",0.6,""))),
 IF(C158="GY",
    IF(C159="Oricle",0.9,
    IF(C159="Other Brands",0.9,
    IF(C159="Oricle Prio",0.3,""))),"")))</f>
        <v>177</v>
      </c>
      <c r="D160" s="204">
        <f>IF(B149&lt;D151,D151,B149) *
IF(D158="AM",
    IF(D159="Oricle",4,
    IF(D159="Other Brands",3,
    IF(D159="Oricle Prio",0.6,""))),
 IF(D158="MID",
    IF(D159="Oricle",2.5,
    IF(D159="Other Brands",3,
    IF(D159="Oricle Prio",0.6,""))),
 IF(D158="GY",
    IF(D159="Oricle",0.9,
    IF(D159="Other Brands",0.9,
    IF(D159="Oricle Prio",0.3,""))),"")))</f>
        <v>120</v>
      </c>
      <c r="E160" s="204">
        <f>IF(E150&lt;E151,E151,E150) *
IF(E158="AM",
    IF(E159="Oricle",4,
    IF(E159="Other Brands",3,
    IF(E159="Oricle Prio",0.6,""))),
 IF(E158="MID",
    IF(E159="Oricle",2.5,
    IF(E159="Other Brands",3,
    IF(E159="Oricle Prio",0.6,""))),
 IF(E158="GY",
    IF(E159="Oricle",0.9,
    IF(E159="Other Brands",0.9,
    IF(E159="Oricle Prio",0.3,""))),"")))-13</f>
        <v>117.15</v>
      </c>
      <c r="F160" s="204">
        <f t="shared" ref="F160:G160" si="63">IF(F150&lt;F151,F151,F150) *
IF(F158="AM",
    IF(F159="Oricle",4,
    IF(F159="Other Brands",3,
    IF(F159="Oricle Prio",0.6,""))),
 IF(F158="MID",
    IF(F159="Oricle",2.5,
    IF(F159="Other Brands",3,
    IF(F159="Oricle Prio",0.6,""))),
 IF(F158="GY",
    IF(F159="Oricle",0.9,
    IF(F159="Other Brands",0.9,
    IF(F159="Oricle Prio",0.3,""))),"")))</f>
        <v>154.62</v>
      </c>
      <c r="G160" s="204">
        <f t="shared" si="63"/>
        <v>126.475</v>
      </c>
      <c r="H160" s="204">
        <f>IF(H150&lt;H151,H151,H150) *
IF(H158="AM",
    IF(H159="Oricle",4,
    IF(H159="Other Brands",3,
    IF(H159="Oricle Prio",0.6,""))),
 IF(H158="MID",
    IF(H159="Oricle",2,
    IF(H159="Other Brands",3,
    IF(H159="Oricle Prio",0.6,""))),
 IF(H158="GY",
    IF(H159="Oricle",0.9,
    IF(H159="Other Brands",0.9,
    IF(H159="Oricle Prio",0.3,""))),"")))</f>
        <v>96.12</v>
      </c>
      <c r="I160" s="106"/>
    </row>
    <row r="161" hidden="1" outlineLevel="1">
      <c r="A161" s="64" t="s">
        <v>98</v>
      </c>
      <c r="B161" s="185" t="s">
        <v>326</v>
      </c>
      <c r="C161" s="78" t="s">
        <v>327</v>
      </c>
      <c r="D161" s="78" t="s">
        <v>328</v>
      </c>
      <c r="E161" s="78" t="s">
        <v>329</v>
      </c>
      <c r="F161" s="78" t="s">
        <v>255</v>
      </c>
      <c r="G161" s="78" t="s">
        <v>330</v>
      </c>
      <c r="H161" s="79" t="s">
        <v>331</v>
      </c>
      <c r="I161" s="80"/>
    </row>
    <row r="162" hidden="1" outlineLevel="1">
      <c r="A162" s="64" t="s">
        <v>107</v>
      </c>
      <c r="B162" s="185" t="s">
        <v>256</v>
      </c>
      <c r="C162" s="78" t="s">
        <v>327</v>
      </c>
      <c r="D162" s="78" t="s">
        <v>251</v>
      </c>
      <c r="E162" s="78" t="s">
        <v>332</v>
      </c>
      <c r="F162" s="78" t="s">
        <v>108</v>
      </c>
      <c r="G162" s="78" t="s">
        <v>333</v>
      </c>
      <c r="H162" s="79" t="s">
        <v>334</v>
      </c>
      <c r="I162" s="80"/>
    </row>
    <row r="163" hidden="1" outlineLevel="1">
      <c r="A163" s="69" t="s">
        <v>115</v>
      </c>
      <c r="B163" s="108">
        <f t="shared" ref="B163:H163" si="64">IF(B161&gt;0,B162/B161,0)</f>
        <v>0.9752066116</v>
      </c>
      <c r="C163" s="110">
        <f t="shared" si="64"/>
        <v>1</v>
      </c>
      <c r="D163" s="110">
        <f t="shared" si="64"/>
        <v>0.9655172414</v>
      </c>
      <c r="E163" s="110">
        <f t="shared" si="64"/>
        <v>0.968503937</v>
      </c>
      <c r="F163" s="110">
        <f t="shared" si="64"/>
        <v>0.9591836735</v>
      </c>
      <c r="G163" s="110">
        <f t="shared" si="64"/>
        <v>0.9933333333</v>
      </c>
      <c r="H163" s="111">
        <f t="shared" si="64"/>
        <v>0.9803921569</v>
      </c>
      <c r="I163" s="112"/>
    </row>
    <row r="164" hidden="1" outlineLevel="1">
      <c r="A164" s="69" t="s">
        <v>119</v>
      </c>
      <c r="B164" s="108">
        <f t="shared" ref="B164:H164" si="65">IF(B160&gt;0,B162/B160,0)</f>
        <v>1.037727553</v>
      </c>
      <c r="C164" s="110">
        <f t="shared" si="65"/>
        <v>0.6553672316</v>
      </c>
      <c r="D164" s="110">
        <f t="shared" si="65"/>
        <v>1.166666667</v>
      </c>
      <c r="E164" s="110">
        <f t="shared" si="65"/>
        <v>1.04993598</v>
      </c>
      <c r="F164" s="110">
        <f t="shared" si="65"/>
        <v>0.9119130772</v>
      </c>
      <c r="G164" s="110">
        <f t="shared" si="65"/>
        <v>1.178098438</v>
      </c>
      <c r="H164" s="111">
        <f t="shared" si="65"/>
        <v>1.040366209</v>
      </c>
      <c r="I164" s="112"/>
    </row>
    <row r="165" hidden="1" outlineLevel="1">
      <c r="A165" s="116" t="s">
        <v>82</v>
      </c>
      <c r="B165" s="252">
        <f t="shared" ref="B165:H165" si="66">average(B163:B164)</f>
        <v>1.006467082</v>
      </c>
      <c r="C165" s="253">
        <f t="shared" si="66"/>
        <v>0.8276836158</v>
      </c>
      <c r="D165" s="253">
        <f t="shared" si="66"/>
        <v>1.066091954</v>
      </c>
      <c r="E165" s="253">
        <f t="shared" si="66"/>
        <v>1.009219958</v>
      </c>
      <c r="F165" s="253">
        <f t="shared" si="66"/>
        <v>0.9355483753</v>
      </c>
      <c r="G165" s="253">
        <f t="shared" si="66"/>
        <v>1.085715886</v>
      </c>
      <c r="H165" s="256">
        <f t="shared" si="66"/>
        <v>1.010379183</v>
      </c>
      <c r="I165" s="257"/>
    </row>
    <row r="166" hidden="1" outlineLevel="1">
      <c r="A166" s="32" t="s">
        <v>121</v>
      </c>
      <c r="B166" s="34"/>
      <c r="C166" s="2"/>
      <c r="D166" s="2"/>
      <c r="E166" s="2"/>
      <c r="F166" s="2"/>
      <c r="G166" s="2"/>
      <c r="H166" s="36"/>
      <c r="I166" s="174"/>
    </row>
    <row r="167" hidden="1" outlineLevel="1">
      <c r="A167" s="64" t="s">
        <v>122</v>
      </c>
      <c r="B167" s="175">
        <v>9.0</v>
      </c>
      <c r="C167" s="176">
        <v>9.33</v>
      </c>
      <c r="D167" s="176">
        <v>8.47</v>
      </c>
      <c r="E167" s="176">
        <v>9.66</v>
      </c>
      <c r="F167" s="176">
        <v>9.66</v>
      </c>
      <c r="G167" s="176">
        <v>9.33</v>
      </c>
      <c r="H167" s="179">
        <v>10.0</v>
      </c>
      <c r="I167" s="180"/>
    </row>
    <row r="168" hidden="1" outlineLevel="1">
      <c r="A168" s="69" t="s">
        <v>128</v>
      </c>
      <c r="B168" s="119">
        <v>10.0</v>
      </c>
      <c r="C168" s="120">
        <v>10.0</v>
      </c>
      <c r="D168" s="120">
        <v>10.0</v>
      </c>
      <c r="E168" s="120">
        <v>10.0</v>
      </c>
      <c r="F168" s="120">
        <v>10.0</v>
      </c>
      <c r="G168" s="120">
        <v>10.0</v>
      </c>
      <c r="H168" s="121">
        <v>10.0</v>
      </c>
      <c r="I168" s="122"/>
    </row>
    <row r="169" hidden="1" outlineLevel="1">
      <c r="A169" s="54" t="s">
        <v>130</v>
      </c>
      <c r="B169" s="252">
        <f t="shared" ref="B169:H169" si="67">IF(B167=0,0,B167/B168)</f>
        <v>0.9</v>
      </c>
      <c r="C169" s="253">
        <f t="shared" si="67"/>
        <v>0.933</v>
      </c>
      <c r="D169" s="253">
        <f t="shared" si="67"/>
        <v>0.847</v>
      </c>
      <c r="E169" s="253">
        <f t="shared" si="67"/>
        <v>0.966</v>
      </c>
      <c r="F169" s="253">
        <f t="shared" si="67"/>
        <v>0.966</v>
      </c>
      <c r="G169" s="253">
        <f t="shared" si="67"/>
        <v>0.933</v>
      </c>
      <c r="H169" s="256">
        <f t="shared" si="67"/>
        <v>1</v>
      </c>
      <c r="I169" s="257"/>
    </row>
    <row r="170" hidden="1" outlineLevel="1">
      <c r="A170" s="32" t="s">
        <v>131</v>
      </c>
      <c r="B170" s="34"/>
      <c r="C170" s="2"/>
      <c r="D170" s="2"/>
      <c r="E170" s="2"/>
      <c r="F170" s="2"/>
      <c r="G170" s="2"/>
      <c r="H170" s="36"/>
      <c r="I170" s="174"/>
    </row>
    <row r="171" hidden="1" outlineLevel="1">
      <c r="A171" s="64" t="s">
        <v>132</v>
      </c>
      <c r="B171" s="312"/>
      <c r="C171" s="313"/>
      <c r="D171" s="332">
        <v>1.0</v>
      </c>
      <c r="E171" s="313"/>
      <c r="F171" s="313"/>
      <c r="G171" s="313"/>
      <c r="H171" s="314"/>
      <c r="I171" s="315"/>
    </row>
    <row r="172" hidden="1" outlineLevel="1">
      <c r="A172" s="127" t="s">
        <v>134</v>
      </c>
      <c r="B172" s="34"/>
      <c r="C172" s="2"/>
      <c r="D172" s="2"/>
      <c r="E172" s="2"/>
      <c r="F172" s="2"/>
      <c r="G172" s="2"/>
      <c r="H172" s="36"/>
      <c r="I172" s="174"/>
    </row>
    <row r="173" hidden="1" outlineLevel="1">
      <c r="A173" s="69" t="s">
        <v>136</v>
      </c>
      <c r="B173" s="129">
        <f t="shared" ref="B173:H173" si="68">B152*25</f>
        <v>29.43918919</v>
      </c>
      <c r="C173" s="130">
        <f t="shared" si="68"/>
        <v>27.65625</v>
      </c>
      <c r="D173" s="130">
        <f t="shared" si="68"/>
        <v>0</v>
      </c>
      <c r="E173" s="130">
        <f t="shared" si="68"/>
        <v>33.37179487</v>
      </c>
      <c r="F173" s="130">
        <f t="shared" si="68"/>
        <v>33.03846154</v>
      </c>
      <c r="G173" s="130">
        <f t="shared" si="68"/>
        <v>31.61875</v>
      </c>
      <c r="H173" s="132">
        <f t="shared" si="68"/>
        <v>30.0375</v>
      </c>
      <c r="I173" s="133"/>
    </row>
    <row r="174" hidden="1" outlineLevel="1">
      <c r="A174" s="69" t="s">
        <v>144</v>
      </c>
      <c r="B174" s="129">
        <f t="shared" ref="B174:H174" si="69">B156*35</f>
        <v>35</v>
      </c>
      <c r="C174" s="130">
        <f t="shared" si="69"/>
        <v>35</v>
      </c>
      <c r="D174" s="130">
        <f t="shared" si="69"/>
        <v>26.66125</v>
      </c>
      <c r="E174" s="130">
        <f t="shared" si="69"/>
        <v>34.9125</v>
      </c>
      <c r="F174" s="130">
        <f t="shared" si="69"/>
        <v>35</v>
      </c>
      <c r="G174" s="130">
        <f t="shared" si="69"/>
        <v>34.62375</v>
      </c>
      <c r="H174" s="132">
        <f t="shared" si="69"/>
        <v>30.16125</v>
      </c>
      <c r="I174" s="133"/>
    </row>
    <row r="175" hidden="1" outlineLevel="1">
      <c r="A175" s="69" t="s">
        <v>146</v>
      </c>
      <c r="B175" s="129">
        <f t="shared" ref="B175:H175" si="70">IF(AND(B156&lt;85%, B165&gt;100%), 25, B165*25)</f>
        <v>25.16167705</v>
      </c>
      <c r="C175" s="130">
        <f t="shared" si="70"/>
        <v>20.6920904</v>
      </c>
      <c r="D175" s="130">
        <f t="shared" si="70"/>
        <v>25</v>
      </c>
      <c r="E175" s="130">
        <f t="shared" si="70"/>
        <v>25.23049896</v>
      </c>
      <c r="F175" s="130">
        <f t="shared" si="70"/>
        <v>23.38870938</v>
      </c>
      <c r="G175" s="130">
        <f t="shared" si="70"/>
        <v>27.14289715</v>
      </c>
      <c r="H175" s="132">
        <f t="shared" si="70"/>
        <v>25.25947957</v>
      </c>
      <c r="I175" s="133"/>
    </row>
    <row r="176" hidden="1" outlineLevel="1">
      <c r="A176" s="69" t="s">
        <v>148</v>
      </c>
      <c r="B176" s="129">
        <f t="shared" ref="B176:H176" si="71">B169*15</f>
        <v>13.5</v>
      </c>
      <c r="C176" s="130">
        <f t="shared" si="71"/>
        <v>13.995</v>
      </c>
      <c r="D176" s="130">
        <f t="shared" si="71"/>
        <v>12.705</v>
      </c>
      <c r="E176" s="130">
        <f t="shared" si="71"/>
        <v>14.49</v>
      </c>
      <c r="F176" s="130">
        <f t="shared" si="71"/>
        <v>14.49</v>
      </c>
      <c r="G176" s="130">
        <f t="shared" si="71"/>
        <v>13.995</v>
      </c>
      <c r="H176" s="132">
        <f t="shared" si="71"/>
        <v>15</v>
      </c>
      <c r="I176" s="133"/>
    </row>
    <row r="177" hidden="1" outlineLevel="1">
      <c r="A177" s="69" t="s">
        <v>149</v>
      </c>
      <c r="B177" s="129">
        <f t="shared" ref="B177:H177" si="72">B171*-10</f>
        <v>0</v>
      </c>
      <c r="C177" s="130">
        <f t="shared" si="72"/>
        <v>0</v>
      </c>
      <c r="D177" s="130">
        <f t="shared" si="72"/>
        <v>-10</v>
      </c>
      <c r="E177" s="130">
        <f t="shared" si="72"/>
        <v>0</v>
      </c>
      <c r="F177" s="130">
        <f t="shared" si="72"/>
        <v>0</v>
      </c>
      <c r="G177" s="130">
        <f t="shared" si="72"/>
        <v>0</v>
      </c>
      <c r="H177" s="132">
        <f t="shared" si="72"/>
        <v>0</v>
      </c>
      <c r="I177" s="133"/>
    </row>
    <row r="178" hidden="1" outlineLevel="1">
      <c r="A178" s="142" t="s">
        <v>150</v>
      </c>
      <c r="B178" s="129">
        <f t="shared" ref="B178:H178" si="73">B173+B174+B175+B176+B177</f>
        <v>103.1008662</v>
      </c>
      <c r="C178" s="130">
        <f t="shared" si="73"/>
        <v>97.3433404</v>
      </c>
      <c r="D178" s="130">
        <f t="shared" si="73"/>
        <v>54.36625</v>
      </c>
      <c r="E178" s="130">
        <f t="shared" si="73"/>
        <v>108.0047938</v>
      </c>
      <c r="F178" s="130">
        <f t="shared" si="73"/>
        <v>105.9171709</v>
      </c>
      <c r="G178" s="130">
        <f t="shared" si="73"/>
        <v>107.3803971</v>
      </c>
      <c r="H178" s="132">
        <f t="shared" si="73"/>
        <v>100.4582296</v>
      </c>
      <c r="I178" s="133"/>
    </row>
    <row r="179" hidden="1" outlineLevel="1">
      <c r="A179" s="54" t="s">
        <v>152</v>
      </c>
      <c r="B179" s="58">
        <f t="shared" ref="B179:H179" si="74">B178/100</f>
        <v>1.031008662</v>
      </c>
      <c r="C179" s="61">
        <f t="shared" si="74"/>
        <v>0.973433404</v>
      </c>
      <c r="D179" s="333">
        <f t="shared" si="74"/>
        <v>0.5436625</v>
      </c>
      <c r="E179" s="61">
        <f t="shared" si="74"/>
        <v>1.080047938</v>
      </c>
      <c r="F179" s="61">
        <f t="shared" si="74"/>
        <v>1.059171709</v>
      </c>
      <c r="G179" s="61">
        <f t="shared" si="74"/>
        <v>1.073803971</v>
      </c>
      <c r="H179" s="62">
        <f t="shared" si="74"/>
        <v>1.004582296</v>
      </c>
      <c r="I179" s="63"/>
    </row>
    <row r="180" hidden="1" outlineLevel="1">
      <c r="A180" s="127" t="s">
        <v>154</v>
      </c>
      <c r="B180" s="334" t="s">
        <v>155</v>
      </c>
      <c r="C180" s="334" t="s">
        <v>155</v>
      </c>
      <c r="D180" s="10" t="s">
        <v>157</v>
      </c>
      <c r="E180" s="10" t="s">
        <v>156</v>
      </c>
      <c r="F180" s="10" t="s">
        <v>155</v>
      </c>
      <c r="G180" s="10" t="s">
        <v>155</v>
      </c>
      <c r="H180" s="10" t="s">
        <v>155</v>
      </c>
      <c r="I180" s="336"/>
    </row>
    <row r="181" hidden="1" outlineLevel="1">
      <c r="A181" s="127" t="s">
        <v>158</v>
      </c>
      <c r="B181" s="156"/>
      <c r="C181" s="157"/>
      <c r="D181" s="337" t="s">
        <v>346</v>
      </c>
      <c r="E181" s="157"/>
      <c r="F181" s="157"/>
      <c r="G181" s="157"/>
      <c r="H181" s="338"/>
      <c r="I181" s="154"/>
    </row>
    <row r="182" hidden="1" collapsed="1">
      <c r="A182" s="340">
        <v>46082.0</v>
      </c>
      <c r="B182" s="161"/>
      <c r="C182" s="27"/>
      <c r="D182" s="27"/>
      <c r="E182" s="27"/>
      <c r="F182" s="27"/>
      <c r="G182" s="27"/>
      <c r="H182" s="27"/>
      <c r="I182" s="27"/>
    </row>
    <row r="183" hidden="1" outlineLevel="1" collapsed="1">
      <c r="A183" s="12"/>
      <c r="B183" s="13" t="s">
        <v>349</v>
      </c>
      <c r="C183" s="14"/>
      <c r="D183" s="14"/>
      <c r="E183" s="14"/>
      <c r="F183" s="14"/>
      <c r="G183" s="14"/>
      <c r="H183" s="14"/>
      <c r="I183" s="15"/>
    </row>
    <row r="184" hidden="1" outlineLevel="2">
      <c r="A184" s="164"/>
      <c r="B184" s="302" t="s">
        <v>29</v>
      </c>
      <c r="C184" s="303" t="s">
        <v>4</v>
      </c>
      <c r="D184" s="303" t="s">
        <v>19</v>
      </c>
      <c r="E184" s="303" t="s">
        <v>30</v>
      </c>
      <c r="F184" s="303" t="s">
        <v>31</v>
      </c>
      <c r="G184" s="304" t="s">
        <v>32</v>
      </c>
      <c r="H184" s="305" t="s">
        <v>13</v>
      </c>
      <c r="I184" s="305" t="s">
        <v>350</v>
      </c>
    </row>
    <row r="185" hidden="1" outlineLevel="2">
      <c r="A185" s="25" t="s">
        <v>36</v>
      </c>
      <c r="B185" s="243" t="s">
        <v>351</v>
      </c>
      <c r="C185" s="244"/>
      <c r="D185" s="244"/>
      <c r="E185" s="244"/>
      <c r="F185" s="244"/>
      <c r="G185" s="244"/>
      <c r="H185" s="244"/>
      <c r="I185" s="245"/>
    </row>
    <row r="186" hidden="1" outlineLevel="2">
      <c r="A186" s="32" t="s">
        <v>45</v>
      </c>
      <c r="B186" s="34"/>
      <c r="C186" s="2"/>
      <c r="D186" s="2"/>
      <c r="E186" s="2"/>
      <c r="F186" s="2"/>
      <c r="G186" s="2"/>
      <c r="H186" s="2"/>
      <c r="I186" s="36"/>
    </row>
    <row r="187" hidden="1" outlineLevel="2">
      <c r="A187" s="38" t="s">
        <v>49</v>
      </c>
      <c r="B187" s="175">
        <f>35.03</f>
        <v>35.03</v>
      </c>
      <c r="C187" s="176">
        <f>54.55-2</f>
        <v>52.55</v>
      </c>
      <c r="D187" s="343">
        <v>43.18</v>
      </c>
      <c r="E187" s="176">
        <v>51.15</v>
      </c>
      <c r="F187" s="176">
        <f>49.32</f>
        <v>49.32</v>
      </c>
      <c r="G187" s="176">
        <f>55.05-2</f>
        <v>53.05</v>
      </c>
      <c r="H187" s="176">
        <v>46.09</v>
      </c>
      <c r="I187" s="345">
        <f>27.2+8</f>
        <v>35.2</v>
      </c>
    </row>
    <row r="188" hidden="1" outlineLevel="2">
      <c r="A188" s="49" t="s">
        <v>53</v>
      </c>
      <c r="B188" s="181">
        <v>37.0</v>
      </c>
      <c r="C188" s="51">
        <v>40.0</v>
      </c>
      <c r="D188" s="51">
        <v>40.0</v>
      </c>
      <c r="E188" s="51">
        <v>40.0</v>
      </c>
      <c r="F188" s="250">
        <v>38.0</v>
      </c>
      <c r="G188" s="51">
        <v>40.0</v>
      </c>
      <c r="H188" s="52">
        <v>40.0</v>
      </c>
      <c r="I188" s="346">
        <v>40.0</v>
      </c>
    </row>
    <row r="189" hidden="1" outlineLevel="2">
      <c r="A189" s="54" t="s">
        <v>57</v>
      </c>
      <c r="B189" s="252">
        <f t="shared" ref="B189:I189" si="75">B187/B188</f>
        <v>0.9467567568</v>
      </c>
      <c r="C189" s="253">
        <f t="shared" si="75"/>
        <v>1.31375</v>
      </c>
      <c r="D189" s="253">
        <f t="shared" si="75"/>
        <v>1.0795</v>
      </c>
      <c r="E189" s="253">
        <f t="shared" si="75"/>
        <v>1.27875</v>
      </c>
      <c r="F189" s="253">
        <f t="shared" si="75"/>
        <v>1.297894737</v>
      </c>
      <c r="G189" s="253">
        <f t="shared" si="75"/>
        <v>1.32625</v>
      </c>
      <c r="H189" s="253">
        <f t="shared" si="75"/>
        <v>1.15225</v>
      </c>
      <c r="I189" s="256">
        <f t="shared" si="75"/>
        <v>0.88</v>
      </c>
    </row>
    <row r="190" hidden="1" outlineLevel="2">
      <c r="A190" s="32" t="s">
        <v>66</v>
      </c>
      <c r="B190" s="34"/>
      <c r="C190" s="2"/>
      <c r="D190" s="2"/>
      <c r="E190" s="2"/>
      <c r="F190" s="2"/>
      <c r="G190" s="2"/>
      <c r="H190" s="2"/>
      <c r="I190" s="36"/>
    </row>
    <row r="191" hidden="1" outlineLevel="2">
      <c r="A191" s="64" t="s">
        <v>67</v>
      </c>
      <c r="B191" s="347">
        <v>40.0</v>
      </c>
      <c r="C191" s="348">
        <v>22.0</v>
      </c>
      <c r="D191" s="348">
        <v>18.53</v>
      </c>
      <c r="E191" s="348">
        <v>39.8</v>
      </c>
      <c r="F191" s="348">
        <v>39.8</v>
      </c>
      <c r="G191" s="348">
        <v>39.57</v>
      </c>
      <c r="H191" s="348">
        <v>32.85</v>
      </c>
      <c r="I191" s="320"/>
    </row>
    <row r="192" hidden="1" outlineLevel="2">
      <c r="A192" s="69" t="s">
        <v>72</v>
      </c>
      <c r="B192" s="186">
        <v>40.0</v>
      </c>
      <c r="C192" s="187">
        <v>40.0</v>
      </c>
      <c r="D192" s="187">
        <v>40.0</v>
      </c>
      <c r="E192" s="187">
        <v>40.0</v>
      </c>
      <c r="F192" s="187">
        <v>40.0</v>
      </c>
      <c r="G192" s="187">
        <v>40.0</v>
      </c>
      <c r="H192" s="187">
        <v>40.0</v>
      </c>
      <c r="I192" s="188">
        <v>40.0</v>
      </c>
    </row>
    <row r="193" hidden="1" outlineLevel="2">
      <c r="A193" s="54" t="s">
        <v>74</v>
      </c>
      <c r="B193" s="252">
        <f t="shared" ref="B193:I193" si="76">B191/B192</f>
        <v>1</v>
      </c>
      <c r="C193" s="253">
        <f t="shared" si="76"/>
        <v>0.55</v>
      </c>
      <c r="D193" s="253">
        <f t="shared" si="76"/>
        <v>0.46325</v>
      </c>
      <c r="E193" s="253">
        <f t="shared" si="76"/>
        <v>0.995</v>
      </c>
      <c r="F193" s="253">
        <f t="shared" si="76"/>
        <v>0.995</v>
      </c>
      <c r="G193" s="253">
        <f t="shared" si="76"/>
        <v>0.98925</v>
      </c>
      <c r="H193" s="253">
        <f t="shared" si="76"/>
        <v>0.82125</v>
      </c>
      <c r="I193" s="256">
        <f t="shared" si="76"/>
        <v>0</v>
      </c>
    </row>
    <row r="194" hidden="1" outlineLevel="2">
      <c r="A194" s="32" t="s">
        <v>75</v>
      </c>
      <c r="B194" s="34"/>
      <c r="C194" s="2"/>
      <c r="D194" s="2"/>
      <c r="E194" s="2"/>
      <c r="F194" s="2"/>
      <c r="G194" s="2"/>
      <c r="H194" s="2"/>
      <c r="I194" s="36"/>
    </row>
    <row r="195" hidden="1" outlineLevel="2">
      <c r="A195" s="64" t="s">
        <v>76</v>
      </c>
      <c r="B195" s="185" t="s">
        <v>79</v>
      </c>
      <c r="C195" s="78" t="s">
        <v>80</v>
      </c>
      <c r="D195" s="78" t="s">
        <v>80</v>
      </c>
      <c r="E195" s="78" t="s">
        <v>79</v>
      </c>
      <c r="F195" s="78" t="s">
        <v>79</v>
      </c>
      <c r="G195" s="77" t="s">
        <v>80</v>
      </c>
      <c r="H195" s="78" t="s">
        <v>79</v>
      </c>
      <c r="I195" s="79" t="s">
        <v>79</v>
      </c>
    </row>
    <row r="196" hidden="1" outlineLevel="2">
      <c r="A196" s="64" t="s">
        <v>81</v>
      </c>
      <c r="B196" s="185" t="s">
        <v>83</v>
      </c>
      <c r="C196" s="78" t="s">
        <v>85</v>
      </c>
      <c r="D196" s="78" t="s">
        <v>83</v>
      </c>
      <c r="E196" s="78" t="s">
        <v>85</v>
      </c>
      <c r="F196" s="78" t="s">
        <v>83</v>
      </c>
      <c r="G196" s="78" t="s">
        <v>85</v>
      </c>
      <c r="H196" s="78" t="s">
        <v>85</v>
      </c>
      <c r="I196" s="79" t="s">
        <v>85</v>
      </c>
    </row>
    <row r="197" hidden="1" outlineLevel="2">
      <c r="A197" s="64" t="s">
        <v>86</v>
      </c>
      <c r="B197" s="194">
        <f>IF(B187&lt;B188,B188,B187) *
IF(B195="AM",
    IF(B196="Oricle",3.5,
    IF(B196="Other Brands",4,
    IF(B196="Oricle Prio",0.6,""))),
 IF(B195="MID",
    IF(B196="Oricle",2.5,
    IF(B196="Other Brands",3,
    IF(B196="Oricle Prio",0.6,""))),
 IF(B195="GY",
    IF(B196="Oricle",1,
    IF(B196="Other Brands",1,
    IF(B196="Oricle Prio",0.3,""))),"")))-10</f>
        <v>101</v>
      </c>
      <c r="C197" s="204">
        <f t="shared" ref="C197:D197" si="77">IF(C187&lt;C188,C188,C187) *
IF(C195="AM",
    IF(C196="Oricle",3.5,
    IF(C196="Other Brands",4,
    IF(C196="Oricle Prio",0.6,""))),
 IF(C195="MID",
    IF(C196="Oricle",2.5,
    IF(C196="Other Brands",3,
    IF(C196="Oricle Prio",0.6,""))),
 IF(C195="GY",
    IF(C196="Oricle",1,
    IF(C196="Other Brands",1,
    IF(C196="Oricle Prio",0.3,""))),"")))</f>
        <v>183.925</v>
      </c>
      <c r="D197" s="204">
        <f t="shared" si="77"/>
        <v>172.72</v>
      </c>
      <c r="E197" s="204">
        <f>IF(E187&lt;E188,E188,E187) *
IF(E195="AM",
    IF(E196="Oricle",3.5,
    IF(E196="Other Brands",4,
    IF(E196="Oricle Prio",0.6,""))),
 IF(E195="MID",
    IF(E196="Oricle",2.5,
    IF(E196="Other Brands",3,
    IF(E196="Oricle Prio",0.6,""))),
 IF(E195="GY",
    IF(E196="Oricle",1,
    IF(E196="Other Brands",1,
    IF(E196="Oricle Prio",0.3,""))),"")))-12</f>
        <v>115.875</v>
      </c>
      <c r="F197" s="204">
        <f t="shared" ref="F197:H197" si="78">IF(F187&lt;F188,F188,F187) *
IF(F195="AM",
    IF(F196="Oricle",3.5,
    IF(F196="Other Brands",4,
    IF(F196="Oricle Prio",0.6,""))),
 IF(F195="MID",
    IF(F196="Oricle",2.5,
    IF(F196="Other Brands",3,
    IF(F196="Oricle Prio",0.6,""))),
 IF(F195="GY",
    IF(F196="Oricle",1,
    IF(F196="Other Brands",1,
    IF(F196="Oricle Prio",0.3,""))),"")))</f>
        <v>147.96</v>
      </c>
      <c r="G197" s="204">
        <f t="shared" si="78"/>
        <v>185.675</v>
      </c>
      <c r="H197" s="204">
        <f t="shared" si="78"/>
        <v>115.225</v>
      </c>
      <c r="I197" s="104">
        <f>IF(I187&lt;I188,I188,I187) *
IF(I195="AM",
    IF(I196="Oricle",4,
    IF(I196="Other Brands",3,
    IF(I196="Oricle Prio",0.6,""))),
 IF(I195="MID",
    IF(I196="Oricle",2.5,
    IF(I196="Other Brands",3,
    IF(I196="Oricle Prio",0.6,""))),
 IF(I195="GY",
    IF(I196="Oricle",0.9,
    IF(I196="Other Brands",0.9,
    IF(I196="Oricle Prio",0.3,""))),"")))</f>
        <v>100</v>
      </c>
    </row>
    <row r="198" hidden="1" outlineLevel="2">
      <c r="A198" s="64" t="s">
        <v>98</v>
      </c>
      <c r="B198" s="266" t="s">
        <v>327</v>
      </c>
      <c r="C198" s="77" t="s">
        <v>206</v>
      </c>
      <c r="D198" s="77" t="s">
        <v>370</v>
      </c>
      <c r="E198" s="77" t="s">
        <v>256</v>
      </c>
      <c r="F198" s="77" t="s">
        <v>257</v>
      </c>
      <c r="G198" s="77" t="s">
        <v>208</v>
      </c>
      <c r="H198" s="77" t="s">
        <v>331</v>
      </c>
      <c r="I198" s="258" t="s">
        <v>371</v>
      </c>
    </row>
    <row r="199" hidden="1" outlineLevel="2">
      <c r="A199" s="64" t="s">
        <v>107</v>
      </c>
      <c r="B199" s="266" t="s">
        <v>372</v>
      </c>
      <c r="C199" s="77" t="s">
        <v>373</v>
      </c>
      <c r="D199" s="77" t="s">
        <v>113</v>
      </c>
      <c r="E199" s="77" t="s">
        <v>374</v>
      </c>
      <c r="F199" s="77" t="s">
        <v>201</v>
      </c>
      <c r="G199" s="77" t="s">
        <v>375</v>
      </c>
      <c r="H199" s="77" t="s">
        <v>376</v>
      </c>
      <c r="I199" s="258" t="s">
        <v>371</v>
      </c>
    </row>
    <row r="200" hidden="1" outlineLevel="2">
      <c r="A200" s="69" t="s">
        <v>115</v>
      </c>
      <c r="B200" s="108">
        <f t="shared" ref="B200:I200" si="79">IF(B198&gt;0,B199/B198,0)</f>
        <v>0.9568965517</v>
      </c>
      <c r="C200" s="110">
        <f t="shared" si="79"/>
        <v>0.987012987</v>
      </c>
      <c r="D200" s="110">
        <f t="shared" si="79"/>
        <v>1.005952381</v>
      </c>
      <c r="E200" s="110">
        <f t="shared" si="79"/>
        <v>0.9491525424</v>
      </c>
      <c r="F200" s="110">
        <f t="shared" si="79"/>
        <v>0.9627329193</v>
      </c>
      <c r="G200" s="110">
        <f t="shared" si="79"/>
        <v>0.9944444444</v>
      </c>
      <c r="H200" s="110">
        <f t="shared" si="79"/>
        <v>0.9901960784</v>
      </c>
      <c r="I200" s="111">
        <f t="shared" si="79"/>
        <v>1</v>
      </c>
    </row>
    <row r="201" hidden="1" outlineLevel="2">
      <c r="A201" s="69" t="s">
        <v>119</v>
      </c>
      <c r="B201" s="108">
        <f t="shared" ref="B201:I201" si="80">IF(B197&gt;0,B199/B197,0)</f>
        <v>1.099009901</v>
      </c>
      <c r="C201" s="110">
        <f t="shared" si="80"/>
        <v>0.8264238141</v>
      </c>
      <c r="D201" s="110">
        <f t="shared" si="80"/>
        <v>0.978462251</v>
      </c>
      <c r="E201" s="110">
        <f t="shared" si="80"/>
        <v>0.9665587918</v>
      </c>
      <c r="F201" s="110">
        <f t="shared" si="80"/>
        <v>1.047580427</v>
      </c>
      <c r="G201" s="110">
        <f t="shared" si="80"/>
        <v>0.9640500875</v>
      </c>
      <c r="H201" s="110">
        <f t="shared" si="80"/>
        <v>0.8765458885</v>
      </c>
      <c r="I201" s="111">
        <f t="shared" si="80"/>
        <v>0.15</v>
      </c>
    </row>
    <row r="202" hidden="1" outlineLevel="2">
      <c r="A202" s="116" t="s">
        <v>82</v>
      </c>
      <c r="B202" s="252">
        <f t="shared" ref="B202:I202" si="81">average(B200:B201)</f>
        <v>1.027953226</v>
      </c>
      <c r="C202" s="253">
        <f t="shared" si="81"/>
        <v>0.9067184005</v>
      </c>
      <c r="D202" s="253">
        <f t="shared" si="81"/>
        <v>0.992207316</v>
      </c>
      <c r="E202" s="253">
        <f t="shared" si="81"/>
        <v>0.9578556671</v>
      </c>
      <c r="F202" s="253">
        <f t="shared" si="81"/>
        <v>1.005156673</v>
      </c>
      <c r="G202" s="253">
        <f t="shared" si="81"/>
        <v>0.979247266</v>
      </c>
      <c r="H202" s="253">
        <f t="shared" si="81"/>
        <v>0.9333709835</v>
      </c>
      <c r="I202" s="256">
        <f t="shared" si="81"/>
        <v>0.575</v>
      </c>
    </row>
    <row r="203" hidden="1" outlineLevel="2">
      <c r="A203" s="32" t="s">
        <v>121</v>
      </c>
      <c r="B203" s="316"/>
      <c r="C203" s="2"/>
      <c r="D203" s="2"/>
      <c r="E203" s="2"/>
      <c r="F203" s="2"/>
      <c r="G203" s="2"/>
      <c r="H203" s="2"/>
      <c r="I203" s="3"/>
    </row>
    <row r="204" hidden="1" outlineLevel="2">
      <c r="A204" s="64" t="s">
        <v>122</v>
      </c>
      <c r="B204" s="246">
        <v>9.66</v>
      </c>
      <c r="C204" s="247">
        <v>10.0</v>
      </c>
      <c r="D204" s="247">
        <v>8.04</v>
      </c>
      <c r="E204" s="247">
        <v>8.66</v>
      </c>
      <c r="F204" s="310">
        <v>9.66</v>
      </c>
      <c r="G204" s="247">
        <v>10.0</v>
      </c>
      <c r="H204" s="247">
        <v>8.66</v>
      </c>
      <c r="I204" s="248">
        <v>9.82</v>
      </c>
    </row>
    <row r="205" hidden="1" outlineLevel="2">
      <c r="A205" s="69" t="s">
        <v>128</v>
      </c>
      <c r="B205" s="119">
        <v>10.0</v>
      </c>
      <c r="C205" s="120">
        <v>10.0</v>
      </c>
      <c r="D205" s="120">
        <v>10.0</v>
      </c>
      <c r="E205" s="120">
        <v>10.0</v>
      </c>
      <c r="F205" s="120">
        <v>10.0</v>
      </c>
      <c r="G205" s="120">
        <v>10.0</v>
      </c>
      <c r="H205" s="120">
        <v>10.0</v>
      </c>
      <c r="I205" s="121">
        <v>10.0</v>
      </c>
    </row>
    <row r="206" hidden="1" outlineLevel="2">
      <c r="A206" s="54" t="s">
        <v>130</v>
      </c>
      <c r="B206" s="252">
        <f t="shared" ref="B206:I206" si="82">IF(B204=0,0,B204/B205)</f>
        <v>0.966</v>
      </c>
      <c r="C206" s="253">
        <f t="shared" si="82"/>
        <v>1</v>
      </c>
      <c r="D206" s="253">
        <f t="shared" si="82"/>
        <v>0.804</v>
      </c>
      <c r="E206" s="253">
        <f t="shared" si="82"/>
        <v>0.866</v>
      </c>
      <c r="F206" s="253">
        <f t="shared" si="82"/>
        <v>0.966</v>
      </c>
      <c r="G206" s="253">
        <f t="shared" si="82"/>
        <v>1</v>
      </c>
      <c r="H206" s="253">
        <f t="shared" si="82"/>
        <v>0.866</v>
      </c>
      <c r="I206" s="256">
        <f t="shared" si="82"/>
        <v>0.982</v>
      </c>
    </row>
    <row r="207" hidden="1" outlineLevel="2">
      <c r="A207" s="32" t="s">
        <v>131</v>
      </c>
      <c r="B207" s="34"/>
      <c r="C207" s="2"/>
      <c r="D207" s="2"/>
      <c r="E207" s="2"/>
      <c r="F207" s="2"/>
      <c r="G207" s="2"/>
      <c r="H207" s="2"/>
      <c r="I207" s="36"/>
    </row>
    <row r="208" hidden="1" outlineLevel="2">
      <c r="A208" s="64" t="s">
        <v>132</v>
      </c>
      <c r="B208" s="312"/>
      <c r="C208" s="313"/>
      <c r="D208" s="332"/>
      <c r="E208" s="313"/>
      <c r="F208" s="313"/>
      <c r="G208" s="313"/>
      <c r="H208" s="313"/>
      <c r="I208" s="314"/>
    </row>
    <row r="209" hidden="1" outlineLevel="2">
      <c r="A209" s="127" t="s">
        <v>134</v>
      </c>
      <c r="B209" s="34"/>
      <c r="C209" s="2"/>
      <c r="D209" s="2"/>
      <c r="E209" s="2"/>
      <c r="F209" s="2"/>
      <c r="G209" s="2"/>
      <c r="H209" s="2"/>
      <c r="I209" s="36"/>
    </row>
    <row r="210" hidden="1" outlineLevel="2">
      <c r="A210" s="69" t="s">
        <v>136</v>
      </c>
      <c r="B210" s="129">
        <f t="shared" ref="B210:I210" si="83">B189*25</f>
        <v>23.66891892</v>
      </c>
      <c r="C210" s="130">
        <f t="shared" si="83"/>
        <v>32.84375</v>
      </c>
      <c r="D210" s="130">
        <f t="shared" si="83"/>
        <v>26.9875</v>
      </c>
      <c r="E210" s="130">
        <f t="shared" si="83"/>
        <v>31.96875</v>
      </c>
      <c r="F210" s="130">
        <f t="shared" si="83"/>
        <v>32.44736842</v>
      </c>
      <c r="G210" s="130">
        <f t="shared" si="83"/>
        <v>33.15625</v>
      </c>
      <c r="H210" s="130">
        <f t="shared" si="83"/>
        <v>28.80625</v>
      </c>
      <c r="I210" s="132">
        <f t="shared" si="83"/>
        <v>22</v>
      </c>
    </row>
    <row r="211" hidden="1" outlineLevel="2">
      <c r="A211" s="69" t="s">
        <v>144</v>
      </c>
      <c r="B211" s="129">
        <f t="shared" ref="B211:I211" si="84">B193*35</f>
        <v>35</v>
      </c>
      <c r="C211" s="130">
        <f t="shared" si="84"/>
        <v>19.25</v>
      </c>
      <c r="D211" s="130">
        <f t="shared" si="84"/>
        <v>16.21375</v>
      </c>
      <c r="E211" s="130">
        <f t="shared" si="84"/>
        <v>34.825</v>
      </c>
      <c r="F211" s="130">
        <f t="shared" si="84"/>
        <v>34.825</v>
      </c>
      <c r="G211" s="130">
        <f t="shared" si="84"/>
        <v>34.62375</v>
      </c>
      <c r="H211" s="130">
        <f t="shared" si="84"/>
        <v>28.74375</v>
      </c>
      <c r="I211" s="132">
        <f t="shared" si="84"/>
        <v>0</v>
      </c>
    </row>
    <row r="212" hidden="1" outlineLevel="2">
      <c r="A212" s="69" t="s">
        <v>146</v>
      </c>
      <c r="B212" s="129">
        <f t="shared" ref="B212:I212" si="85">IF(AND(B193&lt;85%, B202&gt;100%), 25, B202*25)</f>
        <v>25.69883066</v>
      </c>
      <c r="C212" s="130">
        <f t="shared" si="85"/>
        <v>22.66796001</v>
      </c>
      <c r="D212" s="130">
        <f t="shared" si="85"/>
        <v>24.8051829</v>
      </c>
      <c r="E212" s="130">
        <f t="shared" si="85"/>
        <v>23.94639168</v>
      </c>
      <c r="F212" s="130">
        <f t="shared" si="85"/>
        <v>25.12891683</v>
      </c>
      <c r="G212" s="130">
        <f t="shared" si="85"/>
        <v>24.48118165</v>
      </c>
      <c r="H212" s="130">
        <f t="shared" si="85"/>
        <v>23.33427459</v>
      </c>
      <c r="I212" s="132">
        <f t="shared" si="85"/>
        <v>14.375</v>
      </c>
    </row>
    <row r="213" hidden="1" outlineLevel="2">
      <c r="A213" s="69" t="s">
        <v>148</v>
      </c>
      <c r="B213" s="129">
        <f t="shared" ref="B213:I213" si="86">B206*15</f>
        <v>14.49</v>
      </c>
      <c r="C213" s="130">
        <f t="shared" si="86"/>
        <v>15</v>
      </c>
      <c r="D213" s="130">
        <f t="shared" si="86"/>
        <v>12.06</v>
      </c>
      <c r="E213" s="130">
        <f t="shared" si="86"/>
        <v>12.99</v>
      </c>
      <c r="F213" s="130">
        <f t="shared" si="86"/>
        <v>14.49</v>
      </c>
      <c r="G213" s="130">
        <f t="shared" si="86"/>
        <v>15</v>
      </c>
      <c r="H213" s="130">
        <f t="shared" si="86"/>
        <v>12.99</v>
      </c>
      <c r="I213" s="132">
        <f t="shared" si="86"/>
        <v>14.73</v>
      </c>
    </row>
    <row r="214" hidden="1" outlineLevel="2">
      <c r="A214" s="69" t="s">
        <v>149</v>
      </c>
      <c r="B214" s="129">
        <f t="shared" ref="B214:I214" si="87">B208*-10</f>
        <v>0</v>
      </c>
      <c r="C214" s="130">
        <f t="shared" si="87"/>
        <v>0</v>
      </c>
      <c r="D214" s="130">
        <f t="shared" si="87"/>
        <v>0</v>
      </c>
      <c r="E214" s="130">
        <f t="shared" si="87"/>
        <v>0</v>
      </c>
      <c r="F214" s="130">
        <f t="shared" si="87"/>
        <v>0</v>
      </c>
      <c r="G214" s="130">
        <f t="shared" si="87"/>
        <v>0</v>
      </c>
      <c r="H214" s="130">
        <f t="shared" si="87"/>
        <v>0</v>
      </c>
      <c r="I214" s="132">
        <f t="shared" si="87"/>
        <v>0</v>
      </c>
    </row>
    <row r="215" hidden="1" outlineLevel="2">
      <c r="A215" s="142" t="s">
        <v>150</v>
      </c>
      <c r="B215" s="129">
        <f t="shared" ref="B215:I215" si="88">B210+B211+B212+B213+B214</f>
        <v>98.85774958</v>
      </c>
      <c r="C215" s="130">
        <f t="shared" si="88"/>
        <v>89.76171001</v>
      </c>
      <c r="D215" s="130">
        <f t="shared" si="88"/>
        <v>80.0664329</v>
      </c>
      <c r="E215" s="130">
        <f t="shared" si="88"/>
        <v>103.7301417</v>
      </c>
      <c r="F215" s="130">
        <f t="shared" si="88"/>
        <v>106.8912853</v>
      </c>
      <c r="G215" s="130">
        <f t="shared" si="88"/>
        <v>107.2611816</v>
      </c>
      <c r="H215" s="130">
        <f t="shared" si="88"/>
        <v>93.87427459</v>
      </c>
      <c r="I215" s="132">
        <f t="shared" si="88"/>
        <v>51.105</v>
      </c>
    </row>
    <row r="216" hidden="1" outlineLevel="2">
      <c r="A216" s="54" t="s">
        <v>152</v>
      </c>
      <c r="B216" s="58">
        <f t="shared" ref="B216:I216" si="89">B215/100</f>
        <v>0.9885774958</v>
      </c>
      <c r="C216" s="61">
        <f t="shared" si="89"/>
        <v>0.8976171001</v>
      </c>
      <c r="D216" s="333">
        <f t="shared" si="89"/>
        <v>0.800664329</v>
      </c>
      <c r="E216" s="61">
        <f t="shared" si="89"/>
        <v>1.037301417</v>
      </c>
      <c r="F216" s="61">
        <f t="shared" si="89"/>
        <v>1.068912853</v>
      </c>
      <c r="G216" s="61">
        <f t="shared" si="89"/>
        <v>1.072611816</v>
      </c>
      <c r="H216" s="61">
        <f t="shared" si="89"/>
        <v>0.9387427459</v>
      </c>
      <c r="I216" s="62">
        <f t="shared" si="89"/>
        <v>0.51105</v>
      </c>
    </row>
    <row r="217" hidden="1" outlineLevel="2">
      <c r="A217" s="127" t="s">
        <v>154</v>
      </c>
      <c r="B217" s="349" t="s">
        <v>155</v>
      </c>
      <c r="C217" s="349" t="s">
        <v>155</v>
      </c>
      <c r="D217" s="350" t="s">
        <v>157</v>
      </c>
      <c r="E217" s="350" t="s">
        <v>155</v>
      </c>
      <c r="F217" s="350" t="s">
        <v>156</v>
      </c>
      <c r="G217" s="350" t="s">
        <v>155</v>
      </c>
      <c r="H217" s="350" t="s">
        <v>155</v>
      </c>
      <c r="I217" s="351"/>
    </row>
    <row r="218" hidden="1" outlineLevel="2">
      <c r="A218" s="127" t="s">
        <v>158</v>
      </c>
      <c r="B218" s="156"/>
      <c r="C218" s="157"/>
      <c r="D218" s="337"/>
      <c r="E218" s="157"/>
      <c r="F218" s="157"/>
      <c r="G218" s="157"/>
      <c r="H218" s="157"/>
      <c r="I218" s="352" t="s">
        <v>391</v>
      </c>
    </row>
    <row r="219" hidden="1" outlineLevel="1" collapsed="1">
      <c r="A219" s="12"/>
      <c r="B219" s="13" t="s">
        <v>392</v>
      </c>
      <c r="C219" s="14"/>
      <c r="D219" s="14"/>
      <c r="E219" s="14"/>
      <c r="F219" s="14"/>
      <c r="G219" s="14"/>
      <c r="H219" s="14"/>
      <c r="I219" s="15"/>
    </row>
    <row r="220" hidden="1" outlineLevel="2">
      <c r="A220" s="164"/>
      <c r="B220" s="302" t="s">
        <v>29</v>
      </c>
      <c r="C220" s="303" t="s">
        <v>4</v>
      </c>
      <c r="D220" s="303" t="s">
        <v>19</v>
      </c>
      <c r="E220" s="303" t="s">
        <v>30</v>
      </c>
      <c r="F220" s="303" t="s">
        <v>31</v>
      </c>
      <c r="G220" s="304" t="s">
        <v>32</v>
      </c>
      <c r="H220" s="305" t="s">
        <v>13</v>
      </c>
      <c r="I220" s="305" t="s">
        <v>350</v>
      </c>
    </row>
    <row r="221" hidden="1" outlineLevel="2">
      <c r="A221" s="25" t="s">
        <v>36</v>
      </c>
      <c r="B221" s="243" t="s">
        <v>392</v>
      </c>
      <c r="C221" s="244"/>
      <c r="D221" s="244"/>
      <c r="E221" s="244"/>
      <c r="F221" s="244"/>
      <c r="G221" s="244"/>
      <c r="H221" s="244"/>
      <c r="I221" s="245"/>
    </row>
    <row r="222" hidden="1" outlineLevel="2">
      <c r="A222" s="32" t="s">
        <v>45</v>
      </c>
      <c r="B222" s="34"/>
      <c r="C222" s="2"/>
      <c r="D222" s="2"/>
      <c r="E222" s="2"/>
      <c r="F222" s="2"/>
      <c r="G222" s="2"/>
      <c r="H222" s="2"/>
      <c r="I222" s="36"/>
    </row>
    <row r="223" hidden="1" outlineLevel="2">
      <c r="A223" s="38" t="s">
        <v>49</v>
      </c>
      <c r="B223" s="246">
        <v>47.49</v>
      </c>
      <c r="C223" s="247">
        <f>50.53-2</f>
        <v>48.53</v>
      </c>
      <c r="D223" s="343">
        <f>84.41-7-24-8.4-6.2</f>
        <v>38.81</v>
      </c>
      <c r="E223" s="247">
        <f>45.42-2</f>
        <v>43.42</v>
      </c>
      <c r="F223" s="247">
        <v>48.58</v>
      </c>
      <c r="G223" s="247">
        <f>51.06-2</f>
        <v>49.06</v>
      </c>
      <c r="H223" s="247">
        <v>48.09</v>
      </c>
      <c r="I223" s="345">
        <v>45.23</v>
      </c>
    </row>
    <row r="224" hidden="1" outlineLevel="2">
      <c r="A224" s="49" t="s">
        <v>53</v>
      </c>
      <c r="B224" s="181">
        <v>37.0</v>
      </c>
      <c r="C224" s="51">
        <v>40.0</v>
      </c>
      <c r="D224" s="51">
        <v>40.0</v>
      </c>
      <c r="E224" s="51">
        <v>40.0</v>
      </c>
      <c r="F224" s="250">
        <v>38.0</v>
      </c>
      <c r="G224" s="51">
        <v>40.0</v>
      </c>
      <c r="H224" s="51">
        <v>40.0</v>
      </c>
      <c r="I224" s="346">
        <v>40.0</v>
      </c>
    </row>
    <row r="225" hidden="1" outlineLevel="2">
      <c r="A225" s="54" t="s">
        <v>57</v>
      </c>
      <c r="B225" s="252">
        <f t="shared" ref="B225:I225" si="90">B223/B224</f>
        <v>1.283513514</v>
      </c>
      <c r="C225" s="253">
        <f t="shared" si="90"/>
        <v>1.21325</v>
      </c>
      <c r="D225" s="253">
        <f t="shared" si="90"/>
        <v>0.97025</v>
      </c>
      <c r="E225" s="253">
        <f t="shared" si="90"/>
        <v>1.0855</v>
      </c>
      <c r="F225" s="253">
        <f t="shared" si="90"/>
        <v>1.278421053</v>
      </c>
      <c r="G225" s="253">
        <f t="shared" si="90"/>
        <v>1.2265</v>
      </c>
      <c r="H225" s="253">
        <f t="shared" si="90"/>
        <v>1.20225</v>
      </c>
      <c r="I225" s="256">
        <f t="shared" si="90"/>
        <v>1.13075</v>
      </c>
    </row>
    <row r="226" hidden="1" outlineLevel="2">
      <c r="A226" s="32" t="s">
        <v>66</v>
      </c>
      <c r="B226" s="34"/>
      <c r="C226" s="2"/>
      <c r="D226" s="2"/>
      <c r="E226" s="2"/>
      <c r="F226" s="2"/>
      <c r="G226" s="2"/>
      <c r="H226" s="2"/>
      <c r="I226" s="36"/>
    </row>
    <row r="227" hidden="1" outlineLevel="2">
      <c r="A227" s="64" t="s">
        <v>67</v>
      </c>
      <c r="B227" s="354">
        <v>40.0</v>
      </c>
      <c r="C227" s="355">
        <v>40.0</v>
      </c>
      <c r="D227" s="355">
        <v>39.13</v>
      </c>
      <c r="E227" s="355">
        <v>40.0</v>
      </c>
      <c r="F227" s="355">
        <v>40.0</v>
      </c>
      <c r="G227" s="355">
        <v>39.77</v>
      </c>
      <c r="H227" s="355">
        <v>40.0</v>
      </c>
      <c r="I227" s="345">
        <v>33.4</v>
      </c>
    </row>
    <row r="228" hidden="1" outlineLevel="2">
      <c r="A228" s="69" t="s">
        <v>72</v>
      </c>
      <c r="B228" s="186">
        <v>40.0</v>
      </c>
      <c r="C228" s="187">
        <v>40.0</v>
      </c>
      <c r="D228" s="187">
        <v>40.0</v>
      </c>
      <c r="E228" s="187">
        <v>40.0</v>
      </c>
      <c r="F228" s="187">
        <v>40.0</v>
      </c>
      <c r="G228" s="187">
        <v>40.0</v>
      </c>
      <c r="H228" s="187">
        <v>40.0</v>
      </c>
      <c r="I228" s="188">
        <v>40.0</v>
      </c>
    </row>
    <row r="229" hidden="1" outlineLevel="2">
      <c r="A229" s="54" t="s">
        <v>74</v>
      </c>
      <c r="B229" s="252">
        <f t="shared" ref="B229:I229" si="91">B227/B228</f>
        <v>1</v>
      </c>
      <c r="C229" s="253">
        <f t="shared" si="91"/>
        <v>1</v>
      </c>
      <c r="D229" s="253">
        <f t="shared" si="91"/>
        <v>0.97825</v>
      </c>
      <c r="E229" s="253">
        <f t="shared" si="91"/>
        <v>1</v>
      </c>
      <c r="F229" s="253">
        <f t="shared" si="91"/>
        <v>1</v>
      </c>
      <c r="G229" s="253">
        <f t="shared" si="91"/>
        <v>0.99425</v>
      </c>
      <c r="H229" s="253">
        <f t="shared" si="91"/>
        <v>1</v>
      </c>
      <c r="I229" s="256">
        <f t="shared" si="91"/>
        <v>0.835</v>
      </c>
    </row>
    <row r="230" hidden="1" outlineLevel="2">
      <c r="A230" s="32" t="s">
        <v>75</v>
      </c>
      <c r="B230" s="34"/>
      <c r="C230" s="2"/>
      <c r="D230" s="2"/>
      <c r="E230" s="2"/>
      <c r="F230" s="2"/>
      <c r="G230" s="2"/>
      <c r="H230" s="2"/>
      <c r="I230" s="36"/>
    </row>
    <row r="231" hidden="1" outlineLevel="2">
      <c r="A231" s="64" t="s">
        <v>76</v>
      </c>
      <c r="B231" s="185" t="s">
        <v>79</v>
      </c>
      <c r="C231" s="78" t="s">
        <v>80</v>
      </c>
      <c r="D231" s="78" t="s">
        <v>80</v>
      </c>
      <c r="E231" s="78" t="s">
        <v>79</v>
      </c>
      <c r="F231" s="78" t="s">
        <v>79</v>
      </c>
      <c r="G231" s="77" t="s">
        <v>80</v>
      </c>
      <c r="H231" s="78" t="s">
        <v>79</v>
      </c>
      <c r="I231" s="79" t="s">
        <v>79</v>
      </c>
    </row>
    <row r="232" hidden="1" outlineLevel="2">
      <c r="A232" s="64" t="s">
        <v>81</v>
      </c>
      <c r="B232" s="185" t="s">
        <v>83</v>
      </c>
      <c r="C232" s="78" t="s">
        <v>85</v>
      </c>
      <c r="D232" s="78" t="s">
        <v>83</v>
      </c>
      <c r="E232" s="78" t="s">
        <v>85</v>
      </c>
      <c r="F232" s="78" t="s">
        <v>83</v>
      </c>
      <c r="G232" s="78" t="s">
        <v>85</v>
      </c>
      <c r="H232" s="78" t="s">
        <v>85</v>
      </c>
      <c r="I232" s="79" t="s">
        <v>85</v>
      </c>
    </row>
    <row r="233" hidden="1" outlineLevel="2">
      <c r="A233" s="64" t="s">
        <v>86</v>
      </c>
      <c r="B233" s="194">
        <f>IF(B223&lt;B224,B224,B223) *
IF(B231="AM",
    IF(B232="Oricle",3.5,
    IF(B232="Other Brands",4,
    IF(B232="Oricle Prio",0.6,""))),
 IF(B231="MID",
    IF(B232="Oricle",2.5,
    IF(B232="Other Brands",3,
    IF(B232="Oricle Prio",0.6,""))),
 IF(B231="GY",
    IF(B232="Oricle",1,
    IF(B232="Other Brands",1,
    IF(B232="Oricle Prio",0.3,""))),"")))-10</f>
        <v>132.47</v>
      </c>
      <c r="C233" s="204">
        <f>IF(C223&lt;C224,C224,C223) *
IF(C231="AM",
    IF(C232="Oricle",3,
    IF(C232="Other Brands",4,
    IF(C232="Oricle Prio",0.6,""))),
 IF(C231="MID",
    IF(C232="Oricle",2.5,
    IF(C232="Other Brands",3,
    IF(C232="Oricle Prio",0.6,""))),
 IF(C231="GY",
    IF(C232="Oricle",1,
    IF(C232="Other Brands",1,
    IF(C232="Oricle Prio",0.3,""))),"")))</f>
        <v>145.59</v>
      </c>
      <c r="D233" s="204">
        <f>IF(D223&lt;D224,D224,D223) *
IF(D231="AM",
    IF(D232="Oricle",3.5,
    IF(D232="Other Brands",4,
    IF(D232="Oricle Prio",0.6,""))),
 IF(D231="MID",
    IF(D232="Oricle",2.5,
    IF(D232="Other Brands",3,
    IF(D232="Oricle Prio",0.6,""))),
 IF(D231="GY",
    IF(D232="Oricle",1,
    IF(D232="Other Brands",1,
    IF(D232="Oricle Prio",0.3,""))),"")))</f>
        <v>160</v>
      </c>
      <c r="E233" s="204">
        <f>IF(E223&lt;E224,E224,E223) *
IF(E231="AM",
    IF(E232="Oricle",3.5,
    IF(E232="Other Brands",4,
    IF(E232="Oricle Prio",0.6,""))),
 IF(E231="MID",
    IF(E232="Oricle",2.5,
    IF(E232="Other Brands",3,
    IF(E232="Oricle Prio",0.6,""))),
 IF(E231="GY",
    IF(E232="Oricle",1,
    IF(E232="Other Brands",1,
    IF(E232="Oricle Prio",0.3,""))),"")))-12</f>
        <v>96.55</v>
      </c>
      <c r="F233" s="204">
        <f>IF(F223&lt;F224,F224,F223) *
IF(F231="AM",
    IF(F232="Oricle",3.5,
    IF(F232="Other Brands",4,
    IF(F232="Oricle Prio",0.6,""))),
 IF(F231="MID",
    IF(F232="Oricle",2.5,
    IF(F232="Other Brands",3,
    IF(F232="Oricle Prio",0.6,""))),
 IF(F231="GY",
    IF(F232="Oricle",1,
    IF(F232="Other Brands",1,
    IF(F232="Oricle Prio",0.3,""))),"")))</f>
        <v>145.74</v>
      </c>
      <c r="G233" s="204">
        <f>IF(G223&lt;G224,G224,G223) *
IF(G231="AM",
    IF(G232="Oricle",3,
    IF(G232="Other Brands",4,
    IF(G232="Oricle Prio",0.6,""))),
 IF(G231="MID",
    IF(G232="Oricle",2.5,
    IF(G232="Other Brands",3,
    IF(G232="Oricle Prio",0.6,""))),
 IF(G231="GY",
    IF(G232="Oricle",1,
    IF(G232="Other Brands",1,
    IF(G232="Oricle Prio",0.3,""))),"")))</f>
        <v>147.18</v>
      </c>
      <c r="H233" s="204">
        <f>IF(H223&lt;H224,H224,H223) *
IF(H231="AM",
    IF(H232="Oricle",3.5,
    IF(H232="Other Brands",4,
    IF(H232="Oricle Prio",0.6,""))),
 IF(H231="MID",
    IF(H232="Oricle",2.5,
    IF(H232="Other Brands",3,
    IF(H232="Oricle Prio",0.6,""))),
 IF(H231="GY",
    IF(H232="Oricle",1,
    IF(H232="Other Brands",1,
    IF(H232="Oricle Prio",0.3,""))),"")))</f>
        <v>120.225</v>
      </c>
      <c r="I233" s="261">
        <v>70.0</v>
      </c>
    </row>
    <row r="234" hidden="1" outlineLevel="2">
      <c r="A234" s="64" t="s">
        <v>98</v>
      </c>
      <c r="B234" s="266" t="s">
        <v>101</v>
      </c>
      <c r="C234" s="77" t="s">
        <v>110</v>
      </c>
      <c r="D234" s="77" t="s">
        <v>406</v>
      </c>
      <c r="E234" s="77" t="s">
        <v>407</v>
      </c>
      <c r="F234" s="77" t="s">
        <v>373</v>
      </c>
      <c r="G234" s="77" t="s">
        <v>105</v>
      </c>
      <c r="H234" s="77" t="s">
        <v>301</v>
      </c>
      <c r="I234" s="258" t="s">
        <v>408</v>
      </c>
    </row>
    <row r="235" hidden="1" outlineLevel="2">
      <c r="A235" s="64" t="s">
        <v>107</v>
      </c>
      <c r="B235" s="266" t="s">
        <v>205</v>
      </c>
      <c r="C235" s="77" t="s">
        <v>105</v>
      </c>
      <c r="D235" s="77" t="s">
        <v>206</v>
      </c>
      <c r="E235" s="77" t="s">
        <v>409</v>
      </c>
      <c r="F235" s="77" t="s">
        <v>333</v>
      </c>
      <c r="G235" s="77" t="s">
        <v>105</v>
      </c>
      <c r="H235" s="77" t="s">
        <v>301</v>
      </c>
      <c r="I235" s="258" t="s">
        <v>412</v>
      </c>
    </row>
    <row r="236" hidden="1" outlineLevel="2">
      <c r="A236" s="69" t="s">
        <v>115</v>
      </c>
      <c r="B236" s="108">
        <f t="shared" ref="B236:I236" si="92">IF(B234&gt;0,B235/B234,0)</f>
        <v>0.9197080292</v>
      </c>
      <c r="C236" s="110">
        <f t="shared" si="92"/>
        <v>0.9847328244</v>
      </c>
      <c r="D236" s="110">
        <f t="shared" si="92"/>
        <v>0.9871794872</v>
      </c>
      <c r="E236" s="110">
        <f t="shared" si="92"/>
        <v>0.9893617021</v>
      </c>
      <c r="F236" s="110">
        <f t="shared" si="92"/>
        <v>0.9802631579</v>
      </c>
      <c r="G236" s="110">
        <f t="shared" si="92"/>
        <v>1</v>
      </c>
      <c r="H236" s="110">
        <f t="shared" si="92"/>
        <v>1</v>
      </c>
      <c r="I236" s="111">
        <f t="shared" si="92"/>
        <v>0.9722222222</v>
      </c>
    </row>
    <row r="237" hidden="1" outlineLevel="2">
      <c r="A237" s="69" t="s">
        <v>119</v>
      </c>
      <c r="B237" s="108">
        <f t="shared" ref="B237:I237" si="93">IF(B233&gt;0,B235/B233,0)</f>
        <v>0.9511587529</v>
      </c>
      <c r="C237" s="110">
        <f t="shared" si="93"/>
        <v>0.8860498661</v>
      </c>
      <c r="D237" s="110">
        <f t="shared" si="93"/>
        <v>0.9625</v>
      </c>
      <c r="E237" s="110">
        <f t="shared" si="93"/>
        <v>0.9632314863</v>
      </c>
      <c r="F237" s="110">
        <f t="shared" si="93"/>
        <v>1.022368602</v>
      </c>
      <c r="G237" s="110">
        <f t="shared" si="93"/>
        <v>0.8764777823</v>
      </c>
      <c r="H237" s="110">
        <f t="shared" si="93"/>
        <v>0.881680183</v>
      </c>
      <c r="I237" s="111">
        <f t="shared" si="93"/>
        <v>1</v>
      </c>
    </row>
    <row r="238" hidden="1" outlineLevel="2">
      <c r="A238" s="116" t="s">
        <v>82</v>
      </c>
      <c r="B238" s="252">
        <f t="shared" ref="B238:I238" si="94">average(B236:B237)</f>
        <v>0.9354333911</v>
      </c>
      <c r="C238" s="253">
        <f t="shared" si="94"/>
        <v>0.9353913452</v>
      </c>
      <c r="D238" s="253">
        <f t="shared" si="94"/>
        <v>0.9748397436</v>
      </c>
      <c r="E238" s="253">
        <f t="shared" si="94"/>
        <v>0.9762965942</v>
      </c>
      <c r="F238" s="253">
        <f t="shared" si="94"/>
        <v>1.00131588</v>
      </c>
      <c r="G238" s="253">
        <f t="shared" si="94"/>
        <v>0.9382388912</v>
      </c>
      <c r="H238" s="253">
        <f t="shared" si="94"/>
        <v>0.9408400915</v>
      </c>
      <c r="I238" s="256">
        <f t="shared" si="94"/>
        <v>0.9861111111</v>
      </c>
    </row>
    <row r="239" hidden="1" outlineLevel="2">
      <c r="A239" s="32" t="s">
        <v>121</v>
      </c>
      <c r="B239" s="316"/>
      <c r="C239" s="2"/>
      <c r="D239" s="2"/>
      <c r="E239" s="2"/>
      <c r="F239" s="2"/>
      <c r="G239" s="2"/>
      <c r="H239" s="2"/>
      <c r="I239" s="3"/>
    </row>
    <row r="240" hidden="1" outlineLevel="2">
      <c r="A240" s="64" t="s">
        <v>122</v>
      </c>
      <c r="B240" s="246">
        <v>9.33</v>
      </c>
      <c r="C240" s="247">
        <v>9.33</v>
      </c>
      <c r="D240" s="247">
        <v>9.46</v>
      </c>
      <c r="E240" s="247">
        <v>10.0</v>
      </c>
      <c r="F240" s="310">
        <v>10.0</v>
      </c>
      <c r="G240" s="247">
        <v>9.33</v>
      </c>
      <c r="H240" s="247">
        <v>9.33</v>
      </c>
      <c r="I240" s="248">
        <v>9.0</v>
      </c>
    </row>
    <row r="241" hidden="1" outlineLevel="2">
      <c r="A241" s="69" t="s">
        <v>128</v>
      </c>
      <c r="B241" s="119">
        <v>10.0</v>
      </c>
      <c r="C241" s="120">
        <v>10.0</v>
      </c>
      <c r="D241" s="120">
        <v>10.0</v>
      </c>
      <c r="E241" s="120">
        <v>10.0</v>
      </c>
      <c r="F241" s="120">
        <v>10.0</v>
      </c>
      <c r="G241" s="120">
        <v>10.0</v>
      </c>
      <c r="H241" s="120">
        <v>10.0</v>
      </c>
      <c r="I241" s="121">
        <v>10.0</v>
      </c>
    </row>
    <row r="242" hidden="1" outlineLevel="2">
      <c r="A242" s="54" t="s">
        <v>130</v>
      </c>
      <c r="B242" s="252">
        <f t="shared" ref="B242:I242" si="95">IF(B240=0,0,B240/B241)</f>
        <v>0.933</v>
      </c>
      <c r="C242" s="253">
        <f t="shared" si="95"/>
        <v>0.933</v>
      </c>
      <c r="D242" s="253">
        <f t="shared" si="95"/>
        <v>0.946</v>
      </c>
      <c r="E242" s="253">
        <f t="shared" si="95"/>
        <v>1</v>
      </c>
      <c r="F242" s="253">
        <f t="shared" si="95"/>
        <v>1</v>
      </c>
      <c r="G242" s="253">
        <f t="shared" si="95"/>
        <v>0.933</v>
      </c>
      <c r="H242" s="253">
        <f t="shared" si="95"/>
        <v>0.933</v>
      </c>
      <c r="I242" s="256">
        <f t="shared" si="95"/>
        <v>0.9</v>
      </c>
    </row>
    <row r="243" hidden="1" outlineLevel="2">
      <c r="A243" s="32" t="s">
        <v>131</v>
      </c>
      <c r="B243" s="34"/>
      <c r="C243" s="2"/>
      <c r="D243" s="2"/>
      <c r="E243" s="2"/>
      <c r="F243" s="2"/>
      <c r="G243" s="2"/>
      <c r="H243" s="2"/>
      <c r="I243" s="36"/>
    </row>
    <row r="244" hidden="1" outlineLevel="2">
      <c r="A244" s="64" t="s">
        <v>132</v>
      </c>
      <c r="B244" s="312"/>
      <c r="C244" s="313"/>
      <c r="D244" s="332"/>
      <c r="E244" s="313"/>
      <c r="F244" s="313"/>
      <c r="G244" s="313"/>
      <c r="H244" s="313"/>
      <c r="I244" s="314"/>
    </row>
    <row r="245" hidden="1" outlineLevel="2">
      <c r="A245" s="127" t="s">
        <v>134</v>
      </c>
      <c r="B245" s="34"/>
      <c r="C245" s="2"/>
      <c r="D245" s="2"/>
      <c r="E245" s="2"/>
      <c r="F245" s="2"/>
      <c r="G245" s="2"/>
      <c r="H245" s="2"/>
      <c r="I245" s="36"/>
    </row>
    <row r="246" hidden="1" outlineLevel="2">
      <c r="A246" s="69" t="s">
        <v>136</v>
      </c>
      <c r="B246" s="129">
        <f t="shared" ref="B246:I246" si="96">B225*25</f>
        <v>32.08783784</v>
      </c>
      <c r="C246" s="130">
        <f t="shared" si="96"/>
        <v>30.33125</v>
      </c>
      <c r="D246" s="130">
        <f t="shared" si="96"/>
        <v>24.25625</v>
      </c>
      <c r="E246" s="130">
        <f t="shared" si="96"/>
        <v>27.1375</v>
      </c>
      <c r="F246" s="130">
        <f t="shared" si="96"/>
        <v>31.96052632</v>
      </c>
      <c r="G246" s="130">
        <f t="shared" si="96"/>
        <v>30.6625</v>
      </c>
      <c r="H246" s="130">
        <f t="shared" si="96"/>
        <v>30.05625</v>
      </c>
      <c r="I246" s="132">
        <f t="shared" si="96"/>
        <v>28.26875</v>
      </c>
    </row>
    <row r="247" hidden="1" outlineLevel="2">
      <c r="A247" s="69" t="s">
        <v>144</v>
      </c>
      <c r="B247" s="129">
        <f t="shared" ref="B247:I247" si="97">B229*35</f>
        <v>35</v>
      </c>
      <c r="C247" s="130">
        <f t="shared" si="97"/>
        <v>35</v>
      </c>
      <c r="D247" s="130">
        <f t="shared" si="97"/>
        <v>34.23875</v>
      </c>
      <c r="E247" s="130">
        <f t="shared" si="97"/>
        <v>35</v>
      </c>
      <c r="F247" s="130">
        <f t="shared" si="97"/>
        <v>35</v>
      </c>
      <c r="G247" s="130">
        <f t="shared" si="97"/>
        <v>34.79875</v>
      </c>
      <c r="H247" s="130">
        <f t="shared" si="97"/>
        <v>35</v>
      </c>
      <c r="I247" s="132">
        <f t="shared" si="97"/>
        <v>29.225</v>
      </c>
    </row>
    <row r="248" hidden="1" outlineLevel="2">
      <c r="A248" s="69" t="s">
        <v>146</v>
      </c>
      <c r="B248" s="129">
        <f t="shared" ref="B248:I248" si="98">IF(AND(B229&lt;85%, B238&gt;100%), 25, B238*25)</f>
        <v>23.38583478</v>
      </c>
      <c r="C248" s="130">
        <f t="shared" si="98"/>
        <v>23.38478363</v>
      </c>
      <c r="D248" s="130">
        <f t="shared" si="98"/>
        <v>24.37099359</v>
      </c>
      <c r="E248" s="130">
        <f t="shared" si="98"/>
        <v>24.40741486</v>
      </c>
      <c r="F248" s="130">
        <f t="shared" si="98"/>
        <v>25.03289699</v>
      </c>
      <c r="G248" s="130">
        <f t="shared" si="98"/>
        <v>23.45597228</v>
      </c>
      <c r="H248" s="130">
        <f t="shared" si="98"/>
        <v>23.52100229</v>
      </c>
      <c r="I248" s="132">
        <f t="shared" si="98"/>
        <v>24.65277778</v>
      </c>
    </row>
    <row r="249" hidden="1" outlineLevel="2">
      <c r="A249" s="69" t="s">
        <v>148</v>
      </c>
      <c r="B249" s="129">
        <f t="shared" ref="B249:I249" si="99">B242*15</f>
        <v>13.995</v>
      </c>
      <c r="C249" s="130">
        <f t="shared" si="99"/>
        <v>13.995</v>
      </c>
      <c r="D249" s="130">
        <f t="shared" si="99"/>
        <v>14.19</v>
      </c>
      <c r="E249" s="130">
        <f t="shared" si="99"/>
        <v>15</v>
      </c>
      <c r="F249" s="130">
        <f t="shared" si="99"/>
        <v>15</v>
      </c>
      <c r="G249" s="130">
        <f t="shared" si="99"/>
        <v>13.995</v>
      </c>
      <c r="H249" s="130">
        <f t="shared" si="99"/>
        <v>13.995</v>
      </c>
      <c r="I249" s="132">
        <f t="shared" si="99"/>
        <v>13.5</v>
      </c>
    </row>
    <row r="250" hidden="1" outlineLevel="2">
      <c r="A250" s="69" t="s">
        <v>149</v>
      </c>
      <c r="B250" s="129">
        <f t="shared" ref="B250:I250" si="100">B244*-10</f>
        <v>0</v>
      </c>
      <c r="C250" s="130">
        <f t="shared" si="100"/>
        <v>0</v>
      </c>
      <c r="D250" s="130">
        <f t="shared" si="100"/>
        <v>0</v>
      </c>
      <c r="E250" s="130">
        <f t="shared" si="100"/>
        <v>0</v>
      </c>
      <c r="F250" s="130">
        <f t="shared" si="100"/>
        <v>0</v>
      </c>
      <c r="G250" s="130">
        <f t="shared" si="100"/>
        <v>0</v>
      </c>
      <c r="H250" s="130">
        <f t="shared" si="100"/>
        <v>0</v>
      </c>
      <c r="I250" s="132">
        <f t="shared" si="100"/>
        <v>0</v>
      </c>
    </row>
    <row r="251" hidden="1" outlineLevel="2">
      <c r="A251" s="142" t="s">
        <v>150</v>
      </c>
      <c r="B251" s="129">
        <f t="shared" ref="B251:I251" si="101">B246+B247+B248+B249+B250</f>
        <v>104.4686726</v>
      </c>
      <c r="C251" s="130">
        <f t="shared" si="101"/>
        <v>102.7110336</v>
      </c>
      <c r="D251" s="130">
        <f t="shared" si="101"/>
        <v>97.05599359</v>
      </c>
      <c r="E251" s="130">
        <f t="shared" si="101"/>
        <v>101.5449149</v>
      </c>
      <c r="F251" s="130">
        <f t="shared" si="101"/>
        <v>106.9934233</v>
      </c>
      <c r="G251" s="130">
        <f t="shared" si="101"/>
        <v>102.9122223</v>
      </c>
      <c r="H251" s="130">
        <f t="shared" si="101"/>
        <v>102.5722523</v>
      </c>
      <c r="I251" s="132">
        <f t="shared" si="101"/>
        <v>95.64652778</v>
      </c>
    </row>
    <row r="252" hidden="1" outlineLevel="2">
      <c r="A252" s="54" t="s">
        <v>152</v>
      </c>
      <c r="B252" s="58">
        <f t="shared" ref="B252:I252" si="102">B251/100</f>
        <v>1.044686726</v>
      </c>
      <c r="C252" s="61">
        <f t="shared" si="102"/>
        <v>1.027110336</v>
      </c>
      <c r="D252" s="378">
        <f t="shared" si="102"/>
        <v>0.9705599359</v>
      </c>
      <c r="E252" s="61">
        <f t="shared" si="102"/>
        <v>1.015449149</v>
      </c>
      <c r="F252" s="61">
        <f t="shared" si="102"/>
        <v>1.069934233</v>
      </c>
      <c r="G252" s="61">
        <f t="shared" si="102"/>
        <v>1.029122223</v>
      </c>
      <c r="H252" s="61">
        <f t="shared" si="102"/>
        <v>1.025722523</v>
      </c>
      <c r="I252" s="62">
        <f t="shared" si="102"/>
        <v>0.9564652778</v>
      </c>
    </row>
    <row r="253" hidden="1" outlineLevel="2">
      <c r="A253" s="127" t="s">
        <v>154</v>
      </c>
      <c r="B253" s="349" t="s">
        <v>155</v>
      </c>
      <c r="C253" s="349" t="s">
        <v>155</v>
      </c>
      <c r="D253" s="350" t="s">
        <v>155</v>
      </c>
      <c r="E253" s="350" t="s">
        <v>155</v>
      </c>
      <c r="F253" s="350" t="s">
        <v>156</v>
      </c>
      <c r="G253" s="350" t="s">
        <v>155</v>
      </c>
      <c r="H253" s="350" t="s">
        <v>155</v>
      </c>
      <c r="I253" s="379" t="s">
        <v>155</v>
      </c>
    </row>
    <row r="254" hidden="1" outlineLevel="2">
      <c r="A254" s="127" t="s">
        <v>158</v>
      </c>
      <c r="B254" s="156"/>
      <c r="C254" s="157"/>
      <c r="D254" s="337"/>
      <c r="E254" s="157"/>
      <c r="F254" s="157"/>
      <c r="G254" s="157"/>
      <c r="H254" s="157"/>
      <c r="I254" s="352" t="s">
        <v>391</v>
      </c>
    </row>
    <row r="255" hidden="1" outlineLevel="1" collapsed="1">
      <c r="A255" s="12"/>
      <c r="B255" s="13" t="s">
        <v>425</v>
      </c>
      <c r="C255" s="14"/>
      <c r="D255" s="14"/>
      <c r="E255" s="14"/>
      <c r="F255" s="14"/>
      <c r="G255" s="14"/>
      <c r="H255" s="14"/>
      <c r="I255" s="15"/>
    </row>
    <row r="256" hidden="1" outlineLevel="2">
      <c r="A256" s="164"/>
      <c r="B256" s="302" t="s">
        <v>29</v>
      </c>
      <c r="C256" s="303" t="s">
        <v>4</v>
      </c>
      <c r="D256" s="303" t="s">
        <v>19</v>
      </c>
      <c r="E256" s="303" t="s">
        <v>30</v>
      </c>
      <c r="F256" s="303" t="s">
        <v>31</v>
      </c>
      <c r="G256" s="304" t="s">
        <v>32</v>
      </c>
      <c r="H256" s="305" t="s">
        <v>13</v>
      </c>
      <c r="I256" s="305" t="s">
        <v>350</v>
      </c>
    </row>
    <row r="257" hidden="1" outlineLevel="2">
      <c r="A257" s="25" t="s">
        <v>36</v>
      </c>
      <c r="B257" s="243" t="s">
        <v>425</v>
      </c>
      <c r="C257" s="244"/>
      <c r="D257" s="244"/>
      <c r="E257" s="244"/>
      <c r="F257" s="244"/>
      <c r="G257" s="244"/>
      <c r="H257" s="244"/>
      <c r="I257" s="245"/>
    </row>
    <row r="258" hidden="1" outlineLevel="2">
      <c r="A258" s="32" t="s">
        <v>45</v>
      </c>
      <c r="B258" s="34"/>
      <c r="C258" s="2"/>
      <c r="D258" s="2"/>
      <c r="E258" s="2"/>
      <c r="F258" s="2"/>
      <c r="G258" s="2"/>
      <c r="H258" s="2"/>
      <c r="I258" s="36"/>
    </row>
    <row r="259" hidden="1" outlineLevel="2">
      <c r="A259" s="38" t="s">
        <v>49</v>
      </c>
      <c r="B259" s="246">
        <v>46.08</v>
      </c>
      <c r="C259" s="247">
        <f>40.36-2</f>
        <v>38.36</v>
      </c>
      <c r="D259" s="380">
        <v>42.51</v>
      </c>
      <c r="E259" s="247">
        <v>42.05</v>
      </c>
      <c r="F259" s="247">
        <v>42.13</v>
      </c>
      <c r="G259" s="247">
        <f>51.27-2</f>
        <v>49.27</v>
      </c>
      <c r="H259" s="247">
        <v>45.33</v>
      </c>
      <c r="I259" s="345">
        <v>45.34</v>
      </c>
    </row>
    <row r="260" hidden="1" outlineLevel="2">
      <c r="A260" s="49" t="s">
        <v>53</v>
      </c>
      <c r="B260" s="383">
        <v>38.0</v>
      </c>
      <c r="C260" s="51">
        <v>40.0</v>
      </c>
      <c r="D260" s="51">
        <v>40.0</v>
      </c>
      <c r="E260" s="51">
        <v>40.0</v>
      </c>
      <c r="F260" s="250">
        <v>38.0</v>
      </c>
      <c r="G260" s="51">
        <v>40.0</v>
      </c>
      <c r="H260" s="51">
        <v>40.0</v>
      </c>
      <c r="I260" s="346">
        <v>40.0</v>
      </c>
    </row>
    <row r="261" hidden="1" outlineLevel="2">
      <c r="A261" s="54" t="s">
        <v>57</v>
      </c>
      <c r="B261" s="252">
        <f t="shared" ref="B261:I261" si="103">B259/B260</f>
        <v>1.212631579</v>
      </c>
      <c r="C261" s="253">
        <f t="shared" si="103"/>
        <v>0.959</v>
      </c>
      <c r="D261" s="253">
        <f t="shared" si="103"/>
        <v>1.06275</v>
      </c>
      <c r="E261" s="253">
        <f t="shared" si="103"/>
        <v>1.05125</v>
      </c>
      <c r="F261" s="253">
        <f t="shared" si="103"/>
        <v>1.108684211</v>
      </c>
      <c r="G261" s="253">
        <f t="shared" si="103"/>
        <v>1.23175</v>
      </c>
      <c r="H261" s="253">
        <f t="shared" si="103"/>
        <v>1.13325</v>
      </c>
      <c r="I261" s="256">
        <f t="shared" si="103"/>
        <v>1.1335</v>
      </c>
    </row>
    <row r="262" hidden="1" outlineLevel="2">
      <c r="A262" s="32" t="s">
        <v>66</v>
      </c>
      <c r="B262" s="34"/>
      <c r="C262" s="2"/>
      <c r="D262" s="2"/>
      <c r="E262" s="2"/>
      <c r="F262" s="2"/>
      <c r="G262" s="2"/>
      <c r="H262" s="2"/>
      <c r="I262" s="36"/>
    </row>
    <row r="263" hidden="1" outlineLevel="2">
      <c r="A263" s="64" t="s">
        <v>67</v>
      </c>
      <c r="B263" s="354">
        <v>40.0</v>
      </c>
      <c r="C263" s="355">
        <v>40.0</v>
      </c>
      <c r="D263" s="355">
        <v>33.8</v>
      </c>
      <c r="E263" s="355">
        <v>40.0</v>
      </c>
      <c r="F263" s="355">
        <v>40.0</v>
      </c>
      <c r="G263" s="355">
        <v>40.0</v>
      </c>
      <c r="H263" s="355">
        <v>40.0</v>
      </c>
      <c r="I263" s="345">
        <v>40.0</v>
      </c>
    </row>
    <row r="264" hidden="1" outlineLevel="2">
      <c r="A264" s="69" t="s">
        <v>72</v>
      </c>
      <c r="B264" s="186">
        <v>40.0</v>
      </c>
      <c r="C264" s="187">
        <v>40.0</v>
      </c>
      <c r="D264" s="187">
        <v>40.0</v>
      </c>
      <c r="E264" s="187">
        <v>40.0</v>
      </c>
      <c r="F264" s="187">
        <v>40.0</v>
      </c>
      <c r="G264" s="187">
        <v>40.0</v>
      </c>
      <c r="H264" s="187">
        <v>40.0</v>
      </c>
      <c r="I264" s="188">
        <v>40.0</v>
      </c>
    </row>
    <row r="265" hidden="1" outlineLevel="2">
      <c r="A265" s="54" t="s">
        <v>74</v>
      </c>
      <c r="B265" s="252">
        <f t="shared" ref="B265:I265" si="104">B263/B264</f>
        <v>1</v>
      </c>
      <c r="C265" s="253">
        <f t="shared" si="104"/>
        <v>1</v>
      </c>
      <c r="D265" s="253">
        <f t="shared" si="104"/>
        <v>0.845</v>
      </c>
      <c r="E265" s="253">
        <f t="shared" si="104"/>
        <v>1</v>
      </c>
      <c r="F265" s="253">
        <f t="shared" si="104"/>
        <v>1</v>
      </c>
      <c r="G265" s="253">
        <f t="shared" si="104"/>
        <v>1</v>
      </c>
      <c r="H265" s="253">
        <f t="shared" si="104"/>
        <v>1</v>
      </c>
      <c r="I265" s="256">
        <f t="shared" si="104"/>
        <v>1</v>
      </c>
    </row>
    <row r="266" hidden="1" outlineLevel="2">
      <c r="A266" s="32" t="s">
        <v>75</v>
      </c>
      <c r="B266" s="34"/>
      <c r="C266" s="2"/>
      <c r="D266" s="2"/>
      <c r="E266" s="2"/>
      <c r="F266" s="2"/>
      <c r="G266" s="2"/>
      <c r="H266" s="2"/>
      <c r="I266" s="36"/>
    </row>
    <row r="267" hidden="1" outlineLevel="2">
      <c r="A267" s="64" t="s">
        <v>76</v>
      </c>
      <c r="B267" s="185" t="s">
        <v>79</v>
      </c>
      <c r="C267" s="78" t="s">
        <v>80</v>
      </c>
      <c r="D267" s="78" t="s">
        <v>80</v>
      </c>
      <c r="E267" s="78" t="s">
        <v>79</v>
      </c>
      <c r="F267" s="78" t="s">
        <v>79</v>
      </c>
      <c r="G267" s="77" t="s">
        <v>80</v>
      </c>
      <c r="H267" s="78" t="s">
        <v>79</v>
      </c>
      <c r="I267" s="79" t="s">
        <v>79</v>
      </c>
    </row>
    <row r="268" hidden="1" outlineLevel="2">
      <c r="A268" s="64" t="s">
        <v>81</v>
      </c>
      <c r="B268" s="185" t="s">
        <v>83</v>
      </c>
      <c r="C268" s="78" t="s">
        <v>85</v>
      </c>
      <c r="D268" s="78" t="s">
        <v>83</v>
      </c>
      <c r="E268" s="78" t="s">
        <v>85</v>
      </c>
      <c r="F268" s="78" t="s">
        <v>83</v>
      </c>
      <c r="G268" s="78" t="s">
        <v>85</v>
      </c>
      <c r="H268" s="78" t="s">
        <v>85</v>
      </c>
      <c r="I268" s="79" t="s">
        <v>85</v>
      </c>
    </row>
    <row r="269" hidden="1" outlineLevel="2">
      <c r="A269" s="64" t="s">
        <v>86</v>
      </c>
      <c r="B269" s="194">
        <f>IF(B259&lt;B260,B260,B259) *
IF(B267="AM",
    IF(B268="Oricle",3.5,
    IF(B268="Other Brands",4,
    IF(B268="Oricle Prio",0.6,""))),
 IF(B267="MID",
    IF(B268="Oricle",2.5,
    IF(B268="Other Brands",3,
    IF(B268="Oricle Prio",0.6,""))),
 IF(B267="GY",
    IF(B268="Oricle",1,
    IF(B268="Other Brands",1,
    IF(B268="Oricle Prio",0.3,""))),"")))-10</f>
        <v>128.24</v>
      </c>
      <c r="C269" s="204">
        <f>IF(C259&lt;C260,C260,C259) *
IF(C267="AM",
    IF(C268="Oricle",3,
    IF(C268="Other Brands",4,
    IF(C268="Oricle Prio",0.6,""))),
 IF(C267="MID",
    IF(C268="Oricle",2.5,
    IF(C268="Other Brands",3,
    IF(C268="Oricle Prio",0.6,""))),
 IF(C267="GY",
    IF(C268="Oricle",1,
    IF(C268="Other Brands",1,
    IF(C268="Oricle Prio",0.3,""))),"")))</f>
        <v>120</v>
      </c>
      <c r="D269" s="204">
        <f>IF(D259&lt;D260,D260,D259) *
IF(D267="AM",
    IF(D268="Oricle",3.5,
    IF(D268="Other Brands",4,
    IF(D268="Oricle Prio",0.6,""))),
 IF(D267="MID",
    IF(D268="Oricle",2.5,
    IF(D268="Other Brands",3,
    IF(D268="Oricle Prio",0.6,""))),
 IF(D267="GY",
    IF(D268="Oricle",1,
    IF(D268="Other Brands",1,
    IF(D268="Oricle Prio",0.3,""))),"")))</f>
        <v>170.04</v>
      </c>
      <c r="E269" s="204">
        <f>IF(E259&lt;E260,E260,E259) *
IF(E267="AM",
    IF(E268="Oricle",3.5,
    IF(E268="Other Brands",4,
    IF(E268="Oricle Prio",0.6,""))),
 IF(E267="MID",
    IF(E268="Oricle",2.5,
    IF(E268="Other Brands",3,
    IF(E268="Oricle Prio",0.6,""))),
 IF(E267="GY",
    IF(E268="Oricle",1,
    IF(E268="Other Brands",1,
    IF(E268="Oricle Prio",0.3,""))),"")))-12</f>
        <v>93.125</v>
      </c>
      <c r="F269" s="204">
        <f>IF(F259&lt;F260,F260,F259) *
IF(F267="AM",
    IF(F268="Oricle",3.5,
    IF(F268="Other Brands",4,
    IF(F268="Oricle Prio",0.6,""))),
 IF(F267="MID",
    IF(F268="Oricle",2.5,
    IF(F268="Other Brands",3,
    IF(F268="Oricle Prio",0.6,""))),
 IF(F267="GY",
    IF(F268="Oricle",1,
    IF(F268="Other Brands",1,
    IF(F268="Oricle Prio",0.3,""))),"")))</f>
        <v>126.39</v>
      </c>
      <c r="G269" s="204">
        <f>IF(G259&lt;G260,G260,G259) *
IF(G267="AM",
    IF(G268="Oricle",3,
    IF(G268="Other Brands",4,
    IF(G268="Oricle Prio",0.6,""))),
 IF(G267="MID",
    IF(G268="Oricle",2.5,
    IF(G268="Other Brands",3,
    IF(G268="Oricle Prio",0.6,""))),
 IF(G267="GY",
    IF(G268="Oricle",1,
    IF(G268="Other Brands",1,
    IF(G268="Oricle Prio",0.3,""))),"")))</f>
        <v>147.81</v>
      </c>
      <c r="H269" s="204">
        <f>IF(H259&lt;H260,H260,H259) *
IF(H267="AM",
    IF(H268="Oricle",3.5,
    IF(H268="Other Brands",4,
    IF(H268="Oricle Prio",0.6,""))),
 IF(H267="MID",
    IF(H268="Oricle",2.5,
    IF(H268="Other Brands",3,
    IF(H268="Oricle Prio",0.6,""))),
 IF(H267="GY",
    IF(H268="Oricle",1,
    IF(H268="Other Brands",1,
    IF(H268="Oricle Prio",0.3,""))),"")))</f>
        <v>113.325</v>
      </c>
      <c r="I269" s="261">
        <v>70.0</v>
      </c>
    </row>
    <row r="270" hidden="1" outlineLevel="2">
      <c r="A270" s="64" t="s">
        <v>98</v>
      </c>
      <c r="B270" s="266" t="s">
        <v>441</v>
      </c>
      <c r="C270" s="77" t="s">
        <v>442</v>
      </c>
      <c r="D270" s="77" t="s">
        <v>255</v>
      </c>
      <c r="E270" s="77" t="s">
        <v>443</v>
      </c>
      <c r="F270" s="77" t="s">
        <v>444</v>
      </c>
      <c r="G270" s="77" t="s">
        <v>254</v>
      </c>
      <c r="H270" s="77" t="s">
        <v>445</v>
      </c>
      <c r="I270" s="258" t="s">
        <v>446</v>
      </c>
    </row>
    <row r="271" hidden="1" outlineLevel="2">
      <c r="A271" s="64" t="s">
        <v>107</v>
      </c>
      <c r="B271" s="266" t="s">
        <v>447</v>
      </c>
      <c r="C271" s="77" t="s">
        <v>442</v>
      </c>
      <c r="D271" s="77" t="s">
        <v>99</v>
      </c>
      <c r="E271" s="77" t="s">
        <v>408</v>
      </c>
      <c r="F271" s="77" t="s">
        <v>110</v>
      </c>
      <c r="G271" s="77" t="s">
        <v>254</v>
      </c>
      <c r="H271" s="77" t="s">
        <v>296</v>
      </c>
      <c r="I271" s="258" t="s">
        <v>448</v>
      </c>
    </row>
    <row r="272" hidden="1" outlineLevel="2">
      <c r="A272" s="69" t="s">
        <v>115</v>
      </c>
      <c r="B272" s="108">
        <f t="shared" ref="B272:I272" si="105">IF(B270&gt;0,B271/B270,0)</f>
        <v>0.9814814815</v>
      </c>
      <c r="C272" s="110">
        <f t="shared" si="105"/>
        <v>1</v>
      </c>
      <c r="D272" s="110">
        <f t="shared" si="105"/>
        <v>0.9795918367</v>
      </c>
      <c r="E272" s="110">
        <f t="shared" si="105"/>
        <v>0.972972973</v>
      </c>
      <c r="F272" s="110">
        <f t="shared" si="105"/>
        <v>0.984962406</v>
      </c>
      <c r="G272" s="110">
        <f t="shared" si="105"/>
        <v>1</v>
      </c>
      <c r="H272" s="110">
        <f t="shared" si="105"/>
        <v>0.9908256881</v>
      </c>
      <c r="I272" s="111">
        <f t="shared" si="105"/>
        <v>0.9885057471</v>
      </c>
    </row>
    <row r="273" hidden="1" outlineLevel="2">
      <c r="A273" s="69" t="s">
        <v>119</v>
      </c>
      <c r="B273" s="108">
        <f t="shared" ref="B273:I273" si="106">IF(B269&gt;0,B271/B269,0)</f>
        <v>1.239862757</v>
      </c>
      <c r="C273" s="110">
        <f t="shared" si="106"/>
        <v>0.9166666667</v>
      </c>
      <c r="D273" s="110">
        <f t="shared" si="106"/>
        <v>0.8468595625</v>
      </c>
      <c r="E273" s="110">
        <f t="shared" si="106"/>
        <v>0.7731543624</v>
      </c>
      <c r="F273" s="110">
        <f t="shared" si="106"/>
        <v>1.036474405</v>
      </c>
      <c r="G273" s="110">
        <f t="shared" si="106"/>
        <v>0.9201001285</v>
      </c>
      <c r="H273" s="110">
        <f t="shared" si="106"/>
        <v>0.9530112508</v>
      </c>
      <c r="I273" s="111">
        <f t="shared" si="106"/>
        <v>1.228571429</v>
      </c>
    </row>
    <row r="274" hidden="1" outlineLevel="2">
      <c r="A274" s="116" t="s">
        <v>82</v>
      </c>
      <c r="B274" s="252">
        <f t="shared" ref="B274:I274" si="107">average(B272:B273)</f>
        <v>1.110672119</v>
      </c>
      <c r="C274" s="253">
        <f t="shared" si="107"/>
        <v>0.9583333333</v>
      </c>
      <c r="D274" s="253">
        <f t="shared" si="107"/>
        <v>0.9132256996</v>
      </c>
      <c r="E274" s="253">
        <f t="shared" si="107"/>
        <v>0.8730636677</v>
      </c>
      <c r="F274" s="253">
        <f t="shared" si="107"/>
        <v>1.010718405</v>
      </c>
      <c r="G274" s="253">
        <f t="shared" si="107"/>
        <v>0.9600500643</v>
      </c>
      <c r="H274" s="253">
        <f t="shared" si="107"/>
        <v>0.9719184695</v>
      </c>
      <c r="I274" s="256">
        <f t="shared" si="107"/>
        <v>1.108538588</v>
      </c>
    </row>
    <row r="275" hidden="1" outlineLevel="2">
      <c r="A275" s="32" t="s">
        <v>121</v>
      </c>
      <c r="B275" s="316"/>
      <c r="C275" s="2"/>
      <c r="D275" s="2"/>
      <c r="E275" s="2"/>
      <c r="F275" s="2"/>
      <c r="G275" s="2"/>
      <c r="H275" s="2"/>
      <c r="I275" s="3"/>
    </row>
    <row r="276" hidden="1" outlineLevel="2">
      <c r="A276" s="64" t="s">
        <v>122</v>
      </c>
      <c r="B276" s="246">
        <v>10.0</v>
      </c>
      <c r="C276" s="247">
        <v>9.98</v>
      </c>
      <c r="D276" s="247">
        <v>9.18</v>
      </c>
      <c r="E276" s="247">
        <v>9.6</v>
      </c>
      <c r="F276" s="310">
        <v>9.98</v>
      </c>
      <c r="G276" s="247">
        <v>9.33</v>
      </c>
      <c r="H276" s="247">
        <v>9.33</v>
      </c>
      <c r="I276" s="248">
        <v>10.0</v>
      </c>
    </row>
    <row r="277" hidden="1" outlineLevel="2">
      <c r="A277" s="69" t="s">
        <v>128</v>
      </c>
      <c r="B277" s="119">
        <v>10.0</v>
      </c>
      <c r="C277" s="120">
        <v>10.0</v>
      </c>
      <c r="D277" s="120">
        <v>10.0</v>
      </c>
      <c r="E277" s="120">
        <v>10.0</v>
      </c>
      <c r="F277" s="120">
        <v>10.0</v>
      </c>
      <c r="G277" s="120">
        <v>10.0</v>
      </c>
      <c r="H277" s="120">
        <v>10.0</v>
      </c>
      <c r="I277" s="121">
        <v>10.0</v>
      </c>
    </row>
    <row r="278" hidden="1" outlineLevel="2">
      <c r="A278" s="54" t="s">
        <v>130</v>
      </c>
      <c r="B278" s="252">
        <f t="shared" ref="B278:I278" si="108">IF(B276=0,0,B276/B277)</f>
        <v>1</v>
      </c>
      <c r="C278" s="253">
        <f t="shared" si="108"/>
        <v>0.998</v>
      </c>
      <c r="D278" s="253">
        <f t="shared" si="108"/>
        <v>0.918</v>
      </c>
      <c r="E278" s="253">
        <f t="shared" si="108"/>
        <v>0.96</v>
      </c>
      <c r="F278" s="253">
        <f t="shared" si="108"/>
        <v>0.998</v>
      </c>
      <c r="G278" s="253">
        <f t="shared" si="108"/>
        <v>0.933</v>
      </c>
      <c r="H278" s="253">
        <f t="shared" si="108"/>
        <v>0.933</v>
      </c>
      <c r="I278" s="256">
        <f t="shared" si="108"/>
        <v>1</v>
      </c>
    </row>
    <row r="279" hidden="1" outlineLevel="2">
      <c r="A279" s="32" t="s">
        <v>131</v>
      </c>
      <c r="B279" s="34"/>
      <c r="C279" s="2"/>
      <c r="D279" s="2"/>
      <c r="E279" s="2"/>
      <c r="F279" s="2"/>
      <c r="G279" s="2"/>
      <c r="H279" s="2"/>
      <c r="I279" s="36"/>
    </row>
    <row r="280" hidden="1" outlineLevel="2">
      <c r="A280" s="64" t="s">
        <v>132</v>
      </c>
      <c r="B280" s="312"/>
      <c r="C280" s="313"/>
      <c r="D280" s="332"/>
      <c r="E280" s="313"/>
      <c r="F280" s="313"/>
      <c r="G280" s="313"/>
      <c r="H280" s="313"/>
      <c r="I280" s="314"/>
    </row>
    <row r="281" hidden="1" outlineLevel="2">
      <c r="A281" s="127" t="s">
        <v>134</v>
      </c>
      <c r="B281" s="34"/>
      <c r="C281" s="2"/>
      <c r="D281" s="2"/>
      <c r="E281" s="2"/>
      <c r="F281" s="2"/>
      <c r="G281" s="2"/>
      <c r="H281" s="2"/>
      <c r="I281" s="36"/>
    </row>
    <row r="282" hidden="1" outlineLevel="2">
      <c r="A282" s="69" t="s">
        <v>136</v>
      </c>
      <c r="B282" s="129">
        <f t="shared" ref="B282:I282" si="109">B261*25</f>
        <v>30.31578947</v>
      </c>
      <c r="C282" s="130">
        <f t="shared" si="109"/>
        <v>23.975</v>
      </c>
      <c r="D282" s="130">
        <f t="shared" si="109"/>
        <v>26.56875</v>
      </c>
      <c r="E282" s="130">
        <f t="shared" si="109"/>
        <v>26.28125</v>
      </c>
      <c r="F282" s="130">
        <f t="shared" si="109"/>
        <v>27.71710526</v>
      </c>
      <c r="G282" s="130">
        <f t="shared" si="109"/>
        <v>30.79375</v>
      </c>
      <c r="H282" s="130">
        <f t="shared" si="109"/>
        <v>28.33125</v>
      </c>
      <c r="I282" s="132">
        <f t="shared" si="109"/>
        <v>28.3375</v>
      </c>
    </row>
    <row r="283" hidden="1" outlineLevel="2">
      <c r="A283" s="69" t="s">
        <v>144</v>
      </c>
      <c r="B283" s="129">
        <f t="shared" ref="B283:I283" si="110">B265*35</f>
        <v>35</v>
      </c>
      <c r="C283" s="130">
        <f t="shared" si="110"/>
        <v>35</v>
      </c>
      <c r="D283" s="130">
        <f t="shared" si="110"/>
        <v>29.575</v>
      </c>
      <c r="E283" s="130">
        <f t="shared" si="110"/>
        <v>35</v>
      </c>
      <c r="F283" s="130">
        <f t="shared" si="110"/>
        <v>35</v>
      </c>
      <c r="G283" s="130">
        <f t="shared" si="110"/>
        <v>35</v>
      </c>
      <c r="H283" s="130">
        <f t="shared" si="110"/>
        <v>35</v>
      </c>
      <c r="I283" s="132">
        <f t="shared" si="110"/>
        <v>35</v>
      </c>
    </row>
    <row r="284" hidden="1" outlineLevel="2">
      <c r="A284" s="69" t="s">
        <v>146</v>
      </c>
      <c r="B284" s="129">
        <f t="shared" ref="B284:I284" si="111">IF(AND(B265&lt;85%, B274&gt;100%), 25, B274*25)</f>
        <v>27.76680299</v>
      </c>
      <c r="C284" s="130">
        <f t="shared" si="111"/>
        <v>23.95833333</v>
      </c>
      <c r="D284" s="130">
        <f t="shared" si="111"/>
        <v>22.83064249</v>
      </c>
      <c r="E284" s="130">
        <f t="shared" si="111"/>
        <v>21.82659169</v>
      </c>
      <c r="F284" s="130">
        <f t="shared" si="111"/>
        <v>25.26796013</v>
      </c>
      <c r="G284" s="130">
        <f t="shared" si="111"/>
        <v>24.00125161</v>
      </c>
      <c r="H284" s="130">
        <f t="shared" si="111"/>
        <v>24.29796174</v>
      </c>
      <c r="I284" s="132">
        <f t="shared" si="111"/>
        <v>27.7134647</v>
      </c>
    </row>
    <row r="285" hidden="1" outlineLevel="2">
      <c r="A285" s="69" t="s">
        <v>148</v>
      </c>
      <c r="B285" s="129">
        <f t="shared" ref="B285:I285" si="112">B278*15</f>
        <v>15</v>
      </c>
      <c r="C285" s="130">
        <f t="shared" si="112"/>
        <v>14.97</v>
      </c>
      <c r="D285" s="130">
        <f t="shared" si="112"/>
        <v>13.77</v>
      </c>
      <c r="E285" s="130">
        <f t="shared" si="112"/>
        <v>14.4</v>
      </c>
      <c r="F285" s="130">
        <f t="shared" si="112"/>
        <v>14.97</v>
      </c>
      <c r="G285" s="130">
        <f t="shared" si="112"/>
        <v>13.995</v>
      </c>
      <c r="H285" s="130">
        <f t="shared" si="112"/>
        <v>13.995</v>
      </c>
      <c r="I285" s="132">
        <f t="shared" si="112"/>
        <v>15</v>
      </c>
    </row>
    <row r="286" hidden="1" outlineLevel="2">
      <c r="A286" s="69" t="s">
        <v>149</v>
      </c>
      <c r="B286" s="129">
        <f t="shared" ref="B286:I286" si="113">B280*-10</f>
        <v>0</v>
      </c>
      <c r="C286" s="130">
        <f t="shared" si="113"/>
        <v>0</v>
      </c>
      <c r="D286" s="130">
        <f t="shared" si="113"/>
        <v>0</v>
      </c>
      <c r="E286" s="130">
        <f t="shared" si="113"/>
        <v>0</v>
      </c>
      <c r="F286" s="130">
        <f t="shared" si="113"/>
        <v>0</v>
      </c>
      <c r="G286" s="130">
        <f t="shared" si="113"/>
        <v>0</v>
      </c>
      <c r="H286" s="130">
        <f t="shared" si="113"/>
        <v>0</v>
      </c>
      <c r="I286" s="132">
        <f t="shared" si="113"/>
        <v>0</v>
      </c>
    </row>
    <row r="287" hidden="1" outlineLevel="2">
      <c r="A287" s="142" t="s">
        <v>150</v>
      </c>
      <c r="B287" s="129">
        <f t="shared" ref="B287:I287" si="114">B282+B283+B284+B285+B286</f>
        <v>108.0825925</v>
      </c>
      <c r="C287" s="130">
        <f t="shared" si="114"/>
        <v>97.90333333</v>
      </c>
      <c r="D287" s="130">
        <f t="shared" si="114"/>
        <v>92.74439249</v>
      </c>
      <c r="E287" s="130">
        <f t="shared" si="114"/>
        <v>97.50784169</v>
      </c>
      <c r="F287" s="130">
        <f t="shared" si="114"/>
        <v>102.9550654</v>
      </c>
      <c r="G287" s="130">
        <f t="shared" si="114"/>
        <v>103.7900016</v>
      </c>
      <c r="H287" s="130">
        <f t="shared" si="114"/>
        <v>101.6242117</v>
      </c>
      <c r="I287" s="132">
        <f t="shared" si="114"/>
        <v>106.0509647</v>
      </c>
    </row>
    <row r="288" hidden="1" outlineLevel="2">
      <c r="A288" s="54" t="s">
        <v>152</v>
      </c>
      <c r="B288" s="58">
        <f t="shared" ref="B288:I288" si="115">B287/100</f>
        <v>1.080825925</v>
      </c>
      <c r="C288" s="61">
        <f t="shared" si="115"/>
        <v>0.9790333333</v>
      </c>
      <c r="D288" s="378">
        <f t="shared" si="115"/>
        <v>0.9274439249</v>
      </c>
      <c r="E288" s="61">
        <f t="shared" si="115"/>
        <v>0.9750784169</v>
      </c>
      <c r="F288" s="61">
        <f t="shared" si="115"/>
        <v>1.029550654</v>
      </c>
      <c r="G288" s="61">
        <f t="shared" si="115"/>
        <v>1.037900016</v>
      </c>
      <c r="H288" s="61">
        <f t="shared" si="115"/>
        <v>1.016242117</v>
      </c>
      <c r="I288" s="62">
        <f t="shared" si="115"/>
        <v>1.060509647</v>
      </c>
    </row>
    <row r="289" hidden="1" outlineLevel="2">
      <c r="A289" s="127" t="s">
        <v>154</v>
      </c>
      <c r="B289" s="349" t="s">
        <v>156</v>
      </c>
      <c r="C289" s="349" t="s">
        <v>155</v>
      </c>
      <c r="D289" s="349" t="s">
        <v>155</v>
      </c>
      <c r="E289" s="349" t="s">
        <v>155</v>
      </c>
      <c r="F289" s="349" t="s">
        <v>155</v>
      </c>
      <c r="G289" s="349" t="s">
        <v>155</v>
      </c>
      <c r="H289" s="349" t="s">
        <v>155</v>
      </c>
      <c r="I289" s="349" t="s">
        <v>155</v>
      </c>
    </row>
    <row r="290" hidden="1" outlineLevel="2">
      <c r="A290" s="127" t="s">
        <v>158</v>
      </c>
      <c r="B290" s="156"/>
      <c r="C290" s="157"/>
      <c r="D290" s="337"/>
      <c r="E290" s="157"/>
      <c r="F290" s="157"/>
      <c r="G290" s="157"/>
      <c r="H290" s="157"/>
      <c r="I290" s="352"/>
    </row>
    <row r="291" hidden="1" outlineLevel="1" collapsed="1">
      <c r="A291" s="12"/>
      <c r="B291" s="13" t="s">
        <v>457</v>
      </c>
      <c r="C291" s="14"/>
      <c r="D291" s="14"/>
      <c r="E291" s="14"/>
      <c r="F291" s="14"/>
      <c r="G291" s="14"/>
      <c r="H291" s="14"/>
      <c r="I291" s="15"/>
    </row>
    <row r="292" hidden="1" outlineLevel="2">
      <c r="A292" s="164"/>
      <c r="B292" s="302" t="s">
        <v>29</v>
      </c>
      <c r="C292" s="303" t="s">
        <v>4</v>
      </c>
      <c r="D292" s="303" t="s">
        <v>19</v>
      </c>
      <c r="E292" s="303" t="s">
        <v>30</v>
      </c>
      <c r="F292" s="303" t="s">
        <v>31</v>
      </c>
      <c r="G292" s="304" t="s">
        <v>32</v>
      </c>
      <c r="H292" s="305" t="s">
        <v>13</v>
      </c>
      <c r="I292" s="305" t="s">
        <v>350</v>
      </c>
    </row>
    <row r="293" hidden="1" outlineLevel="2">
      <c r="A293" s="25" t="s">
        <v>36</v>
      </c>
      <c r="B293" s="243" t="s">
        <v>457</v>
      </c>
      <c r="C293" s="244"/>
      <c r="D293" s="244"/>
      <c r="E293" s="244"/>
      <c r="F293" s="244"/>
      <c r="G293" s="244"/>
      <c r="H293" s="244"/>
      <c r="I293" s="245"/>
    </row>
    <row r="294" hidden="1" outlineLevel="2">
      <c r="A294" s="32" t="s">
        <v>45</v>
      </c>
      <c r="B294" s="34"/>
      <c r="C294" s="2"/>
      <c r="D294" s="2"/>
      <c r="E294" s="2"/>
      <c r="F294" s="2"/>
      <c r="G294" s="2"/>
      <c r="H294" s="2"/>
      <c r="I294" s="36"/>
    </row>
    <row r="295" hidden="1" outlineLevel="2">
      <c r="A295" s="38" t="s">
        <v>49</v>
      </c>
      <c r="B295" s="246">
        <v>40.04</v>
      </c>
      <c r="C295" s="247">
        <v>41.02</v>
      </c>
      <c r="D295" s="380">
        <v>40.3</v>
      </c>
      <c r="E295" s="247">
        <f>40.05-2</f>
        <v>38.05</v>
      </c>
      <c r="F295" s="247">
        <v>39.2</v>
      </c>
      <c r="G295" s="247">
        <v>43.04</v>
      </c>
      <c r="H295" s="247">
        <v>26.2</v>
      </c>
      <c r="I295" s="345">
        <v>37.5</v>
      </c>
    </row>
    <row r="296" hidden="1" outlineLevel="2">
      <c r="A296" s="49" t="s">
        <v>53</v>
      </c>
      <c r="B296" s="383">
        <v>38.0</v>
      </c>
      <c r="C296" s="51">
        <v>40.0</v>
      </c>
      <c r="D296" s="51">
        <v>40.0</v>
      </c>
      <c r="E296" s="51">
        <v>40.0</v>
      </c>
      <c r="F296" s="250">
        <v>38.0</v>
      </c>
      <c r="G296" s="51">
        <v>40.0</v>
      </c>
      <c r="H296" s="51">
        <v>40.0</v>
      </c>
      <c r="I296" s="346">
        <v>40.0</v>
      </c>
    </row>
    <row r="297" hidden="1" outlineLevel="2">
      <c r="A297" s="54" t="s">
        <v>57</v>
      </c>
      <c r="B297" s="252">
        <f t="shared" ref="B297:I297" si="116">B295/B296</f>
        <v>1.053684211</v>
      </c>
      <c r="C297" s="253">
        <f t="shared" si="116"/>
        <v>1.0255</v>
      </c>
      <c r="D297" s="253">
        <f t="shared" si="116"/>
        <v>1.0075</v>
      </c>
      <c r="E297" s="253">
        <f t="shared" si="116"/>
        <v>0.95125</v>
      </c>
      <c r="F297" s="253">
        <f t="shared" si="116"/>
        <v>1.031578947</v>
      </c>
      <c r="G297" s="253">
        <f t="shared" si="116"/>
        <v>1.076</v>
      </c>
      <c r="H297" s="253">
        <f t="shared" si="116"/>
        <v>0.655</v>
      </c>
      <c r="I297" s="256">
        <f t="shared" si="116"/>
        <v>0.9375</v>
      </c>
    </row>
    <row r="298" hidden="1" outlineLevel="2">
      <c r="A298" s="32" t="s">
        <v>66</v>
      </c>
      <c r="B298" s="34"/>
      <c r="C298" s="2"/>
      <c r="D298" s="2"/>
      <c r="E298" s="2"/>
      <c r="F298" s="2"/>
      <c r="G298" s="2"/>
      <c r="H298" s="2"/>
      <c r="I298" s="36"/>
    </row>
    <row r="299" hidden="1" outlineLevel="2">
      <c r="A299" s="64" t="s">
        <v>67</v>
      </c>
      <c r="B299" s="175">
        <v>40.04</v>
      </c>
      <c r="C299" s="176">
        <v>40.0</v>
      </c>
      <c r="D299" s="176">
        <v>32.0</v>
      </c>
      <c r="E299" s="176">
        <v>40.0</v>
      </c>
      <c r="F299" s="176">
        <v>40.0</v>
      </c>
      <c r="G299" s="176">
        <v>40.0</v>
      </c>
      <c r="H299" s="176">
        <v>40.0</v>
      </c>
      <c r="I299" s="386">
        <v>39.7</v>
      </c>
    </row>
    <row r="300" hidden="1" outlineLevel="2">
      <c r="A300" s="69" t="s">
        <v>72</v>
      </c>
      <c r="B300" s="186">
        <v>40.0</v>
      </c>
      <c r="C300" s="187">
        <v>40.0</v>
      </c>
      <c r="D300" s="187">
        <v>40.0</v>
      </c>
      <c r="E300" s="187">
        <v>40.0</v>
      </c>
      <c r="F300" s="187">
        <v>40.0</v>
      </c>
      <c r="G300" s="187">
        <v>40.0</v>
      </c>
      <c r="H300" s="187">
        <v>40.0</v>
      </c>
      <c r="I300" s="188">
        <v>40.0</v>
      </c>
    </row>
    <row r="301" hidden="1" outlineLevel="2">
      <c r="A301" s="54" t="s">
        <v>74</v>
      </c>
      <c r="B301" s="252">
        <f t="shared" ref="B301:I301" si="117">B299/B300</f>
        <v>1.001</v>
      </c>
      <c r="C301" s="253">
        <f t="shared" si="117"/>
        <v>1</v>
      </c>
      <c r="D301" s="253">
        <f t="shared" si="117"/>
        <v>0.8</v>
      </c>
      <c r="E301" s="253">
        <f t="shared" si="117"/>
        <v>1</v>
      </c>
      <c r="F301" s="253">
        <f t="shared" si="117"/>
        <v>1</v>
      </c>
      <c r="G301" s="253">
        <f t="shared" si="117"/>
        <v>1</v>
      </c>
      <c r="H301" s="253">
        <f t="shared" si="117"/>
        <v>1</v>
      </c>
      <c r="I301" s="256">
        <f t="shared" si="117"/>
        <v>0.9925</v>
      </c>
    </row>
    <row r="302" hidden="1" outlineLevel="2">
      <c r="A302" s="32" t="s">
        <v>75</v>
      </c>
      <c r="B302" s="34"/>
      <c r="C302" s="2"/>
      <c r="D302" s="2"/>
      <c r="E302" s="2"/>
      <c r="F302" s="2"/>
      <c r="G302" s="2"/>
      <c r="H302" s="2"/>
      <c r="I302" s="36"/>
    </row>
    <row r="303" hidden="1" outlineLevel="2">
      <c r="A303" s="64" t="s">
        <v>76</v>
      </c>
      <c r="B303" s="185" t="s">
        <v>79</v>
      </c>
      <c r="C303" s="78" t="s">
        <v>80</v>
      </c>
      <c r="D303" s="78" t="s">
        <v>80</v>
      </c>
      <c r="E303" s="78" t="s">
        <v>79</v>
      </c>
      <c r="F303" s="78" t="s">
        <v>79</v>
      </c>
      <c r="G303" s="77" t="s">
        <v>80</v>
      </c>
      <c r="H303" s="78" t="s">
        <v>79</v>
      </c>
      <c r="I303" s="79" t="s">
        <v>79</v>
      </c>
    </row>
    <row r="304" hidden="1" outlineLevel="2">
      <c r="A304" s="64" t="s">
        <v>81</v>
      </c>
      <c r="B304" s="185" t="s">
        <v>83</v>
      </c>
      <c r="C304" s="78" t="s">
        <v>85</v>
      </c>
      <c r="D304" s="78" t="s">
        <v>83</v>
      </c>
      <c r="E304" s="78" t="s">
        <v>85</v>
      </c>
      <c r="F304" s="78" t="s">
        <v>83</v>
      </c>
      <c r="G304" s="78" t="s">
        <v>85</v>
      </c>
      <c r="H304" s="78" t="s">
        <v>85</v>
      </c>
      <c r="I304" s="79" t="s">
        <v>85</v>
      </c>
    </row>
    <row r="305" hidden="1" outlineLevel="2">
      <c r="A305" s="64" t="s">
        <v>86</v>
      </c>
      <c r="B305" s="194">
        <f>IF(B295&lt;B296,B296,B295) *
IF(B303="AM",
    IF(B304="Oricle",3.5,
    IF(B304="Other Brands",4,
    IF(B304="Oricle Prio",0.6,""))),
 IF(B303="MID",
    IF(B304="Oricle",2.5,
    IF(B304="Other Brands",3,
    IF(B304="Oricle Prio",0.6,""))),
 IF(B303="GY",
    IF(B304="Oricle",1,
    IF(B304="Other Brands",1,
    IF(B304="Oricle Prio",0.3,""))),"")))-10</f>
        <v>110.12</v>
      </c>
      <c r="C305" s="204">
        <f>IF(C295&lt;C296,C296,C295) *
IF(C303="AM",
    IF(C304="Oricle",3,
    IF(C304="Other Brands",4,
    IF(C304="Oricle Prio",0.6,""))),
 IF(C303="MID",
    IF(C304="Oricle",2.5,
    IF(C304="Other Brands",3,
    IF(C304="Oricle Prio",0.6,""))),
 IF(C303="GY",
    IF(C304="Oricle",1,
    IF(C304="Other Brands",1,
    IF(C304="Oricle Prio",0.3,""))),"")))</f>
        <v>123.06</v>
      </c>
      <c r="D305" s="204">
        <f>IF(D295&lt;D296,D296,D295) *
IF(D303="AM",
    IF(D304="Oricle",3.5,
    IF(D304="Other Brands",4,
    IF(D304="Oricle Prio",0.6,""))),
 IF(D303="MID",
    IF(D304="Oricle",2.5,
    IF(D304="Other Brands",3,
    IF(D304="Oricle Prio",0.6,""))),
 IF(D303="GY",
    IF(D304="Oricle",1,
    IF(D304="Other Brands",1,
    IF(D304="Oricle Prio",0.3,""))),"")))</f>
        <v>161.2</v>
      </c>
      <c r="E305" s="204">
        <f>IF(E295&lt;E296,E296,E295) *
IF(E303="AM",
    IF(E304="Oricle",3.5,
    IF(E304="Other Brands",4,
    IF(E304="Oricle Prio",0.6,""))),
 IF(E303="MID",
    IF(E304="Oricle",2.5,
    IF(E304="Other Brands",3,
    IF(E304="Oricle Prio",0.6,""))),
 IF(E303="GY",
    IF(E304="Oricle",1,
    IF(E304="Other Brands",1,
    IF(E304="Oricle Prio",0.3,""))),"")))-12</f>
        <v>88</v>
      </c>
      <c r="F305" s="204">
        <f>IF(F295&lt;F296,F296,F295) *
IF(F303="AM",
    IF(F304="Oricle",3.5,
    IF(F304="Other Brands",4,
    IF(F304="Oricle Prio",0.6,""))),
 IF(F303="MID",
    IF(F304="Oricle",2.5,
    IF(F304="Other Brands",3,
    IF(F304="Oricle Prio",0.6,""))),
 IF(F303="GY",
    IF(F304="Oricle",1,
    IF(F304="Other Brands",1,
    IF(F304="Oricle Prio",0.3,""))),"")))</f>
        <v>117.6</v>
      </c>
      <c r="G305" s="204">
        <f>IF(G295&lt;G296,G296,G295) *
IF(G303="AM",
    IF(G304="Oricle",3,
    IF(G304="Other Brands",4,
    IF(G304="Oricle Prio",0.6,""))),
 IF(G303="MID",
    IF(G304="Oricle",2.5,
    IF(G304="Other Brands",3,
    IF(G304="Oricle Prio",0.6,""))),
 IF(G303="GY",
    IF(G304="Oricle",1,
    IF(G304="Other Brands",1,
    IF(G304="Oricle Prio",0.3,""))),"")))</f>
        <v>129.12</v>
      </c>
      <c r="H305" s="204">
        <f>IF(H295&lt;H296,H296,H295) *
IF(H303="AM",
    IF(H304="Oricle",3.5,
    IF(H304="Other Brands",4,
    IF(H304="Oricle Prio",0.6,""))),
 IF(H303="MID",
    IF(H304="Oricle",2.5,
    IF(H304="Other Brands",3,
    IF(H304="Oricle Prio",0.6,""))),
 IF(H303="GY",
    IF(H304="Oricle",1,
    IF(H304="Other Brands",1,
    IF(H304="Oricle Prio",0.3,""))),"")))</f>
        <v>100</v>
      </c>
      <c r="I305" s="261">
        <v>70.0</v>
      </c>
    </row>
    <row r="306" hidden="1" outlineLevel="2">
      <c r="A306" s="64" t="s">
        <v>98</v>
      </c>
      <c r="B306" s="266" t="s">
        <v>478</v>
      </c>
      <c r="C306" s="77" t="s">
        <v>479</v>
      </c>
      <c r="D306" s="77" t="s">
        <v>257</v>
      </c>
      <c r="E306" s="77" t="s">
        <v>296</v>
      </c>
      <c r="F306" s="77" t="s">
        <v>480</v>
      </c>
      <c r="G306" s="77" t="s">
        <v>481</v>
      </c>
      <c r="H306" s="77" t="s">
        <v>412</v>
      </c>
      <c r="I306" s="258" t="s">
        <v>412</v>
      </c>
    </row>
    <row r="307" hidden="1" outlineLevel="2">
      <c r="A307" s="64" t="s">
        <v>107</v>
      </c>
      <c r="B307" s="266" t="s">
        <v>110</v>
      </c>
      <c r="C307" s="77" t="s">
        <v>479</v>
      </c>
      <c r="D307" s="77" t="s">
        <v>483</v>
      </c>
      <c r="E307" s="77" t="s">
        <v>301</v>
      </c>
      <c r="F307" s="77" t="s">
        <v>303</v>
      </c>
      <c r="G307" s="77" t="s">
        <v>481</v>
      </c>
      <c r="H307" s="77" t="s">
        <v>484</v>
      </c>
      <c r="I307" s="258" t="s">
        <v>412</v>
      </c>
    </row>
    <row r="308" hidden="1" outlineLevel="2">
      <c r="A308" s="69" t="s">
        <v>115</v>
      </c>
      <c r="B308" s="108">
        <f t="shared" ref="B308:I308" si="118">IF(B306&gt;0,B307/B306,0)</f>
        <v>0.9703703704</v>
      </c>
      <c r="C308" s="110">
        <f t="shared" si="118"/>
        <v>1</v>
      </c>
      <c r="D308" s="110">
        <f t="shared" si="118"/>
        <v>0.9937888199</v>
      </c>
      <c r="E308" s="110">
        <f t="shared" si="118"/>
        <v>0.9814814815</v>
      </c>
      <c r="F308" s="110">
        <f t="shared" si="118"/>
        <v>0.9514563107</v>
      </c>
      <c r="G308" s="110">
        <f t="shared" si="118"/>
        <v>1</v>
      </c>
      <c r="H308" s="110">
        <f t="shared" si="118"/>
        <v>0.9857142857</v>
      </c>
      <c r="I308" s="111">
        <f t="shared" si="118"/>
        <v>1</v>
      </c>
    </row>
    <row r="309" hidden="1" outlineLevel="2">
      <c r="A309" s="69" t="s">
        <v>119</v>
      </c>
      <c r="B309" s="108">
        <f t="shared" ref="B309:I309" si="119">IF(B305&gt;0,B307/B305,0)</f>
        <v>1.189611333</v>
      </c>
      <c r="C309" s="110">
        <f t="shared" si="119"/>
        <v>0.9913863156</v>
      </c>
      <c r="D309" s="110">
        <f t="shared" si="119"/>
        <v>0.9925558313</v>
      </c>
      <c r="E309" s="110">
        <f t="shared" si="119"/>
        <v>1.204545455</v>
      </c>
      <c r="F309" s="110">
        <f t="shared" si="119"/>
        <v>0.8333333333</v>
      </c>
      <c r="G309" s="110">
        <f t="shared" si="119"/>
        <v>1.107496902</v>
      </c>
      <c r="H309" s="110">
        <f t="shared" si="119"/>
        <v>0.69</v>
      </c>
      <c r="I309" s="111">
        <f t="shared" si="119"/>
        <v>1</v>
      </c>
    </row>
    <row r="310" hidden="1" outlineLevel="2">
      <c r="A310" s="116" t="s">
        <v>82</v>
      </c>
      <c r="B310" s="252">
        <f t="shared" ref="B310:I310" si="120">average(B308:B309)</f>
        <v>1.079990852</v>
      </c>
      <c r="C310" s="253">
        <f t="shared" si="120"/>
        <v>0.9956931578</v>
      </c>
      <c r="D310" s="253">
        <f t="shared" si="120"/>
        <v>0.9931723256</v>
      </c>
      <c r="E310" s="253">
        <f t="shared" si="120"/>
        <v>1.093013468</v>
      </c>
      <c r="F310" s="253">
        <f t="shared" si="120"/>
        <v>0.892394822</v>
      </c>
      <c r="G310" s="253">
        <f t="shared" si="120"/>
        <v>1.053748451</v>
      </c>
      <c r="H310" s="253">
        <f t="shared" si="120"/>
        <v>0.8378571429</v>
      </c>
      <c r="I310" s="256">
        <f t="shared" si="120"/>
        <v>1</v>
      </c>
    </row>
    <row r="311" hidden="1" outlineLevel="2">
      <c r="A311" s="32" t="s">
        <v>121</v>
      </c>
      <c r="B311" s="316"/>
      <c r="C311" s="2"/>
      <c r="D311" s="2"/>
      <c r="E311" s="2"/>
      <c r="F311" s="2"/>
      <c r="G311" s="2"/>
      <c r="H311" s="2"/>
      <c r="I311" s="3"/>
    </row>
    <row r="312" hidden="1" outlineLevel="2">
      <c r="A312" s="64" t="s">
        <v>122</v>
      </c>
      <c r="B312" s="246">
        <v>9.66</v>
      </c>
      <c r="C312" s="247">
        <v>9.23</v>
      </c>
      <c r="D312" s="247">
        <v>8.95</v>
      </c>
      <c r="E312" s="247">
        <v>10.0</v>
      </c>
      <c r="F312" s="310">
        <v>9.66</v>
      </c>
      <c r="G312" s="247">
        <v>10.0</v>
      </c>
      <c r="H312" s="247">
        <v>7.33</v>
      </c>
      <c r="I312" s="248">
        <v>9.33</v>
      </c>
    </row>
    <row r="313" hidden="1" outlineLevel="2">
      <c r="A313" s="69" t="s">
        <v>128</v>
      </c>
      <c r="B313" s="119">
        <v>10.0</v>
      </c>
      <c r="C313" s="120">
        <v>10.0</v>
      </c>
      <c r="D313" s="120">
        <v>10.0</v>
      </c>
      <c r="E313" s="120">
        <v>10.0</v>
      </c>
      <c r="F313" s="120">
        <v>10.0</v>
      </c>
      <c r="G313" s="120">
        <v>10.0</v>
      </c>
      <c r="H313" s="120">
        <v>10.0</v>
      </c>
      <c r="I313" s="121">
        <v>10.0</v>
      </c>
    </row>
    <row r="314" hidden="1" outlineLevel="2">
      <c r="A314" s="54" t="s">
        <v>130</v>
      </c>
      <c r="B314" s="252">
        <f t="shared" ref="B314:I314" si="121">IF(B312=0,0,B312/B313)</f>
        <v>0.966</v>
      </c>
      <c r="C314" s="253">
        <f t="shared" si="121"/>
        <v>0.923</v>
      </c>
      <c r="D314" s="253">
        <f t="shared" si="121"/>
        <v>0.895</v>
      </c>
      <c r="E314" s="253">
        <f t="shared" si="121"/>
        <v>1</v>
      </c>
      <c r="F314" s="253">
        <f t="shared" si="121"/>
        <v>0.966</v>
      </c>
      <c r="G314" s="253">
        <f t="shared" si="121"/>
        <v>1</v>
      </c>
      <c r="H314" s="253">
        <f t="shared" si="121"/>
        <v>0.733</v>
      </c>
      <c r="I314" s="256">
        <f t="shared" si="121"/>
        <v>0.933</v>
      </c>
    </row>
    <row r="315" hidden="1" outlineLevel="2">
      <c r="A315" s="32" t="s">
        <v>131</v>
      </c>
      <c r="B315" s="34"/>
      <c r="C315" s="2"/>
      <c r="D315" s="2"/>
      <c r="E315" s="2"/>
      <c r="F315" s="2"/>
      <c r="G315" s="2"/>
      <c r="H315" s="2"/>
      <c r="I315" s="36"/>
    </row>
    <row r="316" hidden="1" outlineLevel="2">
      <c r="A316" s="64" t="s">
        <v>132</v>
      </c>
      <c r="B316" s="312"/>
      <c r="C316" s="313"/>
      <c r="D316" s="332"/>
      <c r="E316" s="313"/>
      <c r="F316" s="313"/>
      <c r="G316" s="313"/>
      <c r="H316" s="313"/>
      <c r="I316" s="314"/>
    </row>
    <row r="317" hidden="1" outlineLevel="2">
      <c r="A317" s="127" t="s">
        <v>134</v>
      </c>
      <c r="B317" s="34"/>
      <c r="C317" s="2"/>
      <c r="D317" s="2"/>
      <c r="E317" s="2"/>
      <c r="F317" s="2"/>
      <c r="G317" s="2"/>
      <c r="H317" s="2"/>
      <c r="I317" s="36"/>
    </row>
    <row r="318" hidden="1" outlineLevel="2">
      <c r="A318" s="69" t="s">
        <v>136</v>
      </c>
      <c r="B318" s="129">
        <f t="shared" ref="B318:I318" si="122">B297*25</f>
        <v>26.34210526</v>
      </c>
      <c r="C318" s="130">
        <f t="shared" si="122"/>
        <v>25.6375</v>
      </c>
      <c r="D318" s="130">
        <f t="shared" si="122"/>
        <v>25.1875</v>
      </c>
      <c r="E318" s="130">
        <f t="shared" si="122"/>
        <v>23.78125</v>
      </c>
      <c r="F318" s="130">
        <f t="shared" si="122"/>
        <v>25.78947368</v>
      </c>
      <c r="G318" s="130">
        <f t="shared" si="122"/>
        <v>26.9</v>
      </c>
      <c r="H318" s="130">
        <f t="shared" si="122"/>
        <v>16.375</v>
      </c>
      <c r="I318" s="132">
        <f t="shared" si="122"/>
        <v>23.4375</v>
      </c>
    </row>
    <row r="319" hidden="1" outlineLevel="2">
      <c r="A319" s="69" t="s">
        <v>144</v>
      </c>
      <c r="B319" s="129">
        <f t="shared" ref="B319:I319" si="123">B301*35</f>
        <v>35.035</v>
      </c>
      <c r="C319" s="130">
        <f t="shared" si="123"/>
        <v>35</v>
      </c>
      <c r="D319" s="130">
        <f t="shared" si="123"/>
        <v>28</v>
      </c>
      <c r="E319" s="130">
        <f t="shared" si="123"/>
        <v>35</v>
      </c>
      <c r="F319" s="130">
        <f t="shared" si="123"/>
        <v>35</v>
      </c>
      <c r="G319" s="130">
        <f t="shared" si="123"/>
        <v>35</v>
      </c>
      <c r="H319" s="130">
        <f t="shared" si="123"/>
        <v>35</v>
      </c>
      <c r="I319" s="132">
        <f t="shared" si="123"/>
        <v>34.7375</v>
      </c>
    </row>
    <row r="320" hidden="1" outlineLevel="2">
      <c r="A320" s="69" t="s">
        <v>146</v>
      </c>
      <c r="B320" s="129">
        <f t="shared" ref="B320:I320" si="124">IF(AND(B301&lt;85%, B310&gt;100%), 25, B310*25)</f>
        <v>26.99977129</v>
      </c>
      <c r="C320" s="130">
        <f t="shared" si="124"/>
        <v>24.89232895</v>
      </c>
      <c r="D320" s="130">
        <f t="shared" si="124"/>
        <v>24.82930814</v>
      </c>
      <c r="E320" s="130">
        <f t="shared" si="124"/>
        <v>27.3253367</v>
      </c>
      <c r="F320" s="130">
        <f t="shared" si="124"/>
        <v>22.30987055</v>
      </c>
      <c r="G320" s="130">
        <f t="shared" si="124"/>
        <v>26.34371128</v>
      </c>
      <c r="H320" s="130">
        <f t="shared" si="124"/>
        <v>20.94642857</v>
      </c>
      <c r="I320" s="132">
        <f t="shared" si="124"/>
        <v>25</v>
      </c>
    </row>
    <row r="321" hidden="1" outlineLevel="2">
      <c r="A321" s="69" t="s">
        <v>148</v>
      </c>
      <c r="B321" s="129">
        <f t="shared" ref="B321:I321" si="125">B314*15</f>
        <v>14.49</v>
      </c>
      <c r="C321" s="130">
        <f t="shared" si="125"/>
        <v>13.845</v>
      </c>
      <c r="D321" s="130">
        <f t="shared" si="125"/>
        <v>13.425</v>
      </c>
      <c r="E321" s="130">
        <f t="shared" si="125"/>
        <v>15</v>
      </c>
      <c r="F321" s="130">
        <f t="shared" si="125"/>
        <v>14.49</v>
      </c>
      <c r="G321" s="130">
        <f t="shared" si="125"/>
        <v>15</v>
      </c>
      <c r="H321" s="130">
        <f t="shared" si="125"/>
        <v>10.995</v>
      </c>
      <c r="I321" s="132">
        <f t="shared" si="125"/>
        <v>13.995</v>
      </c>
    </row>
    <row r="322" hidden="1" outlineLevel="2">
      <c r="A322" s="69" t="s">
        <v>149</v>
      </c>
      <c r="B322" s="129">
        <f t="shared" ref="B322:I322" si="126">B316*-10</f>
        <v>0</v>
      </c>
      <c r="C322" s="130">
        <f t="shared" si="126"/>
        <v>0</v>
      </c>
      <c r="D322" s="130">
        <f t="shared" si="126"/>
        <v>0</v>
      </c>
      <c r="E322" s="130">
        <f t="shared" si="126"/>
        <v>0</v>
      </c>
      <c r="F322" s="130">
        <f t="shared" si="126"/>
        <v>0</v>
      </c>
      <c r="G322" s="130">
        <f t="shared" si="126"/>
        <v>0</v>
      </c>
      <c r="H322" s="130">
        <f t="shared" si="126"/>
        <v>0</v>
      </c>
      <c r="I322" s="132">
        <f t="shared" si="126"/>
        <v>0</v>
      </c>
    </row>
    <row r="323" hidden="1" outlineLevel="2">
      <c r="A323" s="142" t="s">
        <v>150</v>
      </c>
      <c r="B323" s="129">
        <f t="shared" ref="B323:I323" si="127">B318+B319+B320+B321+B322</f>
        <v>102.8668766</v>
      </c>
      <c r="C323" s="130">
        <f t="shared" si="127"/>
        <v>99.37482895</v>
      </c>
      <c r="D323" s="130">
        <f t="shared" si="127"/>
        <v>91.44180814</v>
      </c>
      <c r="E323" s="130">
        <f t="shared" si="127"/>
        <v>101.1065867</v>
      </c>
      <c r="F323" s="130">
        <f t="shared" si="127"/>
        <v>97.58934423</v>
      </c>
      <c r="G323" s="130">
        <f t="shared" si="127"/>
        <v>103.2437113</v>
      </c>
      <c r="H323" s="130">
        <f t="shared" si="127"/>
        <v>83.31642857</v>
      </c>
      <c r="I323" s="132">
        <f t="shared" si="127"/>
        <v>97.17</v>
      </c>
    </row>
    <row r="324" hidden="1" outlineLevel="2">
      <c r="A324" s="54" t="s">
        <v>152</v>
      </c>
      <c r="B324" s="58">
        <f t="shared" ref="B324:I324" si="128">B323/100</f>
        <v>1.028668766</v>
      </c>
      <c r="C324" s="61">
        <f t="shared" si="128"/>
        <v>0.9937482895</v>
      </c>
      <c r="D324" s="378">
        <f t="shared" si="128"/>
        <v>0.9144180814</v>
      </c>
      <c r="E324" s="61">
        <f t="shared" si="128"/>
        <v>1.011065867</v>
      </c>
      <c r="F324" s="61">
        <f t="shared" si="128"/>
        <v>0.9758934423</v>
      </c>
      <c r="G324" s="61">
        <f t="shared" si="128"/>
        <v>1.032437113</v>
      </c>
      <c r="H324" s="61">
        <f t="shared" si="128"/>
        <v>0.8331642857</v>
      </c>
      <c r="I324" s="62">
        <f t="shared" si="128"/>
        <v>0.9717</v>
      </c>
    </row>
    <row r="325" hidden="1" outlineLevel="2">
      <c r="A325" s="127" t="s">
        <v>154</v>
      </c>
      <c r="B325" s="349" t="s">
        <v>155</v>
      </c>
      <c r="C325" s="349" t="s">
        <v>155</v>
      </c>
      <c r="D325" s="349" t="s">
        <v>155</v>
      </c>
      <c r="E325" s="349" t="s">
        <v>155</v>
      </c>
      <c r="F325" s="349" t="s">
        <v>155</v>
      </c>
      <c r="G325" s="349" t="s">
        <v>156</v>
      </c>
      <c r="H325" s="349" t="s">
        <v>155</v>
      </c>
      <c r="I325" s="349" t="s">
        <v>155</v>
      </c>
    </row>
    <row r="326" hidden="1" outlineLevel="2">
      <c r="A326" s="127" t="s">
        <v>158</v>
      </c>
      <c r="B326" s="156"/>
      <c r="C326" s="157"/>
      <c r="D326" s="337"/>
      <c r="E326" s="157"/>
      <c r="F326" s="157"/>
      <c r="G326" s="157"/>
      <c r="H326" s="157"/>
      <c r="I326" s="352"/>
    </row>
    <row r="327" hidden="1" outlineLevel="1">
      <c r="A327" s="12"/>
      <c r="B327" s="13" t="s">
        <v>498</v>
      </c>
      <c r="C327" s="14"/>
      <c r="D327" s="14"/>
      <c r="E327" s="14"/>
      <c r="F327" s="14"/>
      <c r="G327" s="14"/>
      <c r="H327" s="14"/>
      <c r="I327" s="15"/>
    </row>
    <row r="328" hidden="1" outlineLevel="1">
      <c r="A328" s="164"/>
      <c r="B328" s="302" t="s">
        <v>29</v>
      </c>
      <c r="C328" s="303" t="s">
        <v>4</v>
      </c>
      <c r="D328" s="303" t="s">
        <v>19</v>
      </c>
      <c r="E328" s="303" t="s">
        <v>30</v>
      </c>
      <c r="F328" s="303" t="s">
        <v>31</v>
      </c>
      <c r="G328" s="304" t="s">
        <v>32</v>
      </c>
      <c r="H328" s="305" t="s">
        <v>13</v>
      </c>
      <c r="I328" s="305" t="s">
        <v>350</v>
      </c>
    </row>
    <row r="329" hidden="1" outlineLevel="1">
      <c r="A329" s="25" t="s">
        <v>36</v>
      </c>
      <c r="B329" s="243" t="s">
        <v>498</v>
      </c>
      <c r="C329" s="244"/>
      <c r="D329" s="244"/>
      <c r="E329" s="244"/>
      <c r="F329" s="244"/>
      <c r="G329" s="244"/>
      <c r="H329" s="244"/>
      <c r="I329" s="245"/>
    </row>
    <row r="330" hidden="1" outlineLevel="1">
      <c r="A330" s="32" t="s">
        <v>45</v>
      </c>
      <c r="B330" s="34"/>
      <c r="C330" s="2"/>
      <c r="D330" s="2"/>
      <c r="E330" s="2"/>
      <c r="F330" s="2"/>
      <c r="G330" s="2"/>
      <c r="H330" s="2"/>
      <c r="I330" s="36"/>
    </row>
    <row r="331" hidden="1" outlineLevel="1">
      <c r="A331" s="38" t="s">
        <v>49</v>
      </c>
      <c r="B331" s="246">
        <v>32.01</v>
      </c>
      <c r="C331" s="247">
        <v>36.37</v>
      </c>
      <c r="D331" s="380">
        <v>40.11</v>
      </c>
      <c r="E331" s="247">
        <v>32.03</v>
      </c>
      <c r="F331" s="247">
        <v>39.54</v>
      </c>
      <c r="G331" s="247">
        <v>41.09</v>
      </c>
      <c r="H331" s="247">
        <v>39.57</v>
      </c>
      <c r="I331" s="345">
        <v>37.51</v>
      </c>
    </row>
    <row r="332" hidden="1" outlineLevel="1">
      <c r="A332" s="49" t="s">
        <v>53</v>
      </c>
      <c r="B332" s="383">
        <v>30.0</v>
      </c>
      <c r="C332" s="51">
        <v>40.0</v>
      </c>
      <c r="D332" s="51">
        <v>40.0</v>
      </c>
      <c r="E332" s="250">
        <v>30.0</v>
      </c>
      <c r="F332" s="250">
        <v>38.0</v>
      </c>
      <c r="G332" s="51">
        <v>40.0</v>
      </c>
      <c r="H332" s="51">
        <v>40.0</v>
      </c>
      <c r="I332" s="346">
        <v>40.0</v>
      </c>
    </row>
    <row r="333" hidden="1" outlineLevel="1">
      <c r="A333" s="54" t="s">
        <v>57</v>
      </c>
      <c r="B333" s="252">
        <f t="shared" ref="B333:I333" si="129">B331/B332</f>
        <v>1.067</v>
      </c>
      <c r="C333" s="253">
        <f t="shared" si="129"/>
        <v>0.90925</v>
      </c>
      <c r="D333" s="253">
        <f t="shared" si="129"/>
        <v>1.00275</v>
      </c>
      <c r="E333" s="253">
        <f t="shared" si="129"/>
        <v>1.067666667</v>
      </c>
      <c r="F333" s="253">
        <f t="shared" si="129"/>
        <v>1.040526316</v>
      </c>
      <c r="G333" s="253">
        <f t="shared" si="129"/>
        <v>1.02725</v>
      </c>
      <c r="H333" s="253">
        <f t="shared" si="129"/>
        <v>0.98925</v>
      </c>
      <c r="I333" s="256">
        <f t="shared" si="129"/>
        <v>0.93775</v>
      </c>
    </row>
    <row r="334" hidden="1" outlineLevel="1">
      <c r="A334" s="32" t="s">
        <v>66</v>
      </c>
      <c r="B334" s="34"/>
      <c r="C334" s="2"/>
      <c r="D334" s="2"/>
      <c r="E334" s="2"/>
      <c r="F334" s="2"/>
      <c r="G334" s="2"/>
      <c r="H334" s="2"/>
      <c r="I334" s="36"/>
    </row>
    <row r="335" hidden="1" outlineLevel="1">
      <c r="A335" s="64" t="s">
        <v>67</v>
      </c>
      <c r="B335" s="246">
        <v>40.0</v>
      </c>
      <c r="C335" s="247">
        <v>40.0</v>
      </c>
      <c r="D335" s="247">
        <v>35.2</v>
      </c>
      <c r="E335" s="247">
        <v>40.0</v>
      </c>
      <c r="F335" s="247">
        <v>40.0</v>
      </c>
      <c r="G335" s="247">
        <v>28.0</v>
      </c>
      <c r="H335" s="247">
        <v>40.0</v>
      </c>
      <c r="I335" s="386">
        <v>39.87</v>
      </c>
    </row>
    <row r="336" hidden="1" outlineLevel="1">
      <c r="A336" s="69" t="s">
        <v>72</v>
      </c>
      <c r="B336" s="186">
        <v>40.0</v>
      </c>
      <c r="C336" s="187">
        <v>40.0</v>
      </c>
      <c r="D336" s="187">
        <v>40.0</v>
      </c>
      <c r="E336" s="187">
        <v>40.0</v>
      </c>
      <c r="F336" s="187">
        <v>40.0</v>
      </c>
      <c r="G336" s="187">
        <v>40.0</v>
      </c>
      <c r="H336" s="187">
        <v>40.0</v>
      </c>
      <c r="I336" s="188">
        <v>40.0</v>
      </c>
    </row>
    <row r="337" hidden="1" outlineLevel="1">
      <c r="A337" s="54" t="s">
        <v>74</v>
      </c>
      <c r="B337" s="252">
        <f t="shared" ref="B337:I337" si="130">B335/B336</f>
        <v>1</v>
      </c>
      <c r="C337" s="253">
        <f t="shared" si="130"/>
        <v>1</v>
      </c>
      <c r="D337" s="253">
        <f t="shared" si="130"/>
        <v>0.88</v>
      </c>
      <c r="E337" s="253">
        <f t="shared" si="130"/>
        <v>1</v>
      </c>
      <c r="F337" s="253">
        <f t="shared" si="130"/>
        <v>1</v>
      </c>
      <c r="G337" s="253">
        <f t="shared" si="130"/>
        <v>0.7</v>
      </c>
      <c r="H337" s="253">
        <f t="shared" si="130"/>
        <v>1</v>
      </c>
      <c r="I337" s="256">
        <f t="shared" si="130"/>
        <v>0.99675</v>
      </c>
    </row>
    <row r="338" hidden="1" outlineLevel="1">
      <c r="A338" s="32" t="s">
        <v>75</v>
      </c>
      <c r="B338" s="34"/>
      <c r="C338" s="2"/>
      <c r="D338" s="2"/>
      <c r="E338" s="2"/>
      <c r="F338" s="2"/>
      <c r="G338" s="2"/>
      <c r="H338" s="2"/>
      <c r="I338" s="36"/>
    </row>
    <row r="339" hidden="1" outlineLevel="1">
      <c r="A339" s="64" t="s">
        <v>76</v>
      </c>
      <c r="B339" s="185" t="s">
        <v>79</v>
      </c>
      <c r="C339" s="78" t="s">
        <v>80</v>
      </c>
      <c r="D339" s="78" t="s">
        <v>80</v>
      </c>
      <c r="E339" s="78" t="s">
        <v>79</v>
      </c>
      <c r="F339" s="78" t="s">
        <v>79</v>
      </c>
      <c r="G339" s="77" t="s">
        <v>80</v>
      </c>
      <c r="H339" s="78" t="s">
        <v>79</v>
      </c>
      <c r="I339" s="79" t="s">
        <v>79</v>
      </c>
    </row>
    <row r="340" hidden="1" outlineLevel="1">
      <c r="A340" s="64" t="s">
        <v>81</v>
      </c>
      <c r="B340" s="185" t="s">
        <v>83</v>
      </c>
      <c r="C340" s="78" t="s">
        <v>85</v>
      </c>
      <c r="D340" s="78" t="s">
        <v>83</v>
      </c>
      <c r="E340" s="78" t="s">
        <v>85</v>
      </c>
      <c r="F340" s="78" t="s">
        <v>83</v>
      </c>
      <c r="G340" s="78" t="s">
        <v>85</v>
      </c>
      <c r="H340" s="78" t="s">
        <v>85</v>
      </c>
      <c r="I340" s="79" t="s">
        <v>85</v>
      </c>
    </row>
    <row r="341" hidden="1" outlineLevel="1">
      <c r="A341" s="64" t="s">
        <v>86</v>
      </c>
      <c r="B341" s="194">
        <f>IF(B331&lt;B332,B332,B331) *
IF(B339="AM",
    IF(B340="Oricle",3.5,
    IF(B340="Other Brands",4,
    IF(B340="Oricle Prio",0.6,""))),
 IF(B339="MID",
    IF(B340="Oricle",2.5,
    IF(B340="Other Brands",3,
    IF(B340="Oricle Prio",0.6,""))),
 IF(B339="GY",
    IF(B340="Oricle",1,
    IF(B340="Other Brands",1,
    IF(B340="Oricle Prio",0.3,""))),"")))-10</f>
        <v>86.03</v>
      </c>
      <c r="C341" s="204">
        <f>IF(C331&lt;C332,C332,C331) *
IF(C339="AM",
    IF(C340="Oricle",3,
    IF(C340="Other Brands",4,
    IF(C340="Oricle Prio",0.6,""))),
 IF(C339="MID",
    IF(C340="Oricle",2.5,
    IF(C340="Other Brands",3,
    IF(C340="Oricle Prio",0.6,""))),
 IF(C339="GY",
    IF(C340="Oricle",1,
    IF(C340="Other Brands",1,
    IF(C340="Oricle Prio",0.3,""))),"")))</f>
        <v>120</v>
      </c>
      <c r="D341" s="204">
        <f>IF(D331&lt;D332,D332,D331) *
IF(D339="AM",
    IF(D340="Oricle",3.5,
    IF(D340="Other Brands",4,
    IF(D340="Oricle Prio",0.6,""))),
 IF(D339="MID",
    IF(D340="Oricle",2.5,
    IF(D340="Other Brands",3,
    IF(D340="Oricle Prio",0.6,""))),
 IF(D339="GY",
    IF(D340="Oricle",1,
    IF(D340="Other Brands",1,
    IF(D340="Oricle Prio",0.3,""))),"")))</f>
        <v>160.44</v>
      </c>
      <c r="E341" s="204">
        <f>IF(E331&lt;E332,E332,E331) *
IF(E339="AM",
    IF(E340="Oricle",3.5,
    IF(E340="Other Brands",4,
    IF(E340="Oricle Prio",0.6,""))),
 IF(E339="MID",
    IF(E340="Oricle",2.5,
    IF(E340="Other Brands",3,
    IF(E340="Oricle Prio",0.6,""))),
 IF(E339="GY",
    IF(E340="Oricle",1,
    IF(E340="Other Brands",1,
    IF(E340="Oricle Prio",0.3,""))),"")))-12</f>
        <v>68.075</v>
      </c>
      <c r="F341" s="204">
        <f>IF(F331&lt;F332,F332,F331) *
IF(F339="AM",
    IF(F340="Oricle",3.5,
    IF(F340="Other Brands",4,
    IF(F340="Oricle Prio",0.6,""))),
 IF(F339="MID",
    IF(F340="Oricle",2.5,
    IF(F340="Other Brands",3,
    IF(F340="Oricle Prio",0.6,""))),
 IF(F339="GY",
    IF(F340="Oricle",1,
    IF(F340="Other Brands",1,
    IF(F340="Oricle Prio",0.3,""))),"")))</f>
        <v>118.62</v>
      </c>
      <c r="G341" s="204">
        <f>IF(G331&lt;G332,G332,G331) *
IF(G339="AM",
    IF(G340="Oricle",3,
    IF(G340="Other Brands",4,
    IF(G340="Oricle Prio",0.6,""))),
 IF(G339="MID",
    IF(G340="Oricle",2.5,
    IF(G340="Other Brands",3,
    IF(G340="Oricle Prio",0.6,""))),
 IF(G339="GY",
    IF(G340="Oricle",1,
    IF(G340="Other Brands",1,
    IF(G340="Oricle Prio",0.3,""))),"")))</f>
        <v>123.27</v>
      </c>
      <c r="H341" s="204">
        <f>IF(H331&lt;H332,H332,H331) *
IF(H339="AM",
    IF(H340="Oricle",3.5,
    IF(H340="Other Brands",4,
    IF(H340="Oricle Prio",0.6,""))),
 IF(H339="MID",
    IF(H340="Oricle",2.5,
    IF(H340="Other Brands",3,
    IF(H340="Oricle Prio",0.6,""))),
 IF(H339="GY",
    IF(H340="Oricle",1,
    IF(H340="Other Brands",1,
    IF(H340="Oricle Prio",0.3,""))),"")))</f>
        <v>100</v>
      </c>
      <c r="I341" s="261">
        <v>75.0</v>
      </c>
    </row>
    <row r="342" hidden="1" outlineLevel="1">
      <c r="A342" s="64" t="s">
        <v>98</v>
      </c>
      <c r="B342" s="266" t="s">
        <v>301</v>
      </c>
      <c r="C342" s="77" t="s">
        <v>518</v>
      </c>
      <c r="D342" s="77" t="s">
        <v>519</v>
      </c>
      <c r="E342" s="77" t="s">
        <v>520</v>
      </c>
      <c r="F342" s="77" t="s">
        <v>521</v>
      </c>
      <c r="G342" s="77" t="s">
        <v>248</v>
      </c>
      <c r="H342" s="77" t="s">
        <v>522</v>
      </c>
      <c r="I342" s="258" t="s">
        <v>523</v>
      </c>
    </row>
    <row r="343" hidden="1" outlineLevel="1">
      <c r="A343" s="64" t="s">
        <v>107</v>
      </c>
      <c r="B343" s="266" t="s">
        <v>518</v>
      </c>
      <c r="C343" s="77" t="s">
        <v>518</v>
      </c>
      <c r="D343" s="77" t="s">
        <v>372</v>
      </c>
      <c r="E343" s="77" t="s">
        <v>524</v>
      </c>
      <c r="F343" s="77" t="s">
        <v>331</v>
      </c>
      <c r="G343" s="77" t="s">
        <v>258</v>
      </c>
      <c r="H343" s="77" t="s">
        <v>522</v>
      </c>
      <c r="I343" s="258" t="s">
        <v>523</v>
      </c>
    </row>
    <row r="344" hidden="1" outlineLevel="1">
      <c r="A344" s="69" t="s">
        <v>115</v>
      </c>
      <c r="B344" s="108">
        <f t="shared" ref="B344:I344" si="131">IF(B342&gt;0,B343/B342,0)</f>
        <v>0.9905660377</v>
      </c>
      <c r="C344" s="110">
        <f t="shared" si="131"/>
        <v>1</v>
      </c>
      <c r="D344" s="110">
        <f t="shared" si="131"/>
        <v>0.9736842105</v>
      </c>
      <c r="E344" s="110">
        <f t="shared" si="131"/>
        <v>0.9850746269</v>
      </c>
      <c r="F344" s="110">
        <f t="shared" si="131"/>
        <v>0.953271028</v>
      </c>
      <c r="G344" s="110">
        <f t="shared" si="131"/>
        <v>1.007246377</v>
      </c>
      <c r="H344" s="110">
        <f t="shared" si="131"/>
        <v>1</v>
      </c>
      <c r="I344" s="111">
        <f t="shared" si="131"/>
        <v>1</v>
      </c>
    </row>
    <row r="345" hidden="1" outlineLevel="1">
      <c r="A345" s="69" t="s">
        <v>119</v>
      </c>
      <c r="B345" s="108">
        <f t="shared" ref="B345:I345" si="132">IF(B341&gt;0,B343/B341,0)</f>
        <v>1.220504475</v>
      </c>
      <c r="C345" s="110">
        <f t="shared" si="132"/>
        <v>0.875</v>
      </c>
      <c r="D345" s="110">
        <f t="shared" si="132"/>
        <v>0.6918474196</v>
      </c>
      <c r="E345" s="110">
        <f t="shared" si="132"/>
        <v>0.969518913</v>
      </c>
      <c r="F345" s="110">
        <f t="shared" si="132"/>
        <v>0.8598887203</v>
      </c>
      <c r="G345" s="110">
        <f t="shared" si="132"/>
        <v>1.127606068</v>
      </c>
      <c r="H345" s="110">
        <f t="shared" si="132"/>
        <v>0.85</v>
      </c>
      <c r="I345" s="111">
        <f t="shared" si="132"/>
        <v>1.053333333</v>
      </c>
    </row>
    <row r="346" hidden="1" outlineLevel="1">
      <c r="A346" s="116" t="s">
        <v>82</v>
      </c>
      <c r="B346" s="252">
        <f t="shared" ref="B346:I346" si="133">average(B344:B345)</f>
        <v>1.105535256</v>
      </c>
      <c r="C346" s="253">
        <f t="shared" si="133"/>
        <v>0.9375</v>
      </c>
      <c r="D346" s="253">
        <f t="shared" si="133"/>
        <v>0.8327658151</v>
      </c>
      <c r="E346" s="253">
        <f t="shared" si="133"/>
        <v>0.9772967699</v>
      </c>
      <c r="F346" s="253">
        <f t="shared" si="133"/>
        <v>0.9065798742</v>
      </c>
      <c r="G346" s="253">
        <f t="shared" si="133"/>
        <v>1.067426222</v>
      </c>
      <c r="H346" s="253">
        <f t="shared" si="133"/>
        <v>0.925</v>
      </c>
      <c r="I346" s="256">
        <f t="shared" si="133"/>
        <v>1.026666667</v>
      </c>
    </row>
    <row r="347" hidden="1" outlineLevel="1">
      <c r="A347" s="32" t="s">
        <v>121</v>
      </c>
      <c r="B347" s="316"/>
      <c r="C347" s="2"/>
      <c r="D347" s="2"/>
      <c r="E347" s="2"/>
      <c r="F347" s="2"/>
      <c r="G347" s="2"/>
      <c r="H347" s="2"/>
      <c r="I347" s="3"/>
    </row>
    <row r="348" hidden="1" outlineLevel="1">
      <c r="A348" s="64" t="s">
        <v>122</v>
      </c>
      <c r="B348" s="246">
        <v>10.0</v>
      </c>
      <c r="C348" s="247">
        <v>8.0</v>
      </c>
      <c r="D348" s="247">
        <v>9.18</v>
      </c>
      <c r="E348" s="247">
        <v>10.0</v>
      </c>
      <c r="F348" s="310">
        <v>9.42</v>
      </c>
      <c r="G348" s="247">
        <v>10.0</v>
      </c>
      <c r="H348" s="247">
        <v>10.0</v>
      </c>
      <c r="I348" s="248">
        <v>10.0</v>
      </c>
    </row>
    <row r="349" hidden="1" outlineLevel="1">
      <c r="A349" s="69" t="s">
        <v>128</v>
      </c>
      <c r="B349" s="119">
        <v>10.0</v>
      </c>
      <c r="C349" s="120">
        <v>10.0</v>
      </c>
      <c r="D349" s="120">
        <v>10.0</v>
      </c>
      <c r="E349" s="120">
        <v>10.0</v>
      </c>
      <c r="F349" s="120">
        <v>10.0</v>
      </c>
      <c r="G349" s="120">
        <v>10.0</v>
      </c>
      <c r="H349" s="120">
        <v>10.0</v>
      </c>
      <c r="I349" s="121">
        <v>10.0</v>
      </c>
    </row>
    <row r="350" hidden="1" outlineLevel="1">
      <c r="A350" s="54" t="s">
        <v>130</v>
      </c>
      <c r="B350" s="252">
        <f t="shared" ref="B350:I350" si="134">IF(B348=0,0,B348/B349)</f>
        <v>1</v>
      </c>
      <c r="C350" s="253">
        <f t="shared" si="134"/>
        <v>0.8</v>
      </c>
      <c r="D350" s="253">
        <f t="shared" si="134"/>
        <v>0.918</v>
      </c>
      <c r="E350" s="253">
        <f t="shared" si="134"/>
        <v>1</v>
      </c>
      <c r="F350" s="253">
        <f t="shared" si="134"/>
        <v>0.942</v>
      </c>
      <c r="G350" s="253">
        <f t="shared" si="134"/>
        <v>1</v>
      </c>
      <c r="H350" s="253">
        <f t="shared" si="134"/>
        <v>1</v>
      </c>
      <c r="I350" s="256">
        <f t="shared" si="134"/>
        <v>1</v>
      </c>
    </row>
    <row r="351" hidden="1" outlineLevel="1">
      <c r="A351" s="32" t="s">
        <v>131</v>
      </c>
      <c r="B351" s="34"/>
      <c r="C351" s="2"/>
      <c r="D351" s="2"/>
      <c r="E351" s="2"/>
      <c r="F351" s="2"/>
      <c r="G351" s="2"/>
      <c r="H351" s="2"/>
      <c r="I351" s="36"/>
    </row>
    <row r="352" hidden="1" outlineLevel="1">
      <c r="A352" s="64" t="s">
        <v>132</v>
      </c>
      <c r="B352" s="312"/>
      <c r="C352" s="313"/>
      <c r="D352" s="332"/>
      <c r="E352" s="313"/>
      <c r="F352" s="313"/>
      <c r="G352" s="313"/>
      <c r="H352" s="313"/>
      <c r="I352" s="314"/>
    </row>
    <row r="353" hidden="1" outlineLevel="1">
      <c r="A353" s="127" t="s">
        <v>134</v>
      </c>
      <c r="B353" s="34"/>
      <c r="C353" s="2"/>
      <c r="D353" s="2"/>
      <c r="E353" s="2"/>
      <c r="F353" s="2"/>
      <c r="G353" s="2"/>
      <c r="H353" s="2"/>
      <c r="I353" s="36"/>
    </row>
    <row r="354" hidden="1" outlineLevel="1">
      <c r="A354" s="69" t="s">
        <v>136</v>
      </c>
      <c r="B354" s="129">
        <f t="shared" ref="B354:I354" si="135">B333*25</f>
        <v>26.675</v>
      </c>
      <c r="C354" s="130">
        <f t="shared" si="135"/>
        <v>22.73125</v>
      </c>
      <c r="D354" s="130">
        <f t="shared" si="135"/>
        <v>25.06875</v>
      </c>
      <c r="E354" s="130">
        <f t="shared" si="135"/>
        <v>26.69166667</v>
      </c>
      <c r="F354" s="130">
        <f t="shared" si="135"/>
        <v>26.01315789</v>
      </c>
      <c r="G354" s="130">
        <f t="shared" si="135"/>
        <v>25.68125</v>
      </c>
      <c r="H354" s="130">
        <f t="shared" si="135"/>
        <v>24.73125</v>
      </c>
      <c r="I354" s="132">
        <f t="shared" si="135"/>
        <v>23.44375</v>
      </c>
    </row>
    <row r="355" hidden="1" outlineLevel="1">
      <c r="A355" s="69" t="s">
        <v>144</v>
      </c>
      <c r="B355" s="129">
        <f t="shared" ref="B355:I355" si="136">B337*35</f>
        <v>35</v>
      </c>
      <c r="C355" s="130">
        <f t="shared" si="136"/>
        <v>35</v>
      </c>
      <c r="D355" s="130">
        <f t="shared" si="136"/>
        <v>30.8</v>
      </c>
      <c r="E355" s="130">
        <f t="shared" si="136"/>
        <v>35</v>
      </c>
      <c r="F355" s="130">
        <f t="shared" si="136"/>
        <v>35</v>
      </c>
      <c r="G355" s="130">
        <f t="shared" si="136"/>
        <v>24.5</v>
      </c>
      <c r="H355" s="130">
        <f t="shared" si="136"/>
        <v>35</v>
      </c>
      <c r="I355" s="132">
        <f t="shared" si="136"/>
        <v>34.88625</v>
      </c>
    </row>
    <row r="356" hidden="1" outlineLevel="1">
      <c r="A356" s="69" t="s">
        <v>146</v>
      </c>
      <c r="B356" s="129">
        <f t="shared" ref="B356:I356" si="137">IF(AND(B337&lt;85%, B346&gt;100%), 25, B346*25)</f>
        <v>27.63838141</v>
      </c>
      <c r="C356" s="130">
        <f t="shared" si="137"/>
        <v>23.4375</v>
      </c>
      <c r="D356" s="130">
        <f t="shared" si="137"/>
        <v>20.81914538</v>
      </c>
      <c r="E356" s="130">
        <f t="shared" si="137"/>
        <v>24.43241925</v>
      </c>
      <c r="F356" s="130">
        <f t="shared" si="137"/>
        <v>22.66449685</v>
      </c>
      <c r="G356" s="130">
        <f t="shared" si="137"/>
        <v>25</v>
      </c>
      <c r="H356" s="130">
        <f t="shared" si="137"/>
        <v>23.125</v>
      </c>
      <c r="I356" s="132">
        <f t="shared" si="137"/>
        <v>25.66666667</v>
      </c>
    </row>
    <row r="357" hidden="1" outlineLevel="1">
      <c r="A357" s="69" t="s">
        <v>148</v>
      </c>
      <c r="B357" s="129">
        <f t="shared" ref="B357:I357" si="138">B350*15</f>
        <v>15</v>
      </c>
      <c r="C357" s="130">
        <f t="shared" si="138"/>
        <v>12</v>
      </c>
      <c r="D357" s="130">
        <f t="shared" si="138"/>
        <v>13.77</v>
      </c>
      <c r="E357" s="130">
        <f t="shared" si="138"/>
        <v>15</v>
      </c>
      <c r="F357" s="130">
        <f t="shared" si="138"/>
        <v>14.13</v>
      </c>
      <c r="G357" s="130">
        <f t="shared" si="138"/>
        <v>15</v>
      </c>
      <c r="H357" s="130">
        <f t="shared" si="138"/>
        <v>15</v>
      </c>
      <c r="I357" s="132">
        <f t="shared" si="138"/>
        <v>15</v>
      </c>
    </row>
    <row r="358" hidden="1" outlineLevel="1">
      <c r="A358" s="69" t="s">
        <v>149</v>
      </c>
      <c r="B358" s="129">
        <f t="shared" ref="B358:I358" si="139">B352*-10</f>
        <v>0</v>
      </c>
      <c r="C358" s="130">
        <f t="shared" si="139"/>
        <v>0</v>
      </c>
      <c r="D358" s="130">
        <f t="shared" si="139"/>
        <v>0</v>
      </c>
      <c r="E358" s="130">
        <f t="shared" si="139"/>
        <v>0</v>
      </c>
      <c r="F358" s="130">
        <f t="shared" si="139"/>
        <v>0</v>
      </c>
      <c r="G358" s="130">
        <f t="shared" si="139"/>
        <v>0</v>
      </c>
      <c r="H358" s="130">
        <f t="shared" si="139"/>
        <v>0</v>
      </c>
      <c r="I358" s="132">
        <f t="shared" si="139"/>
        <v>0</v>
      </c>
    </row>
    <row r="359" hidden="1" outlineLevel="1">
      <c r="A359" s="142" t="s">
        <v>150</v>
      </c>
      <c r="B359" s="129">
        <f t="shared" ref="B359:I359" si="140">B354+B355+B356+B357+B358</f>
        <v>104.3133814</v>
      </c>
      <c r="C359" s="130">
        <f t="shared" si="140"/>
        <v>93.16875</v>
      </c>
      <c r="D359" s="130">
        <f t="shared" si="140"/>
        <v>90.45789538</v>
      </c>
      <c r="E359" s="130">
        <f t="shared" si="140"/>
        <v>101.1240859</v>
      </c>
      <c r="F359" s="130">
        <f t="shared" si="140"/>
        <v>97.80765475</v>
      </c>
      <c r="G359" s="130">
        <f t="shared" si="140"/>
        <v>90.18125</v>
      </c>
      <c r="H359" s="130">
        <f t="shared" si="140"/>
        <v>97.85625</v>
      </c>
      <c r="I359" s="132">
        <f t="shared" si="140"/>
        <v>98.99666667</v>
      </c>
    </row>
    <row r="360" hidden="1" outlineLevel="1">
      <c r="A360" s="54" t="s">
        <v>152</v>
      </c>
      <c r="B360" s="58">
        <f t="shared" ref="B360:I360" si="141">B359/100</f>
        <v>1.043133814</v>
      </c>
      <c r="C360" s="61">
        <f t="shared" si="141"/>
        <v>0.9316875</v>
      </c>
      <c r="D360" s="378">
        <f t="shared" si="141"/>
        <v>0.9045789538</v>
      </c>
      <c r="E360" s="61">
        <f t="shared" si="141"/>
        <v>1.011240859</v>
      </c>
      <c r="F360" s="61">
        <f t="shared" si="141"/>
        <v>0.9780765475</v>
      </c>
      <c r="G360" s="61">
        <f t="shared" si="141"/>
        <v>0.9018125</v>
      </c>
      <c r="H360" s="61">
        <f t="shared" si="141"/>
        <v>0.9785625</v>
      </c>
      <c r="I360" s="62">
        <f t="shared" si="141"/>
        <v>0.9899666667</v>
      </c>
    </row>
    <row r="361" hidden="1" outlineLevel="1">
      <c r="A361" s="127" t="s">
        <v>154</v>
      </c>
      <c r="B361" s="349" t="s">
        <v>156</v>
      </c>
      <c r="C361" s="349" t="s">
        <v>155</v>
      </c>
      <c r="D361" s="349" t="s">
        <v>155</v>
      </c>
      <c r="E361" s="349" t="s">
        <v>155</v>
      </c>
      <c r="F361" s="349" t="s">
        <v>155</v>
      </c>
      <c r="G361" s="349" t="s">
        <v>155</v>
      </c>
      <c r="H361" s="349" t="s">
        <v>155</v>
      </c>
      <c r="I361" s="349" t="s">
        <v>155</v>
      </c>
    </row>
    <row r="362" hidden="1" outlineLevel="1">
      <c r="A362" s="127" t="s">
        <v>158</v>
      </c>
      <c r="B362" s="156"/>
      <c r="C362" s="157"/>
      <c r="D362" s="337"/>
      <c r="E362" s="157"/>
      <c r="F362" s="157"/>
      <c r="G362" s="157"/>
      <c r="H362" s="157"/>
      <c r="I362" s="352"/>
    </row>
    <row r="363" hidden="1" collapsed="1">
      <c r="A363" s="340">
        <v>46113.0</v>
      </c>
      <c r="B363" s="161"/>
      <c r="C363" s="27"/>
      <c r="D363" s="27"/>
      <c r="E363" s="27"/>
      <c r="F363" s="27"/>
      <c r="G363" s="27"/>
      <c r="H363" s="27"/>
      <c r="I363" s="27"/>
    </row>
    <row r="364" hidden="1" outlineLevel="1" collapsed="1">
      <c r="A364" s="12"/>
      <c r="B364" s="13" t="s">
        <v>539</v>
      </c>
      <c r="C364" s="14"/>
      <c r="D364" s="14"/>
      <c r="E364" s="14"/>
      <c r="F364" s="14"/>
      <c r="G364" s="14"/>
      <c r="H364" s="14"/>
      <c r="I364" s="15"/>
    </row>
    <row r="365" hidden="1" outlineLevel="2">
      <c r="A365" s="164"/>
      <c r="B365" s="302" t="s">
        <v>29</v>
      </c>
      <c r="C365" s="303" t="s">
        <v>4</v>
      </c>
      <c r="D365" s="303" t="s">
        <v>19</v>
      </c>
      <c r="E365" s="303" t="s">
        <v>30</v>
      </c>
      <c r="F365" s="303" t="s">
        <v>31</v>
      </c>
      <c r="G365" s="304" t="s">
        <v>32</v>
      </c>
      <c r="H365" s="305" t="s">
        <v>13</v>
      </c>
      <c r="I365" s="305" t="s">
        <v>350</v>
      </c>
    </row>
    <row r="366" hidden="1" outlineLevel="2">
      <c r="A366" s="25" t="s">
        <v>36</v>
      </c>
      <c r="B366" s="243" t="s">
        <v>539</v>
      </c>
      <c r="C366" s="244"/>
      <c r="D366" s="244"/>
      <c r="E366" s="244"/>
      <c r="F366" s="244"/>
      <c r="G366" s="244"/>
      <c r="H366" s="244"/>
      <c r="I366" s="245"/>
    </row>
    <row r="367" hidden="1" outlineLevel="2">
      <c r="A367" s="32" t="s">
        <v>45</v>
      </c>
      <c r="B367" s="34"/>
      <c r="C367" s="2"/>
      <c r="D367" s="2"/>
      <c r="E367" s="2"/>
      <c r="F367" s="2"/>
      <c r="G367" s="2"/>
      <c r="H367" s="2"/>
      <c r="I367" s="36"/>
    </row>
    <row r="368" hidden="1" outlineLevel="2">
      <c r="A368" s="38" t="s">
        <v>49</v>
      </c>
      <c r="B368" s="246">
        <v>39.46</v>
      </c>
      <c r="C368" s="247">
        <f>40.4-2</f>
        <v>38.4</v>
      </c>
      <c r="D368" s="380">
        <f>42.07-1.39</f>
        <v>40.68</v>
      </c>
      <c r="E368" s="247">
        <f>40.05-4</f>
        <v>36.05</v>
      </c>
      <c r="F368" s="247">
        <v>40.03</v>
      </c>
      <c r="G368" s="247">
        <v>39.54</v>
      </c>
      <c r="H368" s="247">
        <v>40.03</v>
      </c>
      <c r="I368" s="345">
        <v>37.28</v>
      </c>
    </row>
    <row r="369" hidden="1" outlineLevel="2">
      <c r="A369" s="49" t="s">
        <v>53</v>
      </c>
      <c r="B369" s="383">
        <v>38.0</v>
      </c>
      <c r="C369" s="51">
        <v>40.0</v>
      </c>
      <c r="D369" s="51">
        <v>40.0</v>
      </c>
      <c r="E369" s="250">
        <v>40.0</v>
      </c>
      <c r="F369" s="250">
        <v>38.0</v>
      </c>
      <c r="G369" s="51">
        <v>40.0</v>
      </c>
      <c r="H369" s="51">
        <v>40.0</v>
      </c>
      <c r="I369" s="346">
        <v>40.0</v>
      </c>
    </row>
    <row r="370" hidden="1" outlineLevel="2">
      <c r="A370" s="54" t="s">
        <v>57</v>
      </c>
      <c r="B370" s="252">
        <f t="shared" ref="B370:I370" si="142">B368/B369</f>
        <v>1.038421053</v>
      </c>
      <c r="C370" s="253">
        <f t="shared" si="142"/>
        <v>0.96</v>
      </c>
      <c r="D370" s="253">
        <f t="shared" si="142"/>
        <v>1.017</v>
      </c>
      <c r="E370" s="253">
        <f t="shared" si="142"/>
        <v>0.90125</v>
      </c>
      <c r="F370" s="253">
        <f t="shared" si="142"/>
        <v>1.053421053</v>
      </c>
      <c r="G370" s="253">
        <f t="shared" si="142"/>
        <v>0.9885</v>
      </c>
      <c r="H370" s="253">
        <f t="shared" si="142"/>
        <v>1.00075</v>
      </c>
      <c r="I370" s="256">
        <f t="shared" si="142"/>
        <v>0.932</v>
      </c>
    </row>
    <row r="371" hidden="1" outlineLevel="2">
      <c r="A371" s="32" t="s">
        <v>66</v>
      </c>
      <c r="B371" s="34"/>
      <c r="C371" s="2"/>
      <c r="D371" s="2"/>
      <c r="E371" s="2"/>
      <c r="F371" s="2"/>
      <c r="G371" s="2"/>
      <c r="H371" s="2"/>
      <c r="I371" s="36"/>
    </row>
    <row r="372" hidden="1" outlineLevel="2">
      <c r="A372" s="64" t="s">
        <v>67</v>
      </c>
      <c r="B372" s="246">
        <v>40.0</v>
      </c>
      <c r="C372" s="247">
        <v>40.0</v>
      </c>
      <c r="D372" s="247">
        <v>30.0</v>
      </c>
      <c r="E372" s="247">
        <v>30.93</v>
      </c>
      <c r="F372" s="247">
        <v>40.0</v>
      </c>
      <c r="G372" s="247">
        <v>40.0</v>
      </c>
      <c r="H372" s="247">
        <v>40.0</v>
      </c>
      <c r="I372" s="386">
        <v>40.0</v>
      </c>
    </row>
    <row r="373" hidden="1" outlineLevel="2">
      <c r="A373" s="69" t="s">
        <v>72</v>
      </c>
      <c r="B373" s="186">
        <v>40.0</v>
      </c>
      <c r="C373" s="187">
        <v>40.0</v>
      </c>
      <c r="D373" s="187">
        <v>40.0</v>
      </c>
      <c r="E373" s="187">
        <v>40.0</v>
      </c>
      <c r="F373" s="187">
        <v>40.0</v>
      </c>
      <c r="G373" s="187">
        <v>40.0</v>
      </c>
      <c r="H373" s="187">
        <v>40.0</v>
      </c>
      <c r="I373" s="188">
        <v>40.0</v>
      </c>
    </row>
    <row r="374" hidden="1" outlineLevel="2">
      <c r="A374" s="54" t="s">
        <v>74</v>
      </c>
      <c r="B374" s="252">
        <f t="shared" ref="B374:I374" si="143">B372/B373</f>
        <v>1</v>
      </c>
      <c r="C374" s="253">
        <f t="shared" si="143"/>
        <v>1</v>
      </c>
      <c r="D374" s="253">
        <f t="shared" si="143"/>
        <v>0.75</v>
      </c>
      <c r="E374" s="253">
        <f t="shared" si="143"/>
        <v>0.77325</v>
      </c>
      <c r="F374" s="253">
        <f t="shared" si="143"/>
        <v>1</v>
      </c>
      <c r="G374" s="253">
        <f t="shared" si="143"/>
        <v>1</v>
      </c>
      <c r="H374" s="253">
        <f t="shared" si="143"/>
        <v>1</v>
      </c>
      <c r="I374" s="256">
        <f t="shared" si="143"/>
        <v>1</v>
      </c>
    </row>
    <row r="375" hidden="1" outlineLevel="2">
      <c r="A375" s="32" t="s">
        <v>75</v>
      </c>
      <c r="B375" s="34"/>
      <c r="C375" s="2"/>
      <c r="D375" s="2"/>
      <c r="E375" s="2"/>
      <c r="F375" s="2"/>
      <c r="G375" s="2"/>
      <c r="H375" s="2"/>
      <c r="I375" s="36"/>
    </row>
    <row r="376" hidden="1" outlineLevel="2">
      <c r="A376" s="64" t="s">
        <v>76</v>
      </c>
      <c r="B376" s="185" t="s">
        <v>79</v>
      </c>
      <c r="C376" s="78" t="s">
        <v>80</v>
      </c>
      <c r="D376" s="78" t="s">
        <v>80</v>
      </c>
      <c r="E376" s="78" t="s">
        <v>79</v>
      </c>
      <c r="F376" s="78" t="s">
        <v>79</v>
      </c>
      <c r="G376" s="77" t="s">
        <v>80</v>
      </c>
      <c r="H376" s="78" t="s">
        <v>79</v>
      </c>
      <c r="I376" s="79" t="s">
        <v>79</v>
      </c>
    </row>
    <row r="377" hidden="1" outlineLevel="2">
      <c r="A377" s="64" t="s">
        <v>81</v>
      </c>
      <c r="B377" s="185" t="s">
        <v>83</v>
      </c>
      <c r="C377" s="78" t="s">
        <v>85</v>
      </c>
      <c r="D377" s="78" t="s">
        <v>83</v>
      </c>
      <c r="E377" s="78" t="s">
        <v>85</v>
      </c>
      <c r="F377" s="78" t="s">
        <v>83</v>
      </c>
      <c r="G377" s="78" t="s">
        <v>85</v>
      </c>
      <c r="H377" s="78" t="s">
        <v>85</v>
      </c>
      <c r="I377" s="79" t="s">
        <v>85</v>
      </c>
    </row>
    <row r="378" hidden="1" outlineLevel="2">
      <c r="A378" s="64" t="s">
        <v>86</v>
      </c>
      <c r="B378" s="194">
        <f>IF(B368&lt;B369,B369,B368) *
IF(B376="AM",
    IF(B377="Oricle",3.5,
    IF(B377="Other Brands",4,
    IF(B377="Oricle Prio",0.6,""))),
 IF(B376="MID",
    IF(B377="Oricle",2.5,
    IF(B377="Other Brands",3,
    IF(B377="Oricle Prio",0.6,""))),
 IF(B376="GY",
    IF(B377="Oricle",1,
    IF(B377="Other Brands",1,
    IF(B377="Oricle Prio",0.3,""))),"")))-10</f>
        <v>108.38</v>
      </c>
      <c r="C378" s="204">
        <f>IF(C368&lt;C369,C369,C368) *
IF(C376="AM",
    IF(C377="Oricle",3,
    IF(C377="Other Brands",4,
    IF(C377="Oricle Prio",0.6,""))),
 IF(C376="MID",
    IF(C377="Oricle",2.5,
    IF(C377="Other Brands",3,
    IF(C377="Oricle Prio",0.6,""))),
 IF(C376="GY",
    IF(C377="Oricle",1,
    IF(C377="Other Brands",1,
    IF(C377="Oricle Prio",0.3,""))),"")))</f>
        <v>120</v>
      </c>
      <c r="D378" s="204">
        <f>IF(D368&lt;D369,D369,D368) *
IF(D376="AM",
    IF(D377="Oricle",3.5,
    IF(D377="Other Brands",4,
    IF(D377="Oricle Prio",0.6,""))),
 IF(D376="MID",
    IF(D377="Oricle",2.5,
    IF(D377="Other Brands",3,
    IF(D377="Oricle Prio",0.6,""))),
 IF(D376="GY",
    IF(D377="Oricle",1,
    IF(D377="Other Brands",1,
    IF(D377="Oricle Prio",0.3,""))),"")))</f>
        <v>162.72</v>
      </c>
      <c r="E378" s="204">
        <f>IF(E368&lt;E369,E369,E368) *
IF(E376="AM",
    IF(E377="Oricle",3.5,
    IF(E377="Other Brands",4,
    IF(E377="Oricle Prio",0.6,""))),
 IF(E376="MID",
    IF(E377="Oricle",2.5,
    IF(E377="Other Brands",3,
    IF(E377="Oricle Prio",0.6,""))),
 IF(E376="GY",
    IF(E377="Oricle",1,
    IF(E377="Other Brands",1,
    IF(E377="Oricle Prio",0.3,""))),"")))-12</f>
        <v>88</v>
      </c>
      <c r="F378" s="204">
        <f>IF(F368&lt;F369,F369,F368) *
IF(F376="AM",
    IF(F377="Oricle",3.5,
    IF(F377="Other Brands",4,
    IF(F377="Oricle Prio",0.6,""))),
 IF(F376="MID",
    IF(F377="Oricle",2.5,
    IF(F377="Other Brands",3,
    IF(F377="Oricle Prio",0.6,""))),
 IF(F376="GY",
    IF(F377="Oricle",1,
    IF(F377="Other Brands",1,
    IF(F377="Oricle Prio",0.3,""))),"")))</f>
        <v>120.09</v>
      </c>
      <c r="G378" s="204">
        <f>IF(G368&lt;G369,G369,G368) *
IF(G376="AM",
    IF(G377="Oricle",3,
    IF(G377="Other Brands",4,
    IF(G377="Oricle Prio",0.6,""))),
 IF(G376="MID",
    IF(G377="Oricle",2.5,
    IF(G377="Other Brands",3,
    IF(G377="Oricle Prio",0.6,""))),
 IF(G376="GY",
    IF(G377="Oricle",1,
    IF(G377="Other Brands",1,
    IF(G377="Oricle Prio",0.3,""))),"")))</f>
        <v>120</v>
      </c>
      <c r="H378" s="204">
        <f>IF(H368&lt;H369,H369,H368) *
IF(H376="AM",
    IF(H377="Oricle",3.5,
    IF(H377="Other Brands",4,
    IF(H377="Oricle Prio",0.6,""))),
 IF(H376="MID",
    IF(H377="Oricle",2.5,
    IF(H377="Other Brands",3,
    IF(H377="Oricle Prio",0.6,""))),
 IF(H376="GY",
    IF(H377="Oricle",1,
    IF(H377="Other Brands",1,
    IF(H377="Oricle Prio",0.3,""))),"")))</f>
        <v>100.075</v>
      </c>
      <c r="I378" s="261">
        <v>75.0</v>
      </c>
    </row>
    <row r="379" hidden="1" outlineLevel="2">
      <c r="A379" s="64" t="s">
        <v>98</v>
      </c>
      <c r="B379" s="266" t="s">
        <v>256</v>
      </c>
      <c r="C379" s="77" t="s">
        <v>332</v>
      </c>
      <c r="D379" s="77" t="s">
        <v>298</v>
      </c>
      <c r="E379" s="77" t="s">
        <v>557</v>
      </c>
      <c r="F379" s="77" t="s">
        <v>251</v>
      </c>
      <c r="G379" s="77" t="s">
        <v>326</v>
      </c>
      <c r="H379" s="77" t="s">
        <v>376</v>
      </c>
      <c r="I379" s="258" t="s">
        <v>558</v>
      </c>
    </row>
    <row r="380" hidden="1" outlineLevel="2">
      <c r="A380" s="64" t="s">
        <v>107</v>
      </c>
      <c r="B380" s="266" t="s">
        <v>519</v>
      </c>
      <c r="C380" s="77" t="s">
        <v>299</v>
      </c>
      <c r="D380" s="77" t="s">
        <v>559</v>
      </c>
      <c r="E380" s="77" t="s">
        <v>560</v>
      </c>
      <c r="F380" s="77" t="s">
        <v>561</v>
      </c>
      <c r="G380" s="77" t="s">
        <v>326</v>
      </c>
      <c r="H380" s="77" t="s">
        <v>562</v>
      </c>
      <c r="I380" s="258" t="s">
        <v>558</v>
      </c>
    </row>
    <row r="381" hidden="1" outlineLevel="2">
      <c r="A381" s="69" t="s">
        <v>115</v>
      </c>
      <c r="B381" s="108">
        <f t="shared" ref="B381:I381" si="144">IF(B379&gt;0,B380/B379,0)</f>
        <v>0.9661016949</v>
      </c>
      <c r="C381" s="110">
        <f t="shared" si="144"/>
        <v>0.9756097561</v>
      </c>
      <c r="D381" s="110">
        <f t="shared" si="144"/>
        <v>0.9673202614</v>
      </c>
      <c r="E381" s="110">
        <f t="shared" si="144"/>
        <v>0.9833333333</v>
      </c>
      <c r="F381" s="110">
        <f t="shared" si="144"/>
        <v>0.9571428571</v>
      </c>
      <c r="G381" s="110">
        <f t="shared" si="144"/>
        <v>1</v>
      </c>
      <c r="H381" s="110">
        <f t="shared" si="144"/>
        <v>0.9504950495</v>
      </c>
      <c r="I381" s="111">
        <f t="shared" si="144"/>
        <v>1</v>
      </c>
    </row>
    <row r="382" hidden="1" outlineLevel="2">
      <c r="A382" s="69" t="s">
        <v>119</v>
      </c>
      <c r="B382" s="108">
        <f t="shared" ref="B382:I382" si="145">IF(B378&gt;0,B380/B378,0)</f>
        <v>1.051854586</v>
      </c>
      <c r="C382" s="110">
        <f t="shared" si="145"/>
        <v>1</v>
      </c>
      <c r="D382" s="110">
        <f t="shared" si="145"/>
        <v>0.9095378564</v>
      </c>
      <c r="E382" s="110">
        <f t="shared" si="145"/>
        <v>0.6704545455</v>
      </c>
      <c r="F382" s="110">
        <f t="shared" si="145"/>
        <v>1.115829794</v>
      </c>
      <c r="G382" s="110">
        <f t="shared" si="145"/>
        <v>1.008333333</v>
      </c>
      <c r="H382" s="110">
        <f t="shared" si="145"/>
        <v>0.9592805396</v>
      </c>
      <c r="I382" s="111">
        <f t="shared" si="145"/>
        <v>0.9066666667</v>
      </c>
    </row>
    <row r="383" hidden="1" outlineLevel="2">
      <c r="A383" s="116" t="s">
        <v>82</v>
      </c>
      <c r="B383" s="252">
        <f t="shared" ref="B383:I383" si="146">average(B381:B382)</f>
        <v>1.00897814</v>
      </c>
      <c r="C383" s="253">
        <f t="shared" si="146"/>
        <v>0.987804878</v>
      </c>
      <c r="D383" s="253">
        <f t="shared" si="146"/>
        <v>0.9384290589</v>
      </c>
      <c r="E383" s="253">
        <f t="shared" si="146"/>
        <v>0.8268939394</v>
      </c>
      <c r="F383" s="253">
        <f t="shared" si="146"/>
        <v>1.036486326</v>
      </c>
      <c r="G383" s="253">
        <f t="shared" si="146"/>
        <v>1.004166667</v>
      </c>
      <c r="H383" s="253">
        <f t="shared" si="146"/>
        <v>0.9548877946</v>
      </c>
      <c r="I383" s="256">
        <f t="shared" si="146"/>
        <v>0.9533333333</v>
      </c>
    </row>
    <row r="384" hidden="1" outlineLevel="2">
      <c r="A384" s="32" t="s">
        <v>121</v>
      </c>
      <c r="B384" s="316"/>
      <c r="C384" s="2"/>
      <c r="D384" s="2"/>
      <c r="E384" s="2"/>
      <c r="F384" s="2"/>
      <c r="G384" s="2"/>
      <c r="H384" s="2"/>
      <c r="I384" s="3"/>
    </row>
    <row r="385" hidden="1" outlineLevel="2">
      <c r="A385" s="64" t="s">
        <v>122</v>
      </c>
      <c r="B385" s="246">
        <v>9.0</v>
      </c>
      <c r="C385" s="247">
        <v>8.55</v>
      </c>
      <c r="D385" s="247">
        <v>8.58</v>
      </c>
      <c r="E385" s="247">
        <v>10.0</v>
      </c>
      <c r="F385" s="310">
        <v>9.66</v>
      </c>
      <c r="G385" s="247">
        <v>9.13</v>
      </c>
      <c r="H385" s="247">
        <v>9.0</v>
      </c>
      <c r="I385" s="248">
        <v>8.66</v>
      </c>
    </row>
    <row r="386" hidden="1" outlineLevel="2">
      <c r="A386" s="69" t="s">
        <v>128</v>
      </c>
      <c r="B386" s="119">
        <v>10.0</v>
      </c>
      <c r="C386" s="120">
        <v>10.0</v>
      </c>
      <c r="D386" s="120">
        <v>10.0</v>
      </c>
      <c r="E386" s="120">
        <v>10.0</v>
      </c>
      <c r="F386" s="120">
        <v>10.0</v>
      </c>
      <c r="G386" s="120">
        <v>10.0</v>
      </c>
      <c r="H386" s="120">
        <v>10.0</v>
      </c>
      <c r="I386" s="121">
        <v>10.0</v>
      </c>
    </row>
    <row r="387" hidden="1" outlineLevel="2">
      <c r="A387" s="54" t="s">
        <v>130</v>
      </c>
      <c r="B387" s="252">
        <f t="shared" ref="B387:I387" si="147">IF(B385=0,0,B385/B386)</f>
        <v>0.9</v>
      </c>
      <c r="C387" s="253">
        <f t="shared" si="147"/>
        <v>0.855</v>
      </c>
      <c r="D387" s="253">
        <f t="shared" si="147"/>
        <v>0.858</v>
      </c>
      <c r="E387" s="253">
        <f t="shared" si="147"/>
        <v>1</v>
      </c>
      <c r="F387" s="253">
        <f t="shared" si="147"/>
        <v>0.966</v>
      </c>
      <c r="G387" s="253">
        <f t="shared" si="147"/>
        <v>0.913</v>
      </c>
      <c r="H387" s="253">
        <f t="shared" si="147"/>
        <v>0.9</v>
      </c>
      <c r="I387" s="256">
        <f t="shared" si="147"/>
        <v>0.866</v>
      </c>
    </row>
    <row r="388" hidden="1" outlineLevel="2">
      <c r="A388" s="32" t="s">
        <v>131</v>
      </c>
      <c r="B388" s="34"/>
      <c r="C388" s="2"/>
      <c r="D388" s="2"/>
      <c r="E388" s="2"/>
      <c r="F388" s="2"/>
      <c r="G388" s="2"/>
      <c r="H388" s="2"/>
      <c r="I388" s="36"/>
    </row>
    <row r="389" hidden="1" outlineLevel="2">
      <c r="A389" s="64" t="s">
        <v>132</v>
      </c>
      <c r="B389" s="312"/>
      <c r="C389" s="313"/>
      <c r="D389" s="332"/>
      <c r="E389" s="313"/>
      <c r="F389" s="313"/>
      <c r="G389" s="313"/>
      <c r="H389" s="313"/>
      <c r="I389" s="314"/>
    </row>
    <row r="390" hidden="1" outlineLevel="2">
      <c r="A390" s="127" t="s">
        <v>134</v>
      </c>
      <c r="B390" s="34"/>
      <c r="C390" s="2"/>
      <c r="D390" s="2"/>
      <c r="E390" s="2"/>
      <c r="F390" s="2"/>
      <c r="G390" s="2"/>
      <c r="H390" s="2"/>
      <c r="I390" s="36"/>
    </row>
    <row r="391" hidden="1" outlineLevel="2">
      <c r="A391" s="69" t="s">
        <v>136</v>
      </c>
      <c r="B391" s="129">
        <f t="shared" ref="B391:I391" si="148">B370*25</f>
        <v>25.96052632</v>
      </c>
      <c r="C391" s="130">
        <f t="shared" si="148"/>
        <v>24</v>
      </c>
      <c r="D391" s="130">
        <f t="shared" si="148"/>
        <v>25.425</v>
      </c>
      <c r="E391" s="130">
        <f t="shared" si="148"/>
        <v>22.53125</v>
      </c>
      <c r="F391" s="130">
        <f t="shared" si="148"/>
        <v>26.33552632</v>
      </c>
      <c r="G391" s="130">
        <f t="shared" si="148"/>
        <v>24.7125</v>
      </c>
      <c r="H391" s="130">
        <f t="shared" si="148"/>
        <v>25.01875</v>
      </c>
      <c r="I391" s="132">
        <f t="shared" si="148"/>
        <v>23.3</v>
      </c>
    </row>
    <row r="392" hidden="1" outlineLevel="2">
      <c r="A392" s="69" t="s">
        <v>144</v>
      </c>
      <c r="B392" s="129">
        <f t="shared" ref="B392:I392" si="149">B374*35</f>
        <v>35</v>
      </c>
      <c r="C392" s="130">
        <f t="shared" si="149"/>
        <v>35</v>
      </c>
      <c r="D392" s="130">
        <f t="shared" si="149"/>
        <v>26.25</v>
      </c>
      <c r="E392" s="130">
        <f t="shared" si="149"/>
        <v>27.06375</v>
      </c>
      <c r="F392" s="130">
        <f t="shared" si="149"/>
        <v>35</v>
      </c>
      <c r="G392" s="130">
        <f t="shared" si="149"/>
        <v>35</v>
      </c>
      <c r="H392" s="130">
        <f t="shared" si="149"/>
        <v>35</v>
      </c>
      <c r="I392" s="132">
        <f t="shared" si="149"/>
        <v>35</v>
      </c>
    </row>
    <row r="393" hidden="1" outlineLevel="2">
      <c r="A393" s="69" t="s">
        <v>146</v>
      </c>
      <c r="B393" s="129">
        <f t="shared" ref="B393:I393" si="150">IF(AND(B374&lt;85%, B383&gt;100%), 25, B383*25)</f>
        <v>25.22445351</v>
      </c>
      <c r="C393" s="130">
        <f t="shared" si="150"/>
        <v>24.69512195</v>
      </c>
      <c r="D393" s="130">
        <f t="shared" si="150"/>
        <v>23.46072647</v>
      </c>
      <c r="E393" s="130">
        <f t="shared" si="150"/>
        <v>20.67234848</v>
      </c>
      <c r="F393" s="130">
        <f t="shared" si="150"/>
        <v>25.91215814</v>
      </c>
      <c r="G393" s="130">
        <f t="shared" si="150"/>
        <v>25.10416667</v>
      </c>
      <c r="H393" s="130">
        <f t="shared" si="150"/>
        <v>23.87219486</v>
      </c>
      <c r="I393" s="132">
        <f t="shared" si="150"/>
        <v>23.83333333</v>
      </c>
    </row>
    <row r="394" hidden="1" outlineLevel="2">
      <c r="A394" s="69" t="s">
        <v>148</v>
      </c>
      <c r="B394" s="129">
        <f t="shared" ref="B394:I394" si="151">B387*15</f>
        <v>13.5</v>
      </c>
      <c r="C394" s="130">
        <f t="shared" si="151"/>
        <v>12.825</v>
      </c>
      <c r="D394" s="130">
        <f t="shared" si="151"/>
        <v>12.87</v>
      </c>
      <c r="E394" s="130">
        <f t="shared" si="151"/>
        <v>15</v>
      </c>
      <c r="F394" s="130">
        <f t="shared" si="151"/>
        <v>14.49</v>
      </c>
      <c r="G394" s="130">
        <f t="shared" si="151"/>
        <v>13.695</v>
      </c>
      <c r="H394" s="130">
        <f t="shared" si="151"/>
        <v>13.5</v>
      </c>
      <c r="I394" s="132">
        <f t="shared" si="151"/>
        <v>12.99</v>
      </c>
    </row>
    <row r="395" hidden="1" outlineLevel="2">
      <c r="A395" s="69" t="s">
        <v>149</v>
      </c>
      <c r="B395" s="129">
        <f t="shared" ref="B395:I395" si="152">B389*-10</f>
        <v>0</v>
      </c>
      <c r="C395" s="130">
        <f t="shared" si="152"/>
        <v>0</v>
      </c>
      <c r="D395" s="130">
        <f t="shared" si="152"/>
        <v>0</v>
      </c>
      <c r="E395" s="130">
        <f t="shared" si="152"/>
        <v>0</v>
      </c>
      <c r="F395" s="130">
        <f t="shared" si="152"/>
        <v>0</v>
      </c>
      <c r="G395" s="130">
        <f t="shared" si="152"/>
        <v>0</v>
      </c>
      <c r="H395" s="130">
        <f t="shared" si="152"/>
        <v>0</v>
      </c>
      <c r="I395" s="132">
        <f t="shared" si="152"/>
        <v>0</v>
      </c>
    </row>
    <row r="396" hidden="1" outlineLevel="2">
      <c r="A396" s="142" t="s">
        <v>150</v>
      </c>
      <c r="B396" s="129">
        <f t="shared" ref="B396:I396" si="153">B391+B392+B393+B394+B395</f>
        <v>99.68497982</v>
      </c>
      <c r="C396" s="130">
        <f t="shared" si="153"/>
        <v>96.52012195</v>
      </c>
      <c r="D396" s="130">
        <f t="shared" si="153"/>
        <v>88.00572647</v>
      </c>
      <c r="E396" s="130">
        <f t="shared" si="153"/>
        <v>85.26734848</v>
      </c>
      <c r="F396" s="130">
        <f t="shared" si="153"/>
        <v>101.7376845</v>
      </c>
      <c r="G396" s="130">
        <f t="shared" si="153"/>
        <v>98.51166667</v>
      </c>
      <c r="H396" s="130">
        <f t="shared" si="153"/>
        <v>97.39094486</v>
      </c>
      <c r="I396" s="132">
        <f t="shared" si="153"/>
        <v>95.12333333</v>
      </c>
    </row>
    <row r="397" hidden="1" outlineLevel="2">
      <c r="A397" s="54" t="s">
        <v>152</v>
      </c>
      <c r="B397" s="58">
        <f t="shared" ref="B397:I397" si="154">B396/100</f>
        <v>0.9968497982</v>
      </c>
      <c r="C397" s="61">
        <f t="shared" si="154"/>
        <v>0.9652012195</v>
      </c>
      <c r="D397" s="378">
        <f t="shared" si="154"/>
        <v>0.8800572647</v>
      </c>
      <c r="E397" s="61">
        <f t="shared" si="154"/>
        <v>0.8526734848</v>
      </c>
      <c r="F397" s="61">
        <f t="shared" si="154"/>
        <v>1.017376845</v>
      </c>
      <c r="G397" s="61">
        <f t="shared" si="154"/>
        <v>0.9851166667</v>
      </c>
      <c r="H397" s="61">
        <f t="shared" si="154"/>
        <v>0.9739094486</v>
      </c>
      <c r="I397" s="62">
        <f t="shared" si="154"/>
        <v>0.9512333333</v>
      </c>
    </row>
    <row r="398" hidden="1" outlineLevel="2">
      <c r="A398" s="127" t="s">
        <v>154</v>
      </c>
      <c r="B398" s="349" t="s">
        <v>155</v>
      </c>
      <c r="C398" s="350" t="s">
        <v>155</v>
      </c>
      <c r="D398" s="350" t="s">
        <v>155</v>
      </c>
      <c r="E398" s="350" t="s">
        <v>155</v>
      </c>
      <c r="F398" s="350" t="s">
        <v>156</v>
      </c>
      <c r="G398" s="350" t="s">
        <v>155</v>
      </c>
      <c r="H398" s="350" t="s">
        <v>155</v>
      </c>
      <c r="I398" s="379" t="s">
        <v>155</v>
      </c>
    </row>
    <row r="399" hidden="1" outlineLevel="2">
      <c r="A399" s="127" t="s">
        <v>158</v>
      </c>
      <c r="B399" s="156"/>
      <c r="C399" s="157"/>
      <c r="D399" s="337"/>
      <c r="E399" s="157"/>
      <c r="F399" s="157"/>
      <c r="G399" s="157"/>
      <c r="H399" s="157"/>
      <c r="I399" s="352"/>
    </row>
    <row r="400" hidden="1" outlineLevel="1" collapsed="1">
      <c r="A400" s="12"/>
      <c r="B400" s="13" t="s">
        <v>563</v>
      </c>
      <c r="C400" s="14"/>
      <c r="D400" s="14"/>
      <c r="E400" s="14"/>
      <c r="F400" s="14"/>
      <c r="G400" s="14"/>
      <c r="H400" s="14"/>
      <c r="I400" s="15"/>
    </row>
    <row r="401" hidden="1" outlineLevel="2">
      <c r="A401" s="164"/>
      <c r="B401" s="302" t="s">
        <v>29</v>
      </c>
      <c r="C401" s="303" t="s">
        <v>4</v>
      </c>
      <c r="D401" s="303" t="s">
        <v>19</v>
      </c>
      <c r="E401" s="303" t="s">
        <v>30</v>
      </c>
      <c r="F401" s="303" t="s">
        <v>31</v>
      </c>
      <c r="G401" s="304" t="s">
        <v>32</v>
      </c>
      <c r="H401" s="305" t="s">
        <v>13</v>
      </c>
      <c r="I401" s="305" t="s">
        <v>350</v>
      </c>
    </row>
    <row r="402" hidden="1" outlineLevel="2">
      <c r="A402" s="25" t="s">
        <v>36</v>
      </c>
      <c r="B402" s="243" t="s">
        <v>539</v>
      </c>
      <c r="C402" s="244"/>
      <c r="D402" s="244"/>
      <c r="E402" s="244"/>
      <c r="F402" s="244"/>
      <c r="G402" s="244"/>
      <c r="H402" s="244"/>
      <c r="I402" s="245"/>
    </row>
    <row r="403" hidden="1" outlineLevel="2">
      <c r="A403" s="32" t="s">
        <v>45</v>
      </c>
      <c r="B403" s="34"/>
      <c r="C403" s="2"/>
      <c r="D403" s="2"/>
      <c r="E403" s="2"/>
      <c r="F403" s="2"/>
      <c r="G403" s="2"/>
      <c r="H403" s="2"/>
      <c r="I403" s="36"/>
    </row>
    <row r="404" hidden="1" outlineLevel="2">
      <c r="A404" s="38" t="s">
        <v>49</v>
      </c>
      <c r="B404" s="246">
        <v>37.04</v>
      </c>
      <c r="C404" s="247">
        <f>40.51-3</f>
        <v>37.51</v>
      </c>
      <c r="D404" s="380">
        <v>40.36</v>
      </c>
      <c r="E404" s="247">
        <v>31.39</v>
      </c>
      <c r="F404" s="247">
        <v>38.03</v>
      </c>
      <c r="G404" s="247">
        <v>32.51</v>
      </c>
      <c r="H404" s="247">
        <v>39.12</v>
      </c>
      <c r="I404" s="345">
        <v>37.27</v>
      </c>
    </row>
    <row r="405" hidden="1" outlineLevel="2">
      <c r="A405" s="49" t="s">
        <v>53</v>
      </c>
      <c r="B405" s="383">
        <v>38.0</v>
      </c>
      <c r="C405" s="51">
        <v>40.0</v>
      </c>
      <c r="D405" s="51">
        <v>40.0</v>
      </c>
      <c r="E405" s="250">
        <v>30.0</v>
      </c>
      <c r="F405" s="250">
        <v>38.0</v>
      </c>
      <c r="G405" s="250">
        <v>32.0</v>
      </c>
      <c r="H405" s="51">
        <v>40.0</v>
      </c>
      <c r="I405" s="346">
        <v>40.0</v>
      </c>
    </row>
    <row r="406" hidden="1" outlineLevel="2">
      <c r="A406" s="54" t="s">
        <v>57</v>
      </c>
      <c r="B406" s="252">
        <f t="shared" ref="B406:I406" si="155">B404/B405</f>
        <v>0.9747368421</v>
      </c>
      <c r="C406" s="253">
        <f t="shared" si="155"/>
        <v>0.93775</v>
      </c>
      <c r="D406" s="253">
        <f t="shared" si="155"/>
        <v>1.009</v>
      </c>
      <c r="E406" s="253">
        <f t="shared" si="155"/>
        <v>1.046333333</v>
      </c>
      <c r="F406" s="253">
        <f t="shared" si="155"/>
        <v>1.000789474</v>
      </c>
      <c r="G406" s="253">
        <f t="shared" si="155"/>
        <v>1.0159375</v>
      </c>
      <c r="H406" s="253">
        <f t="shared" si="155"/>
        <v>0.978</v>
      </c>
      <c r="I406" s="256">
        <f t="shared" si="155"/>
        <v>0.93175</v>
      </c>
    </row>
    <row r="407" hidden="1" outlineLevel="2">
      <c r="A407" s="32" t="s">
        <v>66</v>
      </c>
      <c r="B407" s="34"/>
      <c r="C407" s="2"/>
      <c r="D407" s="2"/>
      <c r="E407" s="2"/>
      <c r="F407" s="2"/>
      <c r="G407" s="2"/>
      <c r="H407" s="2"/>
      <c r="I407" s="36"/>
    </row>
    <row r="408" hidden="1" outlineLevel="2">
      <c r="A408" s="64" t="s">
        <v>67</v>
      </c>
      <c r="B408" s="246">
        <v>40.0</v>
      </c>
      <c r="C408" s="247">
        <v>40.0</v>
      </c>
      <c r="D408" s="247">
        <v>36.0</v>
      </c>
      <c r="E408" s="247">
        <v>40.0</v>
      </c>
      <c r="F408" s="247">
        <v>28.0</v>
      </c>
      <c r="G408" s="247">
        <v>31.0</v>
      </c>
      <c r="H408" s="247">
        <v>40.0</v>
      </c>
      <c r="I408" s="386">
        <v>40.0</v>
      </c>
    </row>
    <row r="409" hidden="1" outlineLevel="2">
      <c r="A409" s="69" t="s">
        <v>72</v>
      </c>
      <c r="B409" s="186">
        <v>40.0</v>
      </c>
      <c r="C409" s="187">
        <v>40.0</v>
      </c>
      <c r="D409" s="187">
        <v>40.0</v>
      </c>
      <c r="E409" s="187">
        <v>40.0</v>
      </c>
      <c r="F409" s="187">
        <v>40.0</v>
      </c>
      <c r="G409" s="187">
        <v>40.0</v>
      </c>
      <c r="H409" s="187">
        <v>40.0</v>
      </c>
      <c r="I409" s="188">
        <v>40.0</v>
      </c>
    </row>
    <row r="410" hidden="1" outlineLevel="2">
      <c r="A410" s="54" t="s">
        <v>74</v>
      </c>
      <c r="B410" s="252">
        <f t="shared" ref="B410:I410" si="156">B408/B409</f>
        <v>1</v>
      </c>
      <c r="C410" s="253">
        <f t="shared" si="156"/>
        <v>1</v>
      </c>
      <c r="D410" s="253">
        <f t="shared" si="156"/>
        <v>0.9</v>
      </c>
      <c r="E410" s="253">
        <f t="shared" si="156"/>
        <v>1</v>
      </c>
      <c r="F410" s="253">
        <f t="shared" si="156"/>
        <v>0.7</v>
      </c>
      <c r="G410" s="253">
        <f t="shared" si="156"/>
        <v>0.775</v>
      </c>
      <c r="H410" s="253">
        <f t="shared" si="156"/>
        <v>1</v>
      </c>
      <c r="I410" s="256">
        <f t="shared" si="156"/>
        <v>1</v>
      </c>
    </row>
    <row r="411" hidden="1" outlineLevel="2">
      <c r="A411" s="32" t="s">
        <v>75</v>
      </c>
      <c r="B411" s="34"/>
      <c r="C411" s="2"/>
      <c r="D411" s="2"/>
      <c r="E411" s="2"/>
      <c r="F411" s="2"/>
      <c r="G411" s="2"/>
      <c r="H411" s="2"/>
      <c r="I411" s="36"/>
    </row>
    <row r="412" hidden="1" outlineLevel="2">
      <c r="A412" s="64" t="s">
        <v>76</v>
      </c>
      <c r="B412" s="185" t="s">
        <v>79</v>
      </c>
      <c r="C412" s="78" t="s">
        <v>80</v>
      </c>
      <c r="D412" s="78" t="s">
        <v>80</v>
      </c>
      <c r="E412" s="78" t="s">
        <v>79</v>
      </c>
      <c r="F412" s="78" t="s">
        <v>79</v>
      </c>
      <c r="G412" s="77" t="s">
        <v>80</v>
      </c>
      <c r="H412" s="78" t="s">
        <v>79</v>
      </c>
      <c r="I412" s="79" t="s">
        <v>79</v>
      </c>
    </row>
    <row r="413" hidden="1" outlineLevel="2">
      <c r="A413" s="64" t="s">
        <v>81</v>
      </c>
      <c r="B413" s="185" t="s">
        <v>83</v>
      </c>
      <c r="C413" s="78" t="s">
        <v>85</v>
      </c>
      <c r="D413" s="78" t="s">
        <v>83</v>
      </c>
      <c r="E413" s="78" t="s">
        <v>85</v>
      </c>
      <c r="F413" s="78" t="s">
        <v>83</v>
      </c>
      <c r="G413" s="78" t="s">
        <v>85</v>
      </c>
      <c r="H413" s="78" t="s">
        <v>85</v>
      </c>
      <c r="I413" s="79" t="s">
        <v>85</v>
      </c>
    </row>
    <row r="414" hidden="1" outlineLevel="2">
      <c r="A414" s="64" t="s">
        <v>86</v>
      </c>
      <c r="B414" s="194">
        <f>IF(B404&lt;B405,B405,B404) *
IF(B412="AM",
    IF(B413="Oricle",3.5,
    IF(B413="Other Brands",4,
    IF(B413="Oricle Prio",0.6,""))),
 IF(B412="MID",
    IF(B413="Oricle",2.5,
    IF(B413="Other Brands",3,
    IF(B413="Oricle Prio",0.6,""))),
 IF(B412="GY",
    IF(B413="Oricle",1,
    IF(B413="Other Brands",1,
    IF(B413="Oricle Prio",0.3,""))),"")))-10</f>
        <v>104</v>
      </c>
      <c r="C414" s="204">
        <f>IF(C404&lt;C405,C405,C404) *
IF(C412="AM",
    IF(C413="Oricle",3,
    IF(C413="Other Brands",4,
    IF(C413="Oricle Prio",0.6,""))),
 IF(C412="MID",
    IF(C413="Oricle",2.5,
    IF(C413="Other Brands",3,
    IF(C413="Oricle Prio",0.6,""))),
 IF(C412="GY",
    IF(C413="Oricle",1,
    IF(C413="Other Brands",1,
    IF(C413="Oricle Prio",0.3,""))),"")))</f>
        <v>120</v>
      </c>
      <c r="D414" s="204">
        <f>IF(D404&lt;D405,D405,D404) *
IF(D412="AM",
    IF(D413="Oricle",3.5,
    IF(D413="Other Brands",4,
    IF(D413="Oricle Prio",0.6,""))),
 IF(D412="MID",
    IF(D413="Oricle",2.5,
    IF(D413="Other Brands",3,
    IF(D413="Oricle Prio",0.6,""))),
 IF(D412="GY",
    IF(D413="Oricle",1,
    IF(D413="Other Brands",1,
    IF(D413="Oricle Prio",0.3,""))),"")))</f>
        <v>161.44</v>
      </c>
      <c r="E414" s="204">
        <f>IF(E404&lt;E405,E405,E404) *
IF(E412="AM",
    IF(E413="Oricle",3.5,
    IF(E413="Other Brands",4,
    IF(E413="Oricle Prio",0.6,""))),
 IF(E412="MID",
    IF(E413="Oricle",2.5,
    IF(E413="Other Brands",3,
    IF(E413="Oricle Prio",0.6,""))),
 IF(E412="GY",
    IF(E413="Oricle",1,
    IF(E413="Other Brands",1,
    IF(E413="Oricle Prio",0.3,""))),"")))-12</f>
        <v>66.475</v>
      </c>
      <c r="F414" s="204">
        <f>IF(F404&lt;F405,F405,F404) *
IF(F412="AM",
    IF(F413="Oricle",3.5,
    IF(F413="Other Brands",4,
    IF(F413="Oricle Prio",0.6,""))),
 IF(F412="MID",
    IF(F413="Oricle",2.5,
    IF(F413="Other Brands",3,
    IF(F413="Oricle Prio",0.6,""))),
 IF(F412="GY",
    IF(F413="Oricle",1,
    IF(F413="Other Brands",1,
    IF(F413="Oricle Prio",0.3,""))),"")))</f>
        <v>114.09</v>
      </c>
      <c r="G414" s="204">
        <f>IF(G404&lt;G405,G405,G404) *
IF(G412="AM",
    IF(G413="Oricle",3,
    IF(G413="Other Brands",4,
    IF(G413="Oricle Prio",0.6,""))),
 IF(G412="MID",
    IF(G413="Oricle",2.5,
    IF(G413="Other Brands",3,
    IF(G413="Oricle Prio",0.6,""))),
 IF(G412="GY",
    IF(G413="Oricle",1,
    IF(G413="Other Brands",1,
    IF(G413="Oricle Prio",0.3,""))),"")))</f>
        <v>97.53</v>
      </c>
      <c r="H414" s="204">
        <f t="shared" ref="H414:I414" si="157">IF(H404&lt;H405,H405,H404) *
IF(H412="AM",
    IF(H413="Oricle",3.5,
    IF(H413="Other Brands",4,
    IF(H413="Oricle Prio",0.6,""))),
 IF(H412="MID",
    IF(H413="Oricle",2.5,
    IF(H413="Other Brands",3,
    IF(H413="Oricle Prio",0.6,""))),
 IF(H412="GY",
    IF(H413="Oricle",1,
    IF(H413="Other Brands",1,
    IF(H413="Oricle Prio",0.3,""))),"")))</f>
        <v>100</v>
      </c>
      <c r="I414" s="204">
        <f t="shared" si="157"/>
        <v>100</v>
      </c>
    </row>
    <row r="415" hidden="1" outlineLevel="2">
      <c r="A415" s="64" t="s">
        <v>98</v>
      </c>
      <c r="B415" s="266" t="s">
        <v>409</v>
      </c>
      <c r="C415" s="77" t="s">
        <v>589</v>
      </c>
      <c r="D415" s="77" t="s">
        <v>99</v>
      </c>
      <c r="E415" s="77" t="s">
        <v>590</v>
      </c>
      <c r="F415" s="77" t="s">
        <v>372</v>
      </c>
      <c r="G415" s="77" t="s">
        <v>521</v>
      </c>
      <c r="H415" s="77" t="s">
        <v>443</v>
      </c>
      <c r="I415" s="258" t="s">
        <v>591</v>
      </c>
    </row>
    <row r="416" hidden="1" outlineLevel="2">
      <c r="A416" s="64" t="s">
        <v>107</v>
      </c>
      <c r="B416" s="266" t="s">
        <v>409</v>
      </c>
      <c r="C416" s="77" t="s">
        <v>589</v>
      </c>
      <c r="D416" s="77" t="s">
        <v>251</v>
      </c>
      <c r="E416" s="77" t="s">
        <v>408</v>
      </c>
      <c r="F416" s="77" t="s">
        <v>445</v>
      </c>
      <c r="G416" s="77" t="s">
        <v>521</v>
      </c>
      <c r="H416" s="77" t="s">
        <v>443</v>
      </c>
      <c r="I416" s="258" t="s">
        <v>591</v>
      </c>
    </row>
    <row r="417" hidden="1" outlineLevel="2">
      <c r="A417" s="69" t="s">
        <v>115</v>
      </c>
      <c r="B417" s="108">
        <f t="shared" ref="B417:I417" si="158">IF(B415&gt;0,B416/B415,0)</f>
        <v>1</v>
      </c>
      <c r="C417" s="110">
        <f t="shared" si="158"/>
        <v>1</v>
      </c>
      <c r="D417" s="110">
        <f t="shared" si="158"/>
        <v>0.9722222222</v>
      </c>
      <c r="E417" s="110">
        <f t="shared" si="158"/>
        <v>0.96</v>
      </c>
      <c r="F417" s="110">
        <f t="shared" si="158"/>
        <v>0.981981982</v>
      </c>
      <c r="G417" s="110">
        <f t="shared" si="158"/>
        <v>1</v>
      </c>
      <c r="H417" s="110">
        <f t="shared" si="158"/>
        <v>1</v>
      </c>
      <c r="I417" s="111">
        <f t="shared" si="158"/>
        <v>1</v>
      </c>
    </row>
    <row r="418" hidden="1" outlineLevel="2">
      <c r="A418" s="69" t="s">
        <v>119</v>
      </c>
      <c r="B418" s="108">
        <f t="shared" ref="B418:I418" si="159">IF(B414&gt;0,B416/B414,0)</f>
        <v>0.8942307692</v>
      </c>
      <c r="C418" s="110">
        <f t="shared" si="159"/>
        <v>0.8666666667</v>
      </c>
      <c r="D418" s="110">
        <f t="shared" si="159"/>
        <v>0.8671952428</v>
      </c>
      <c r="E418" s="110">
        <f t="shared" si="159"/>
        <v>1.083113953</v>
      </c>
      <c r="F418" s="110">
        <f t="shared" si="159"/>
        <v>0.9553860987</v>
      </c>
      <c r="G418" s="110">
        <f t="shared" si="159"/>
        <v>1.097098329</v>
      </c>
      <c r="H418" s="110">
        <f t="shared" si="159"/>
        <v>0.74</v>
      </c>
      <c r="I418" s="111">
        <f t="shared" si="159"/>
        <v>0.88</v>
      </c>
    </row>
    <row r="419" hidden="1" outlineLevel="2">
      <c r="A419" s="116" t="s">
        <v>82</v>
      </c>
      <c r="B419" s="252">
        <f t="shared" ref="B419:I419" si="160">average(B417:B418)</f>
        <v>0.9471153846</v>
      </c>
      <c r="C419" s="253">
        <f t="shared" si="160"/>
        <v>0.9333333333</v>
      </c>
      <c r="D419" s="253">
        <f t="shared" si="160"/>
        <v>0.9197087325</v>
      </c>
      <c r="E419" s="253">
        <f t="shared" si="160"/>
        <v>1.021556976</v>
      </c>
      <c r="F419" s="253">
        <f t="shared" si="160"/>
        <v>0.9686840403</v>
      </c>
      <c r="G419" s="253">
        <f t="shared" si="160"/>
        <v>1.048549164</v>
      </c>
      <c r="H419" s="253">
        <f t="shared" si="160"/>
        <v>0.87</v>
      </c>
      <c r="I419" s="256">
        <f t="shared" si="160"/>
        <v>0.94</v>
      </c>
    </row>
    <row r="420" hidden="1" outlineLevel="2">
      <c r="A420" s="32" t="s">
        <v>121</v>
      </c>
      <c r="B420" s="316"/>
      <c r="C420" s="2"/>
      <c r="D420" s="2"/>
      <c r="E420" s="2"/>
      <c r="F420" s="2"/>
      <c r="G420" s="2"/>
      <c r="H420" s="2"/>
      <c r="I420" s="3"/>
    </row>
    <row r="421" hidden="1" outlineLevel="2">
      <c r="A421" s="64" t="s">
        <v>122</v>
      </c>
      <c r="B421" s="246">
        <v>9.33</v>
      </c>
      <c r="C421" s="247">
        <v>8.82</v>
      </c>
      <c r="D421" s="247">
        <v>8.44</v>
      </c>
      <c r="E421" s="247">
        <v>9.0</v>
      </c>
      <c r="F421" s="310">
        <v>10.0</v>
      </c>
      <c r="G421" s="247">
        <v>9.31</v>
      </c>
      <c r="H421" s="247">
        <v>9.18</v>
      </c>
      <c r="I421" s="248">
        <v>9.22</v>
      </c>
    </row>
    <row r="422" hidden="1" outlineLevel="2">
      <c r="A422" s="69" t="s">
        <v>128</v>
      </c>
      <c r="B422" s="119">
        <v>10.0</v>
      </c>
      <c r="C422" s="120">
        <v>10.0</v>
      </c>
      <c r="D422" s="120">
        <v>10.0</v>
      </c>
      <c r="E422" s="120">
        <v>10.0</v>
      </c>
      <c r="F422" s="120">
        <v>10.0</v>
      </c>
      <c r="G422" s="120">
        <v>10.0</v>
      </c>
      <c r="H422" s="120">
        <v>10.0</v>
      </c>
      <c r="I422" s="121">
        <v>10.0</v>
      </c>
    </row>
    <row r="423" hidden="1" outlineLevel="2">
      <c r="A423" s="54" t="s">
        <v>130</v>
      </c>
      <c r="B423" s="252">
        <f t="shared" ref="B423:I423" si="161">IF(B421=0,0,B421/B422)</f>
        <v>0.933</v>
      </c>
      <c r="C423" s="253">
        <f t="shared" si="161"/>
        <v>0.882</v>
      </c>
      <c r="D423" s="253">
        <f t="shared" si="161"/>
        <v>0.844</v>
      </c>
      <c r="E423" s="253">
        <f t="shared" si="161"/>
        <v>0.9</v>
      </c>
      <c r="F423" s="253">
        <f t="shared" si="161"/>
        <v>1</v>
      </c>
      <c r="G423" s="253">
        <f t="shared" si="161"/>
        <v>0.931</v>
      </c>
      <c r="H423" s="253">
        <f t="shared" si="161"/>
        <v>0.918</v>
      </c>
      <c r="I423" s="256">
        <f t="shared" si="161"/>
        <v>0.922</v>
      </c>
    </row>
    <row r="424" hidden="1" outlineLevel="2">
      <c r="A424" s="32" t="s">
        <v>131</v>
      </c>
      <c r="B424" s="34"/>
      <c r="C424" s="2"/>
      <c r="D424" s="2"/>
      <c r="E424" s="2"/>
      <c r="F424" s="2"/>
      <c r="G424" s="2"/>
      <c r="H424" s="2"/>
      <c r="I424" s="36"/>
    </row>
    <row r="425" hidden="1" outlineLevel="2">
      <c r="A425" s="64" t="s">
        <v>132</v>
      </c>
      <c r="B425" s="312"/>
      <c r="C425" s="313"/>
      <c r="D425" s="332"/>
      <c r="E425" s="313"/>
      <c r="F425" s="313"/>
      <c r="G425" s="313"/>
      <c r="H425" s="313"/>
      <c r="I425" s="314"/>
    </row>
    <row r="426" hidden="1" outlineLevel="2">
      <c r="A426" s="127" t="s">
        <v>134</v>
      </c>
      <c r="B426" s="34"/>
      <c r="C426" s="2"/>
      <c r="D426" s="2"/>
      <c r="E426" s="2"/>
      <c r="F426" s="2"/>
      <c r="G426" s="2"/>
      <c r="H426" s="2"/>
      <c r="I426" s="36"/>
    </row>
    <row r="427" hidden="1" outlineLevel="2">
      <c r="A427" s="69" t="s">
        <v>136</v>
      </c>
      <c r="B427" s="129">
        <f t="shared" ref="B427:I427" si="162">B406*25</f>
        <v>24.36842105</v>
      </c>
      <c r="C427" s="130">
        <f t="shared" si="162"/>
        <v>23.44375</v>
      </c>
      <c r="D427" s="130">
        <f t="shared" si="162"/>
        <v>25.225</v>
      </c>
      <c r="E427" s="130">
        <f t="shared" si="162"/>
        <v>26.15833333</v>
      </c>
      <c r="F427" s="130">
        <f t="shared" si="162"/>
        <v>25.01973684</v>
      </c>
      <c r="G427" s="130">
        <f t="shared" si="162"/>
        <v>25.3984375</v>
      </c>
      <c r="H427" s="130">
        <f t="shared" si="162"/>
        <v>24.45</v>
      </c>
      <c r="I427" s="132">
        <f t="shared" si="162"/>
        <v>23.29375</v>
      </c>
    </row>
    <row r="428" hidden="1" outlineLevel="2">
      <c r="A428" s="69" t="s">
        <v>144</v>
      </c>
      <c r="B428" s="129">
        <f t="shared" ref="B428:I428" si="163">B410*35</f>
        <v>35</v>
      </c>
      <c r="C428" s="130">
        <f t="shared" si="163"/>
        <v>35</v>
      </c>
      <c r="D428" s="130">
        <f t="shared" si="163"/>
        <v>31.5</v>
      </c>
      <c r="E428" s="130">
        <f t="shared" si="163"/>
        <v>35</v>
      </c>
      <c r="F428" s="130">
        <f t="shared" si="163"/>
        <v>24.5</v>
      </c>
      <c r="G428" s="130">
        <f t="shared" si="163"/>
        <v>27.125</v>
      </c>
      <c r="H428" s="130">
        <f t="shared" si="163"/>
        <v>35</v>
      </c>
      <c r="I428" s="132">
        <f t="shared" si="163"/>
        <v>35</v>
      </c>
    </row>
    <row r="429" hidden="1" outlineLevel="2">
      <c r="A429" s="69" t="s">
        <v>146</v>
      </c>
      <c r="B429" s="129">
        <f t="shared" ref="B429:I429" si="164">IF(AND(B410&lt;85%, B419&gt;100%), 25, B419*25)</f>
        <v>23.67788462</v>
      </c>
      <c r="C429" s="130">
        <f t="shared" si="164"/>
        <v>23.33333333</v>
      </c>
      <c r="D429" s="130">
        <f t="shared" si="164"/>
        <v>22.99271831</v>
      </c>
      <c r="E429" s="130">
        <f t="shared" si="164"/>
        <v>25.53892441</v>
      </c>
      <c r="F429" s="130">
        <f t="shared" si="164"/>
        <v>24.21710101</v>
      </c>
      <c r="G429" s="130">
        <f t="shared" si="164"/>
        <v>25</v>
      </c>
      <c r="H429" s="130">
        <f t="shared" si="164"/>
        <v>21.75</v>
      </c>
      <c r="I429" s="132">
        <f t="shared" si="164"/>
        <v>23.5</v>
      </c>
    </row>
    <row r="430" hidden="1" outlineLevel="2">
      <c r="A430" s="69" t="s">
        <v>148</v>
      </c>
      <c r="B430" s="129">
        <f t="shared" ref="B430:I430" si="165">B423*15</f>
        <v>13.995</v>
      </c>
      <c r="C430" s="130">
        <f t="shared" si="165"/>
        <v>13.23</v>
      </c>
      <c r="D430" s="130">
        <f t="shared" si="165"/>
        <v>12.66</v>
      </c>
      <c r="E430" s="130">
        <f t="shared" si="165"/>
        <v>13.5</v>
      </c>
      <c r="F430" s="130">
        <f t="shared" si="165"/>
        <v>15</v>
      </c>
      <c r="G430" s="130">
        <f t="shared" si="165"/>
        <v>13.965</v>
      </c>
      <c r="H430" s="130">
        <f t="shared" si="165"/>
        <v>13.77</v>
      </c>
      <c r="I430" s="132">
        <f t="shared" si="165"/>
        <v>13.83</v>
      </c>
    </row>
    <row r="431" hidden="1" outlineLevel="2">
      <c r="A431" s="69" t="s">
        <v>149</v>
      </c>
      <c r="B431" s="129">
        <f t="shared" ref="B431:I431" si="166">B425*-10</f>
        <v>0</v>
      </c>
      <c r="C431" s="130">
        <f t="shared" si="166"/>
        <v>0</v>
      </c>
      <c r="D431" s="130">
        <f t="shared" si="166"/>
        <v>0</v>
      </c>
      <c r="E431" s="130">
        <f t="shared" si="166"/>
        <v>0</v>
      </c>
      <c r="F431" s="130">
        <f t="shared" si="166"/>
        <v>0</v>
      </c>
      <c r="G431" s="130">
        <f t="shared" si="166"/>
        <v>0</v>
      </c>
      <c r="H431" s="130">
        <f t="shared" si="166"/>
        <v>0</v>
      </c>
      <c r="I431" s="132">
        <f t="shared" si="166"/>
        <v>0</v>
      </c>
    </row>
    <row r="432" hidden="1" outlineLevel="2">
      <c r="A432" s="142" t="s">
        <v>150</v>
      </c>
      <c r="B432" s="129">
        <f t="shared" ref="B432:I432" si="167">B427+B428+B429+B430+B431</f>
        <v>97.04130567</v>
      </c>
      <c r="C432" s="130">
        <f t="shared" si="167"/>
        <v>95.00708333</v>
      </c>
      <c r="D432" s="130">
        <f t="shared" si="167"/>
        <v>92.37771831</v>
      </c>
      <c r="E432" s="130">
        <f t="shared" si="167"/>
        <v>100.1972577</v>
      </c>
      <c r="F432" s="130">
        <f t="shared" si="167"/>
        <v>88.73683785</v>
      </c>
      <c r="G432" s="130">
        <f t="shared" si="167"/>
        <v>91.4884375</v>
      </c>
      <c r="H432" s="130">
        <f t="shared" si="167"/>
        <v>94.97</v>
      </c>
      <c r="I432" s="132">
        <f t="shared" si="167"/>
        <v>95.62375</v>
      </c>
    </row>
    <row r="433" hidden="1" outlineLevel="2">
      <c r="A433" s="54" t="s">
        <v>152</v>
      </c>
      <c r="B433" s="58">
        <f t="shared" ref="B433:I433" si="168">B432/100</f>
        <v>0.9704130567</v>
      </c>
      <c r="C433" s="61">
        <f t="shared" si="168"/>
        <v>0.9500708333</v>
      </c>
      <c r="D433" s="378">
        <f t="shared" si="168"/>
        <v>0.9237771831</v>
      </c>
      <c r="E433" s="61">
        <f t="shared" si="168"/>
        <v>1.001972577</v>
      </c>
      <c r="F433" s="61">
        <f t="shared" si="168"/>
        <v>0.8873683785</v>
      </c>
      <c r="G433" s="61">
        <f t="shared" si="168"/>
        <v>0.914884375</v>
      </c>
      <c r="H433" s="61">
        <f t="shared" si="168"/>
        <v>0.9497</v>
      </c>
      <c r="I433" s="62">
        <f t="shared" si="168"/>
        <v>0.9562375</v>
      </c>
    </row>
    <row r="434" hidden="1" outlineLevel="2">
      <c r="A434" s="127" t="s">
        <v>154</v>
      </c>
      <c r="B434" s="349" t="s">
        <v>155</v>
      </c>
      <c r="C434" s="350" t="s">
        <v>155</v>
      </c>
      <c r="D434" s="350" t="s">
        <v>155</v>
      </c>
      <c r="E434" s="350" t="s">
        <v>156</v>
      </c>
      <c r="F434" s="350" t="s">
        <v>155</v>
      </c>
      <c r="G434" s="350" t="s">
        <v>155</v>
      </c>
      <c r="H434" s="350" t="s">
        <v>155</v>
      </c>
      <c r="I434" s="379" t="s">
        <v>155</v>
      </c>
    </row>
    <row r="435" hidden="1" outlineLevel="2">
      <c r="A435" s="127" t="s">
        <v>158</v>
      </c>
      <c r="B435" s="156"/>
      <c r="C435" s="157"/>
      <c r="D435" s="337"/>
      <c r="E435" s="157"/>
      <c r="F435" s="157"/>
      <c r="G435" s="157"/>
      <c r="H435" s="157"/>
      <c r="I435" s="352"/>
    </row>
    <row r="436" hidden="1" outlineLevel="1" collapsed="1">
      <c r="A436" s="12"/>
      <c r="B436" s="13" t="s">
        <v>607</v>
      </c>
      <c r="C436" s="14"/>
      <c r="D436" s="14"/>
      <c r="E436" s="14"/>
      <c r="F436" s="14"/>
      <c r="G436" s="14"/>
      <c r="H436" s="14"/>
      <c r="I436" s="15"/>
    </row>
    <row r="437" hidden="1" outlineLevel="2">
      <c r="A437" s="164"/>
      <c r="B437" s="302" t="s">
        <v>29</v>
      </c>
      <c r="C437" s="303" t="s">
        <v>4</v>
      </c>
      <c r="D437" s="303" t="s">
        <v>19</v>
      </c>
      <c r="E437" s="303" t="s">
        <v>30</v>
      </c>
      <c r="F437" s="303" t="s">
        <v>31</v>
      </c>
      <c r="G437" s="304" t="s">
        <v>32</v>
      </c>
      <c r="H437" s="305" t="s">
        <v>13</v>
      </c>
      <c r="I437" s="305" t="s">
        <v>350</v>
      </c>
    </row>
    <row r="438" hidden="1" outlineLevel="2">
      <c r="A438" s="25" t="s">
        <v>36</v>
      </c>
      <c r="B438" s="243" t="s">
        <v>607</v>
      </c>
      <c r="C438" s="244"/>
      <c r="D438" s="244"/>
      <c r="E438" s="244"/>
      <c r="F438" s="244"/>
      <c r="G438" s="244"/>
      <c r="H438" s="244"/>
      <c r="I438" s="245"/>
    </row>
    <row r="439" hidden="1" outlineLevel="2">
      <c r="A439" s="32" t="s">
        <v>45</v>
      </c>
      <c r="B439" s="34"/>
      <c r="C439" s="2"/>
      <c r="D439" s="2"/>
      <c r="E439" s="2"/>
      <c r="F439" s="2"/>
      <c r="G439" s="2"/>
      <c r="H439" s="2"/>
      <c r="I439" s="36"/>
    </row>
    <row r="440" hidden="1" outlineLevel="2">
      <c r="A440" s="38" t="s">
        <v>49</v>
      </c>
      <c r="B440" s="246">
        <v>40.03</v>
      </c>
      <c r="C440" s="247">
        <f>40.44-2</f>
        <v>38.44</v>
      </c>
      <c r="D440" s="380">
        <v>40.43</v>
      </c>
      <c r="E440" s="247">
        <v>40.06</v>
      </c>
      <c r="F440" s="247">
        <v>39.49</v>
      </c>
      <c r="G440" s="247">
        <v>41.26</v>
      </c>
      <c r="H440" s="247">
        <v>31.05</v>
      </c>
      <c r="I440" s="345">
        <v>37.35</v>
      </c>
    </row>
    <row r="441" hidden="1" outlineLevel="2">
      <c r="A441" s="49" t="s">
        <v>53</v>
      </c>
      <c r="B441" s="383">
        <v>37.0</v>
      </c>
      <c r="C441" s="51">
        <v>40.0</v>
      </c>
      <c r="D441" s="51">
        <v>40.0</v>
      </c>
      <c r="E441" s="250">
        <v>37.0</v>
      </c>
      <c r="F441" s="250">
        <v>38.0</v>
      </c>
      <c r="G441" s="250">
        <v>40.0</v>
      </c>
      <c r="H441" s="250">
        <v>32.0</v>
      </c>
      <c r="I441" s="346">
        <v>40.0</v>
      </c>
    </row>
    <row r="442" hidden="1" outlineLevel="2">
      <c r="A442" s="54" t="s">
        <v>57</v>
      </c>
      <c r="B442" s="252">
        <f t="shared" ref="B442:I442" si="169">B440/B441</f>
        <v>1.081891892</v>
      </c>
      <c r="C442" s="253">
        <f t="shared" si="169"/>
        <v>0.961</v>
      </c>
      <c r="D442" s="253">
        <f t="shared" si="169"/>
        <v>1.01075</v>
      </c>
      <c r="E442" s="253">
        <f t="shared" si="169"/>
        <v>1.082702703</v>
      </c>
      <c r="F442" s="253">
        <f t="shared" si="169"/>
        <v>1.039210526</v>
      </c>
      <c r="G442" s="253">
        <f t="shared" si="169"/>
        <v>1.0315</v>
      </c>
      <c r="H442" s="253">
        <f t="shared" si="169"/>
        <v>0.9703125</v>
      </c>
      <c r="I442" s="256">
        <f t="shared" si="169"/>
        <v>0.93375</v>
      </c>
    </row>
    <row r="443" hidden="1" outlineLevel="2">
      <c r="A443" s="32" t="s">
        <v>66</v>
      </c>
      <c r="B443" s="34"/>
      <c r="C443" s="2"/>
      <c r="D443" s="2"/>
      <c r="E443" s="2"/>
      <c r="F443" s="2"/>
      <c r="G443" s="2"/>
      <c r="H443" s="2"/>
      <c r="I443" s="36"/>
    </row>
    <row r="444" hidden="1" outlineLevel="2">
      <c r="A444" s="64" t="s">
        <v>67</v>
      </c>
      <c r="B444" s="246">
        <v>40.0</v>
      </c>
      <c r="C444" s="247">
        <v>40.0</v>
      </c>
      <c r="D444" s="247">
        <v>40.0</v>
      </c>
      <c r="E444" s="247">
        <v>40.0</v>
      </c>
      <c r="F444" s="247">
        <v>22.0</v>
      </c>
      <c r="G444" s="247">
        <v>40.0</v>
      </c>
      <c r="H444" s="247">
        <v>35.5</v>
      </c>
      <c r="I444" s="386">
        <v>37.0</v>
      </c>
    </row>
    <row r="445" hidden="1" outlineLevel="2">
      <c r="A445" s="69" t="s">
        <v>72</v>
      </c>
      <c r="B445" s="186">
        <v>40.0</v>
      </c>
      <c r="C445" s="187">
        <v>40.0</v>
      </c>
      <c r="D445" s="187">
        <v>40.0</v>
      </c>
      <c r="E445" s="187">
        <v>40.0</v>
      </c>
      <c r="F445" s="187">
        <v>40.0</v>
      </c>
      <c r="G445" s="187">
        <v>40.0</v>
      </c>
      <c r="H445" s="187">
        <v>40.0</v>
      </c>
      <c r="I445" s="188">
        <v>40.0</v>
      </c>
    </row>
    <row r="446" hidden="1" outlineLevel="2">
      <c r="A446" s="54" t="s">
        <v>74</v>
      </c>
      <c r="B446" s="252">
        <f t="shared" ref="B446:I446" si="170">B444/B445</f>
        <v>1</v>
      </c>
      <c r="C446" s="253">
        <f t="shared" si="170"/>
        <v>1</v>
      </c>
      <c r="D446" s="253">
        <f t="shared" si="170"/>
        <v>1</v>
      </c>
      <c r="E446" s="253">
        <f t="shared" si="170"/>
        <v>1</v>
      </c>
      <c r="F446" s="253">
        <f t="shared" si="170"/>
        <v>0.55</v>
      </c>
      <c r="G446" s="253">
        <f t="shared" si="170"/>
        <v>1</v>
      </c>
      <c r="H446" s="253">
        <f t="shared" si="170"/>
        <v>0.8875</v>
      </c>
      <c r="I446" s="256">
        <f t="shared" si="170"/>
        <v>0.925</v>
      </c>
    </row>
    <row r="447" hidden="1" outlineLevel="2">
      <c r="A447" s="32" t="s">
        <v>75</v>
      </c>
      <c r="B447" s="34"/>
      <c r="C447" s="2"/>
      <c r="D447" s="2"/>
      <c r="E447" s="2"/>
      <c r="F447" s="2"/>
      <c r="G447" s="2"/>
      <c r="H447" s="2"/>
      <c r="I447" s="36"/>
    </row>
    <row r="448" hidden="1" outlineLevel="2">
      <c r="A448" s="64" t="s">
        <v>76</v>
      </c>
      <c r="B448" s="185" t="s">
        <v>79</v>
      </c>
      <c r="C448" s="78" t="s">
        <v>80</v>
      </c>
      <c r="D448" s="78" t="s">
        <v>80</v>
      </c>
      <c r="E448" s="78" t="s">
        <v>79</v>
      </c>
      <c r="F448" s="78" t="s">
        <v>79</v>
      </c>
      <c r="G448" s="77" t="s">
        <v>80</v>
      </c>
      <c r="H448" s="78" t="s">
        <v>79</v>
      </c>
      <c r="I448" s="79" t="s">
        <v>79</v>
      </c>
    </row>
    <row r="449" hidden="1" outlineLevel="2">
      <c r="A449" s="64" t="s">
        <v>81</v>
      </c>
      <c r="B449" s="185" t="s">
        <v>83</v>
      </c>
      <c r="C449" s="78" t="s">
        <v>85</v>
      </c>
      <c r="D449" s="78" t="s">
        <v>83</v>
      </c>
      <c r="E449" s="78" t="s">
        <v>85</v>
      </c>
      <c r="F449" s="78" t="s">
        <v>83</v>
      </c>
      <c r="G449" s="78" t="s">
        <v>85</v>
      </c>
      <c r="H449" s="78" t="s">
        <v>85</v>
      </c>
      <c r="I449" s="79" t="s">
        <v>85</v>
      </c>
    </row>
    <row r="450" hidden="1" outlineLevel="2">
      <c r="A450" s="64" t="s">
        <v>86</v>
      </c>
      <c r="B450" s="194">
        <f>IF(B440&lt;B441,B441,B440) *
IF(B448="AM",
    IF(B449="Oricle",3.5,
    IF(B449="Other Brands",4,
    IF(B449="Oricle Prio",0.6,""))),
 IF(B448="MID",
    IF(B449="Oricle",2.5,
    IF(B449="Other Brands",3,
    IF(B449="Oricle Prio",0.6,""))),
 IF(B448="GY",
    IF(B449="Oricle",1,
    IF(B449="Other Brands",1,
    IF(B449="Oricle Prio",0.3,""))),"")))-10</f>
        <v>110.09</v>
      </c>
      <c r="C450" s="204">
        <f>IF(C440&lt;C441,C441,C440) *
IF(C448="AM",
    IF(C449="Oricle",3,
    IF(C449="Other Brands",4,
    IF(C449="Oricle Prio",0.6,""))),
 IF(C448="MID",
    IF(C449="Oricle",2.5,
    IF(C449="Other Brands",3,
    IF(C449="Oricle Prio",0.6,""))),
 IF(C448="GY",
    IF(C449="Oricle",1,
    IF(C449="Other Brands",1,
    IF(C449="Oricle Prio",0.3,""))),"")))</f>
        <v>120</v>
      </c>
      <c r="D450" s="204">
        <f>IF(D440&lt;D441,D441,D440) *
IF(D448="AM",
    IF(D449="Oricle",3.5,
    IF(D449="Other Brands",4,
    IF(D449="Oricle Prio",0.6,""))),
 IF(D448="MID",
    IF(D449="Oricle",2.5,
    IF(D449="Other Brands",3,
    IF(D449="Oricle Prio",0.6,""))),
 IF(D448="GY",
    IF(D449="Oricle",1,
    IF(D449="Other Brands",1,
    IF(D449="Oricle Prio",0.3,""))),"")))</f>
        <v>161.72</v>
      </c>
      <c r="E450" s="204">
        <f>IF(E440&lt;E441,E441,E440) *
IF(E448="AM",
    IF(E449="Oricle",3.5,
    IF(E449="Other Brands",4,
    IF(E449="Oricle Prio",0.6,""))),
 IF(E448="MID",
    IF(E449="Oricle",2.5,
    IF(E449="Other Brands",3,
    IF(E449="Oricle Prio",0.6,""))),
 IF(E448="GY",
    IF(E449="Oricle",1,
    IF(E449="Other Brands",1,
    IF(E449="Oricle Prio",0.3,""))),"")))-12</f>
        <v>88.15</v>
      </c>
      <c r="F450" s="204">
        <f>IF(F440&lt;F441,F441,F440) *
IF(F448="AM",
    IF(F449="Oricle",3.5,
    IF(F449="Other Brands",4,
    IF(F449="Oricle Prio",0.6,""))),
 IF(F448="MID",
    IF(F449="Oricle",2.5,
    IF(F449="Other Brands",3,
    IF(F449="Oricle Prio",0.6,""))),
 IF(F448="GY",
    IF(F449="Oricle",1,
    IF(F449="Other Brands",1,
    IF(F449="Oricle Prio",0.3,""))),"")))</f>
        <v>118.47</v>
      </c>
      <c r="G450" s="204">
        <f>IF(G440&lt;G441,G441,G440) *
IF(G448="AM",
    IF(G449="Oricle",3,
    IF(G449="Other Brands",4,
    IF(G449="Oricle Prio",0.6,""))),
 IF(G448="MID",
    IF(G449="Oricle",2.5,
    IF(G449="Other Brands",3,
    IF(G449="Oricle Prio",0.6,""))),
 IF(G448="GY",
    IF(G449="Oricle",1,
    IF(G449="Other Brands",1,
    IF(G449="Oricle Prio",0.3,""))),"")))</f>
        <v>123.78</v>
      </c>
      <c r="H450" s="204">
        <f t="shared" ref="H450:I450" si="171">IF(H440&lt;H441,H441,H440) *
IF(H448="AM",
    IF(H449="Oricle",3.5,
    IF(H449="Other Brands",4,
    IF(H449="Oricle Prio",0.6,""))),
 IF(H448="MID",
    IF(H449="Oricle",2.5,
    IF(H449="Other Brands",3,
    IF(H449="Oricle Prio",0.6,""))),
 IF(H448="GY",
    IF(H449="Oricle",1,
    IF(H449="Other Brands",1,
    IF(H449="Oricle Prio",0.3,""))),"")))</f>
        <v>80</v>
      </c>
      <c r="I450" s="204">
        <f t="shared" si="171"/>
        <v>100</v>
      </c>
    </row>
    <row r="451" hidden="1" outlineLevel="2">
      <c r="A451" s="64" t="s">
        <v>98</v>
      </c>
      <c r="B451" s="266" t="s">
        <v>442</v>
      </c>
      <c r="C451" s="77" t="s">
        <v>300</v>
      </c>
      <c r="D451" s="77" t="s">
        <v>333</v>
      </c>
      <c r="E451" s="77" t="s">
        <v>638</v>
      </c>
      <c r="F451" s="77" t="s">
        <v>518</v>
      </c>
      <c r="G451" s="77" t="s">
        <v>479</v>
      </c>
      <c r="H451" s="77" t="s">
        <v>408</v>
      </c>
      <c r="I451" s="258" t="s">
        <v>639</v>
      </c>
    </row>
    <row r="452" hidden="1" outlineLevel="2">
      <c r="A452" s="64" t="s">
        <v>107</v>
      </c>
      <c r="B452" s="266" t="s">
        <v>296</v>
      </c>
      <c r="C452" s="77" t="s">
        <v>303</v>
      </c>
      <c r="D452" s="77" t="s">
        <v>99</v>
      </c>
      <c r="E452" s="77" t="s">
        <v>209</v>
      </c>
      <c r="F452" s="77" t="s">
        <v>522</v>
      </c>
      <c r="G452" s="77" t="s">
        <v>479</v>
      </c>
      <c r="H452" s="77" t="s">
        <v>640</v>
      </c>
      <c r="I452" s="258" t="s">
        <v>639</v>
      </c>
    </row>
    <row r="453" hidden="1" outlineLevel="2">
      <c r="A453" s="69" t="s">
        <v>115</v>
      </c>
      <c r="B453" s="108">
        <f t="shared" ref="B453:I453" si="172">IF(B451&gt;0,B452/B451,0)</f>
        <v>0.9818181818</v>
      </c>
      <c r="C453" s="110">
        <f t="shared" si="172"/>
        <v>0.9898989899</v>
      </c>
      <c r="D453" s="110">
        <f t="shared" si="172"/>
        <v>0.966442953</v>
      </c>
      <c r="E453" s="110">
        <f t="shared" si="172"/>
        <v>0.9673913043</v>
      </c>
      <c r="F453" s="110">
        <f t="shared" si="172"/>
        <v>0.8095238095</v>
      </c>
      <c r="G453" s="110">
        <f t="shared" si="172"/>
        <v>1</v>
      </c>
      <c r="H453" s="110">
        <f t="shared" si="172"/>
        <v>0.8611111111</v>
      </c>
      <c r="I453" s="111">
        <f t="shared" si="172"/>
        <v>1</v>
      </c>
    </row>
    <row r="454" hidden="1" outlineLevel="2">
      <c r="A454" s="69" t="s">
        <v>119</v>
      </c>
      <c r="B454" s="108">
        <f t="shared" ref="B454:I454" si="173">IF(B450&gt;0,B452/B450,0)</f>
        <v>0.9810155327</v>
      </c>
      <c r="C454" s="110">
        <f t="shared" si="173"/>
        <v>0.8166666667</v>
      </c>
      <c r="D454" s="110">
        <f t="shared" si="173"/>
        <v>0.8904279001</v>
      </c>
      <c r="E454" s="110">
        <f t="shared" si="173"/>
        <v>1.009642655</v>
      </c>
      <c r="F454" s="110">
        <f t="shared" si="173"/>
        <v>0.7174812189</v>
      </c>
      <c r="G454" s="110">
        <f t="shared" si="173"/>
        <v>0.9856196478</v>
      </c>
      <c r="H454" s="110">
        <f t="shared" si="173"/>
        <v>0.775</v>
      </c>
      <c r="I454" s="111">
        <f t="shared" si="173"/>
        <v>0.83</v>
      </c>
    </row>
    <row r="455" hidden="1" outlineLevel="2">
      <c r="A455" s="116" t="s">
        <v>82</v>
      </c>
      <c r="B455" s="252">
        <f t="shared" ref="B455:I455" si="174">average(B453:B454)</f>
        <v>0.9814168573</v>
      </c>
      <c r="C455" s="253">
        <f t="shared" si="174"/>
        <v>0.9032828283</v>
      </c>
      <c r="D455" s="253">
        <f t="shared" si="174"/>
        <v>0.9284354265</v>
      </c>
      <c r="E455" s="253">
        <f t="shared" si="174"/>
        <v>0.9885169795</v>
      </c>
      <c r="F455" s="253">
        <f t="shared" si="174"/>
        <v>0.7635025142</v>
      </c>
      <c r="G455" s="253">
        <f t="shared" si="174"/>
        <v>0.9928098239</v>
      </c>
      <c r="H455" s="253">
        <f t="shared" si="174"/>
        <v>0.8180555556</v>
      </c>
      <c r="I455" s="256">
        <f t="shared" si="174"/>
        <v>0.915</v>
      </c>
    </row>
    <row r="456" hidden="1" outlineLevel="2">
      <c r="A456" s="32" t="s">
        <v>121</v>
      </c>
      <c r="B456" s="316"/>
      <c r="C456" s="2"/>
      <c r="D456" s="2"/>
      <c r="E456" s="2"/>
      <c r="F456" s="2"/>
      <c r="G456" s="2"/>
      <c r="H456" s="2"/>
      <c r="I456" s="3"/>
    </row>
    <row r="457" hidden="1" outlineLevel="2">
      <c r="A457" s="64" t="s">
        <v>122</v>
      </c>
      <c r="B457" s="246">
        <v>10.0</v>
      </c>
      <c r="C457" s="247">
        <v>8.58</v>
      </c>
      <c r="D457" s="247">
        <v>8.61</v>
      </c>
      <c r="E457" s="247">
        <v>9.0</v>
      </c>
      <c r="F457" s="310">
        <v>8.66</v>
      </c>
      <c r="G457" s="247">
        <v>9.54</v>
      </c>
      <c r="H457" s="247">
        <v>8.36</v>
      </c>
      <c r="I457" s="248">
        <v>8.78</v>
      </c>
    </row>
    <row r="458" hidden="1" outlineLevel="2">
      <c r="A458" s="69" t="s">
        <v>128</v>
      </c>
      <c r="B458" s="119">
        <v>10.0</v>
      </c>
      <c r="C458" s="120">
        <v>10.0</v>
      </c>
      <c r="D458" s="120">
        <v>10.0</v>
      </c>
      <c r="E458" s="120">
        <v>10.0</v>
      </c>
      <c r="F458" s="120">
        <v>10.0</v>
      </c>
      <c r="G458" s="120">
        <v>10.0</v>
      </c>
      <c r="H458" s="120">
        <v>10.0</v>
      </c>
      <c r="I458" s="121">
        <v>10.0</v>
      </c>
    </row>
    <row r="459" hidden="1" outlineLevel="2">
      <c r="A459" s="54" t="s">
        <v>130</v>
      </c>
      <c r="B459" s="252">
        <f t="shared" ref="B459:I459" si="175">IF(B457=0,0,B457/B458)</f>
        <v>1</v>
      </c>
      <c r="C459" s="253">
        <f t="shared" si="175"/>
        <v>0.858</v>
      </c>
      <c r="D459" s="253">
        <f t="shared" si="175"/>
        <v>0.861</v>
      </c>
      <c r="E459" s="253">
        <f t="shared" si="175"/>
        <v>0.9</v>
      </c>
      <c r="F459" s="253">
        <f t="shared" si="175"/>
        <v>0.866</v>
      </c>
      <c r="G459" s="253">
        <f t="shared" si="175"/>
        <v>0.954</v>
      </c>
      <c r="H459" s="253">
        <f t="shared" si="175"/>
        <v>0.836</v>
      </c>
      <c r="I459" s="256">
        <f t="shared" si="175"/>
        <v>0.878</v>
      </c>
    </row>
    <row r="460" hidden="1" outlineLevel="2">
      <c r="A460" s="32" t="s">
        <v>131</v>
      </c>
      <c r="B460" s="34"/>
      <c r="C460" s="2"/>
      <c r="D460" s="2"/>
      <c r="E460" s="2"/>
      <c r="F460" s="2"/>
      <c r="G460" s="2"/>
      <c r="H460" s="2"/>
      <c r="I460" s="36"/>
    </row>
    <row r="461" hidden="1" outlineLevel="2">
      <c r="A461" s="64" t="s">
        <v>132</v>
      </c>
      <c r="B461" s="312"/>
      <c r="C461" s="313"/>
      <c r="D461" s="332"/>
      <c r="E461" s="313"/>
      <c r="F461" s="313"/>
      <c r="G461" s="313"/>
      <c r="H461" s="313"/>
      <c r="I461" s="314"/>
    </row>
    <row r="462" hidden="1" outlineLevel="2">
      <c r="A462" s="127" t="s">
        <v>134</v>
      </c>
      <c r="B462" s="34"/>
      <c r="C462" s="2"/>
      <c r="D462" s="2"/>
      <c r="E462" s="2"/>
      <c r="F462" s="2"/>
      <c r="G462" s="2"/>
      <c r="H462" s="2"/>
      <c r="I462" s="36"/>
    </row>
    <row r="463" hidden="1" outlineLevel="2">
      <c r="A463" s="69" t="s">
        <v>136</v>
      </c>
      <c r="B463" s="129">
        <f t="shared" ref="B463:I463" si="176">B442*25</f>
        <v>27.0472973</v>
      </c>
      <c r="C463" s="130">
        <f t="shared" si="176"/>
        <v>24.025</v>
      </c>
      <c r="D463" s="130">
        <f t="shared" si="176"/>
        <v>25.26875</v>
      </c>
      <c r="E463" s="130">
        <f t="shared" si="176"/>
        <v>27.06756757</v>
      </c>
      <c r="F463" s="130">
        <f t="shared" si="176"/>
        <v>25.98026316</v>
      </c>
      <c r="G463" s="130">
        <f t="shared" si="176"/>
        <v>25.7875</v>
      </c>
      <c r="H463" s="130">
        <f t="shared" si="176"/>
        <v>24.2578125</v>
      </c>
      <c r="I463" s="132">
        <f t="shared" si="176"/>
        <v>23.34375</v>
      </c>
    </row>
    <row r="464" hidden="1" outlineLevel="2">
      <c r="A464" s="69" t="s">
        <v>144</v>
      </c>
      <c r="B464" s="129">
        <f t="shared" ref="B464:I464" si="177">B446*35</f>
        <v>35</v>
      </c>
      <c r="C464" s="130">
        <f t="shared" si="177"/>
        <v>35</v>
      </c>
      <c r="D464" s="130">
        <f t="shared" si="177"/>
        <v>35</v>
      </c>
      <c r="E464" s="130">
        <f t="shared" si="177"/>
        <v>35</v>
      </c>
      <c r="F464" s="130">
        <f t="shared" si="177"/>
        <v>19.25</v>
      </c>
      <c r="G464" s="130">
        <f t="shared" si="177"/>
        <v>35</v>
      </c>
      <c r="H464" s="130">
        <f t="shared" si="177"/>
        <v>31.0625</v>
      </c>
      <c r="I464" s="132">
        <f t="shared" si="177"/>
        <v>32.375</v>
      </c>
    </row>
    <row r="465" hidden="1" outlineLevel="2">
      <c r="A465" s="69" t="s">
        <v>146</v>
      </c>
      <c r="B465" s="129">
        <f t="shared" ref="B465:I465" si="178">IF(AND(B446&lt;85%, B455&gt;100%), 25, B455*25)</f>
        <v>24.53542143</v>
      </c>
      <c r="C465" s="130">
        <f t="shared" si="178"/>
        <v>22.58207071</v>
      </c>
      <c r="D465" s="130">
        <f t="shared" si="178"/>
        <v>23.21088566</v>
      </c>
      <c r="E465" s="130">
        <f t="shared" si="178"/>
        <v>24.71292449</v>
      </c>
      <c r="F465" s="130">
        <f t="shared" si="178"/>
        <v>19.08756285</v>
      </c>
      <c r="G465" s="130">
        <f t="shared" si="178"/>
        <v>24.8202456</v>
      </c>
      <c r="H465" s="130">
        <f t="shared" si="178"/>
        <v>20.45138889</v>
      </c>
      <c r="I465" s="132">
        <f t="shared" si="178"/>
        <v>22.875</v>
      </c>
    </row>
    <row r="466" hidden="1" outlineLevel="2">
      <c r="A466" s="69" t="s">
        <v>148</v>
      </c>
      <c r="B466" s="129">
        <f t="shared" ref="B466:I466" si="179">B459*15</f>
        <v>15</v>
      </c>
      <c r="C466" s="130">
        <f t="shared" si="179"/>
        <v>12.87</v>
      </c>
      <c r="D466" s="130">
        <f t="shared" si="179"/>
        <v>12.915</v>
      </c>
      <c r="E466" s="130">
        <f t="shared" si="179"/>
        <v>13.5</v>
      </c>
      <c r="F466" s="130">
        <f t="shared" si="179"/>
        <v>12.99</v>
      </c>
      <c r="G466" s="130">
        <f t="shared" si="179"/>
        <v>14.31</v>
      </c>
      <c r="H466" s="130">
        <f t="shared" si="179"/>
        <v>12.54</v>
      </c>
      <c r="I466" s="132">
        <f t="shared" si="179"/>
        <v>13.17</v>
      </c>
    </row>
    <row r="467" hidden="1" outlineLevel="2">
      <c r="A467" s="69" t="s">
        <v>149</v>
      </c>
      <c r="B467" s="129">
        <f t="shared" ref="B467:I467" si="180">B461*-10</f>
        <v>0</v>
      </c>
      <c r="C467" s="130">
        <f t="shared" si="180"/>
        <v>0</v>
      </c>
      <c r="D467" s="130">
        <f t="shared" si="180"/>
        <v>0</v>
      </c>
      <c r="E467" s="130">
        <f t="shared" si="180"/>
        <v>0</v>
      </c>
      <c r="F467" s="130">
        <f t="shared" si="180"/>
        <v>0</v>
      </c>
      <c r="G467" s="130">
        <f t="shared" si="180"/>
        <v>0</v>
      </c>
      <c r="H467" s="130">
        <f t="shared" si="180"/>
        <v>0</v>
      </c>
      <c r="I467" s="132">
        <f t="shared" si="180"/>
        <v>0</v>
      </c>
    </row>
    <row r="468" hidden="1" outlineLevel="2">
      <c r="A468" s="142" t="s">
        <v>150</v>
      </c>
      <c r="B468" s="129">
        <f t="shared" ref="B468:I468" si="181">B463+B464+B465+B466+B467</f>
        <v>101.5827187</v>
      </c>
      <c r="C468" s="130">
        <f t="shared" si="181"/>
        <v>94.47707071</v>
      </c>
      <c r="D468" s="130">
        <f t="shared" si="181"/>
        <v>96.39463566</v>
      </c>
      <c r="E468" s="130">
        <f t="shared" si="181"/>
        <v>100.2804921</v>
      </c>
      <c r="F468" s="130">
        <f t="shared" si="181"/>
        <v>77.30782601</v>
      </c>
      <c r="G468" s="130">
        <f t="shared" si="181"/>
        <v>99.9177456</v>
      </c>
      <c r="H468" s="130">
        <f t="shared" si="181"/>
        <v>88.31170139</v>
      </c>
      <c r="I468" s="132">
        <f t="shared" si="181"/>
        <v>91.76375</v>
      </c>
    </row>
    <row r="469" hidden="1" outlineLevel="2">
      <c r="A469" s="54" t="s">
        <v>152</v>
      </c>
      <c r="B469" s="58">
        <f t="shared" ref="B469:I469" si="182">B468/100</f>
        <v>1.015827187</v>
      </c>
      <c r="C469" s="61">
        <f t="shared" si="182"/>
        <v>0.9447707071</v>
      </c>
      <c r="D469" s="378">
        <f t="shared" si="182"/>
        <v>0.9639463566</v>
      </c>
      <c r="E469" s="61">
        <f t="shared" si="182"/>
        <v>1.002804921</v>
      </c>
      <c r="F469" s="61">
        <f t="shared" si="182"/>
        <v>0.7730782601</v>
      </c>
      <c r="G469" s="61">
        <f t="shared" si="182"/>
        <v>0.999177456</v>
      </c>
      <c r="H469" s="61">
        <f t="shared" si="182"/>
        <v>0.8831170139</v>
      </c>
      <c r="I469" s="62">
        <f t="shared" si="182"/>
        <v>0.9176375</v>
      </c>
    </row>
    <row r="470" hidden="1" outlineLevel="2">
      <c r="A470" s="127" t="s">
        <v>154</v>
      </c>
      <c r="B470" s="349" t="s">
        <v>156</v>
      </c>
      <c r="C470" s="350" t="s">
        <v>155</v>
      </c>
      <c r="D470" s="350" t="s">
        <v>155</v>
      </c>
      <c r="E470" s="350" t="s">
        <v>155</v>
      </c>
      <c r="F470" s="350" t="s">
        <v>157</v>
      </c>
      <c r="G470" s="350" t="s">
        <v>155</v>
      </c>
      <c r="H470" s="350" t="s">
        <v>155</v>
      </c>
      <c r="I470" s="350" t="s">
        <v>155</v>
      </c>
    </row>
    <row r="471" hidden="1" outlineLevel="2">
      <c r="A471" s="127" t="s">
        <v>158</v>
      </c>
      <c r="B471" s="156"/>
      <c r="C471" s="157"/>
      <c r="D471" s="337"/>
      <c r="E471" s="157"/>
      <c r="F471" s="157"/>
      <c r="G471" s="157"/>
      <c r="H471" s="157"/>
      <c r="I471" s="352"/>
    </row>
    <row r="472" hidden="1" outlineLevel="1">
      <c r="A472" s="12"/>
      <c r="B472" s="13" t="s">
        <v>663</v>
      </c>
      <c r="C472" s="14"/>
      <c r="D472" s="14"/>
      <c r="E472" s="14"/>
      <c r="F472" s="14"/>
      <c r="G472" s="14"/>
      <c r="H472" s="14"/>
      <c r="I472" s="15"/>
    </row>
    <row r="473" hidden="1" outlineLevel="1">
      <c r="A473" s="164"/>
      <c r="B473" s="302" t="s">
        <v>29</v>
      </c>
      <c r="C473" s="303" t="s">
        <v>4</v>
      </c>
      <c r="D473" s="303" t="s">
        <v>19</v>
      </c>
      <c r="E473" s="303" t="s">
        <v>30</v>
      </c>
      <c r="F473" s="303" t="s">
        <v>31</v>
      </c>
      <c r="G473" s="304" t="s">
        <v>32</v>
      </c>
      <c r="H473" s="305" t="s">
        <v>13</v>
      </c>
      <c r="I473" s="305" t="s">
        <v>350</v>
      </c>
    </row>
    <row r="474" hidden="1" outlineLevel="1">
      <c r="A474" s="25" t="s">
        <v>36</v>
      </c>
      <c r="B474" s="243" t="s">
        <v>663</v>
      </c>
      <c r="C474" s="244"/>
      <c r="D474" s="244"/>
      <c r="E474" s="244"/>
      <c r="F474" s="244"/>
      <c r="G474" s="244"/>
      <c r="H474" s="244"/>
      <c r="I474" s="245"/>
    </row>
    <row r="475" hidden="1" outlineLevel="1">
      <c r="A475" s="32" t="s">
        <v>45</v>
      </c>
      <c r="B475" s="34"/>
      <c r="C475" s="2"/>
      <c r="D475" s="2"/>
      <c r="E475" s="2"/>
      <c r="F475" s="2"/>
      <c r="G475" s="2"/>
      <c r="H475" s="2"/>
      <c r="I475" s="36"/>
    </row>
    <row r="476" hidden="1" outlineLevel="1">
      <c r="A476" s="38" t="s">
        <v>49</v>
      </c>
      <c r="B476" s="246">
        <v>35.58</v>
      </c>
      <c r="C476" s="247">
        <v>40.37</v>
      </c>
      <c r="D476" s="380">
        <v>40.34</v>
      </c>
      <c r="E476" s="247">
        <v>40.04</v>
      </c>
      <c r="F476" s="247">
        <v>39.18</v>
      </c>
      <c r="G476" s="247">
        <v>41.01</v>
      </c>
      <c r="H476" s="247">
        <v>24.01</v>
      </c>
      <c r="I476" s="345">
        <v>37.26</v>
      </c>
    </row>
    <row r="477" hidden="1" outlineLevel="1">
      <c r="A477" s="49" t="s">
        <v>53</v>
      </c>
      <c r="B477" s="383">
        <v>38.0</v>
      </c>
      <c r="C477" s="51">
        <v>40.0</v>
      </c>
      <c r="D477" s="51">
        <v>40.0</v>
      </c>
      <c r="E477" s="250">
        <v>38.0</v>
      </c>
      <c r="F477" s="250">
        <v>38.0</v>
      </c>
      <c r="G477" s="250">
        <v>40.0</v>
      </c>
      <c r="H477" s="250">
        <v>40.0</v>
      </c>
      <c r="I477" s="346">
        <v>40.0</v>
      </c>
    </row>
    <row r="478" hidden="1" outlineLevel="1">
      <c r="A478" s="54" t="s">
        <v>57</v>
      </c>
      <c r="B478" s="252">
        <f t="shared" ref="B478:I478" si="183">B476/B477</f>
        <v>0.9363157895</v>
      </c>
      <c r="C478" s="253">
        <f t="shared" si="183"/>
        <v>1.00925</v>
      </c>
      <c r="D478" s="253">
        <f t="shared" si="183"/>
        <v>1.0085</v>
      </c>
      <c r="E478" s="253">
        <f t="shared" si="183"/>
        <v>1.053684211</v>
      </c>
      <c r="F478" s="253">
        <f t="shared" si="183"/>
        <v>1.031052632</v>
      </c>
      <c r="G478" s="253">
        <f t="shared" si="183"/>
        <v>1.02525</v>
      </c>
      <c r="H478" s="253">
        <f t="shared" si="183"/>
        <v>0.60025</v>
      </c>
      <c r="I478" s="256">
        <f t="shared" si="183"/>
        <v>0.9315</v>
      </c>
    </row>
    <row r="479" hidden="1" outlineLevel="1">
      <c r="A479" s="32" t="s">
        <v>66</v>
      </c>
      <c r="B479" s="34"/>
      <c r="C479" s="2"/>
      <c r="D479" s="2"/>
      <c r="E479" s="2"/>
      <c r="F479" s="2"/>
      <c r="G479" s="2"/>
      <c r="H479" s="2"/>
      <c r="I479" s="36"/>
    </row>
    <row r="480" hidden="1" outlineLevel="1">
      <c r="A480" s="64" t="s">
        <v>67</v>
      </c>
      <c r="B480" s="246">
        <v>40.0</v>
      </c>
      <c r="C480" s="247">
        <v>40.0</v>
      </c>
      <c r="D480" s="247">
        <v>40.0</v>
      </c>
      <c r="E480" s="247">
        <v>40.0</v>
      </c>
      <c r="F480" s="247">
        <v>40.0</v>
      </c>
      <c r="G480" s="247">
        <v>40.0</v>
      </c>
      <c r="H480" s="247">
        <v>40.0</v>
      </c>
      <c r="I480" s="248">
        <v>40.0</v>
      </c>
    </row>
    <row r="481" hidden="1" outlineLevel="1">
      <c r="A481" s="69" t="s">
        <v>72</v>
      </c>
      <c r="B481" s="186">
        <v>40.0</v>
      </c>
      <c r="C481" s="187">
        <v>40.0</v>
      </c>
      <c r="D481" s="187">
        <v>40.0</v>
      </c>
      <c r="E481" s="187">
        <v>40.0</v>
      </c>
      <c r="F481" s="187">
        <v>40.0</v>
      </c>
      <c r="G481" s="187">
        <v>40.0</v>
      </c>
      <c r="H481" s="187">
        <v>40.0</v>
      </c>
      <c r="I481" s="188">
        <v>40.0</v>
      </c>
    </row>
    <row r="482" hidden="1" outlineLevel="1">
      <c r="A482" s="54" t="s">
        <v>74</v>
      </c>
      <c r="B482" s="252">
        <f t="shared" ref="B482:I482" si="184">B480/B481</f>
        <v>1</v>
      </c>
      <c r="C482" s="253">
        <f t="shared" si="184"/>
        <v>1</v>
      </c>
      <c r="D482" s="253">
        <f t="shared" si="184"/>
        <v>1</v>
      </c>
      <c r="E482" s="253">
        <f t="shared" si="184"/>
        <v>1</v>
      </c>
      <c r="F482" s="253">
        <f t="shared" si="184"/>
        <v>1</v>
      </c>
      <c r="G482" s="253">
        <f t="shared" si="184"/>
        <v>1</v>
      </c>
      <c r="H482" s="253">
        <f t="shared" si="184"/>
        <v>1</v>
      </c>
      <c r="I482" s="256">
        <f t="shared" si="184"/>
        <v>1</v>
      </c>
    </row>
    <row r="483" hidden="1" outlineLevel="1">
      <c r="A483" s="32" t="s">
        <v>75</v>
      </c>
      <c r="B483" s="34"/>
      <c r="C483" s="2"/>
      <c r="D483" s="2"/>
      <c r="E483" s="2"/>
      <c r="F483" s="2"/>
      <c r="G483" s="2"/>
      <c r="H483" s="2"/>
      <c r="I483" s="36"/>
    </row>
    <row r="484" hidden="1" outlineLevel="1">
      <c r="A484" s="64" t="s">
        <v>76</v>
      </c>
      <c r="B484" s="185" t="s">
        <v>79</v>
      </c>
      <c r="C484" s="78" t="s">
        <v>80</v>
      </c>
      <c r="D484" s="78" t="s">
        <v>80</v>
      </c>
      <c r="E484" s="78" t="s">
        <v>79</v>
      </c>
      <c r="F484" s="78" t="s">
        <v>79</v>
      </c>
      <c r="G484" s="77" t="s">
        <v>80</v>
      </c>
      <c r="H484" s="78" t="s">
        <v>79</v>
      </c>
      <c r="I484" s="79" t="s">
        <v>79</v>
      </c>
    </row>
    <row r="485" hidden="1" outlineLevel="1">
      <c r="A485" s="64" t="s">
        <v>81</v>
      </c>
      <c r="B485" s="185" t="s">
        <v>83</v>
      </c>
      <c r="C485" s="78" t="s">
        <v>85</v>
      </c>
      <c r="D485" s="78" t="s">
        <v>83</v>
      </c>
      <c r="E485" s="78" t="s">
        <v>85</v>
      </c>
      <c r="F485" s="78" t="s">
        <v>83</v>
      </c>
      <c r="G485" s="78" t="s">
        <v>85</v>
      </c>
      <c r="H485" s="78" t="s">
        <v>85</v>
      </c>
      <c r="I485" s="79" t="s">
        <v>85</v>
      </c>
    </row>
    <row r="486" hidden="1" outlineLevel="1">
      <c r="A486" s="64" t="s">
        <v>86</v>
      </c>
      <c r="B486" s="194">
        <f>IF(B476&lt;B477,B477,B476) *
IF(B484="AM",
    IF(B485="Oricle",3.5,
    IF(B485="Other Brands",4,
    IF(B485="Oricle Prio",0.6,""))),
 IF(B484="MID",
    IF(B485="Oricle",2.5,
    IF(B485="Other Brands",3,
    IF(B485="Oricle Prio",0.6,""))),
 IF(B484="GY",
    IF(B485="Oricle",1,
    IF(B485="Other Brands",1,
    IF(B485="Oricle Prio",0.3,""))),"")))-10</f>
        <v>104</v>
      </c>
      <c r="C486" s="204">
        <f>IF(C476&lt;C477,C477,C476) *
IF(C484="AM",
    IF(C485="Oricle",3,
    IF(C485="Other Brands",4,
    IF(C485="Oricle Prio",0.6,""))),
 IF(C484="MID",
    IF(C485="Oricle",2.5,
    IF(C485="Other Brands",3,
    IF(C485="Oricle Prio",0.6,""))),
 IF(C484="GY",
    IF(C485="Oricle",1,
    IF(C485="Other Brands",1,
    IF(C485="Oricle Prio",0.3,""))),"")))</f>
        <v>121.11</v>
      </c>
      <c r="D486" s="204">
        <f>IF(D476&lt;D477,D477,D476) *
IF(D484="AM",
    IF(D485="Oricle",3.5,
    IF(D485="Other Brands",4,
    IF(D485="Oricle Prio",0.6,""))),
 IF(D484="MID",
    IF(D485="Oricle",2.5,
    IF(D485="Other Brands",3,
    IF(D485="Oricle Prio",0.6,""))),
 IF(D484="GY",
    IF(D485="Oricle",1,
    IF(D485="Other Brands",1,
    IF(D485="Oricle Prio",0.3,""))),"")))</f>
        <v>161.36</v>
      </c>
      <c r="E486" s="204">
        <f>IF(E476&lt;E477,E477,E476) *
IF(E484="AM",
    IF(E485="Oricle",3.5,
    IF(E485="Other Brands",4,
    IF(E485="Oricle Prio",0.6,""))),
 IF(E484="MID",
    IF(E485="Oricle",2.5,
    IF(E485="Other Brands",3,
    IF(E485="Oricle Prio",0.6,""))),
 IF(E484="GY",
    IF(E485="Oricle",1,
    IF(E485="Other Brands",1,
    IF(E485="Oricle Prio",0.3,""))),"")))-12</f>
        <v>88.1</v>
      </c>
      <c r="F486" s="204">
        <f>IF(F476&lt;F477,F477,F476) *
IF(F484="AM",
    IF(F485="Oricle",3.5,
    IF(F485="Other Brands",4,
    IF(F485="Oricle Prio",0.6,""))),
 IF(F484="MID",
    IF(F485="Oricle",2.5,
    IF(F485="Other Brands",3,
    IF(F485="Oricle Prio",0.6,""))),
 IF(F484="GY",
    IF(F485="Oricle",1,
    IF(F485="Other Brands",1,
    IF(F485="Oricle Prio",0.3,""))),"")))</f>
        <v>117.54</v>
      </c>
      <c r="G486" s="204">
        <f>IF(G476&lt;G477,G477,G476) *
IF(G484="AM",
    IF(G485="Oricle",3,
    IF(G485="Other Brands",4,
    IF(G485="Oricle Prio",0.6,""))),
 IF(G484="MID",
    IF(G485="Oricle",2.5,
    IF(G485="Other Brands",3,
    IF(G485="Oricle Prio",0.6,""))),
 IF(G484="GY",
    IF(G485="Oricle",1,
    IF(G485="Other Brands",1,
    IF(G485="Oricle Prio",0.3,""))),"")))</f>
        <v>123.03</v>
      </c>
      <c r="H486" s="204">
        <f t="shared" ref="H486:I486" si="185">IF(H476&lt;H477,H477,H476) *
IF(H484="AM",
    IF(H485="Oricle",3.5,
    IF(H485="Other Brands",4,
    IF(H485="Oricle Prio",0.6,""))),
 IF(H484="MID",
    IF(H485="Oricle",2.5,
    IF(H485="Other Brands",3,
    IF(H485="Oricle Prio",0.6,""))),
 IF(H484="GY",
    IF(H485="Oricle",1,
    IF(H485="Other Brands",1,
    IF(H485="Oricle Prio",0.3,""))),"")))</f>
        <v>100</v>
      </c>
      <c r="I486" s="204">
        <f t="shared" si="185"/>
        <v>100</v>
      </c>
    </row>
    <row r="487" hidden="1" outlineLevel="1">
      <c r="A487" s="64" t="s">
        <v>98</v>
      </c>
      <c r="B487" s="266" t="s">
        <v>638</v>
      </c>
      <c r="C487" s="77" t="s">
        <v>687</v>
      </c>
      <c r="D487" s="77" t="s">
        <v>108</v>
      </c>
      <c r="E487" s="77" t="s">
        <v>209</v>
      </c>
      <c r="F487" s="77" t="s">
        <v>303</v>
      </c>
      <c r="G487" s="77" t="s">
        <v>444</v>
      </c>
      <c r="H487" s="77" t="s">
        <v>640</v>
      </c>
      <c r="I487" s="258" t="s">
        <v>638</v>
      </c>
    </row>
    <row r="488" hidden="1" outlineLevel="1">
      <c r="A488" s="64" t="s">
        <v>107</v>
      </c>
      <c r="B488" s="266" t="s">
        <v>688</v>
      </c>
      <c r="C488" s="77" t="s">
        <v>332</v>
      </c>
      <c r="D488" s="77" t="s">
        <v>251</v>
      </c>
      <c r="E488" s="77" t="s">
        <v>591</v>
      </c>
      <c r="F488" s="77" t="s">
        <v>689</v>
      </c>
      <c r="G488" s="77" t="s">
        <v>690</v>
      </c>
      <c r="H488" s="77" t="s">
        <v>557</v>
      </c>
      <c r="I488" s="258" t="s">
        <v>203</v>
      </c>
    </row>
    <row r="489" hidden="1" outlineLevel="1">
      <c r="A489" s="69" t="s">
        <v>115</v>
      </c>
      <c r="B489" s="108">
        <f t="shared" ref="B489:I489" si="186">IF(B487&gt;0,B488/B487,0)</f>
        <v>0.9891304348</v>
      </c>
      <c r="C489" s="110">
        <f t="shared" si="186"/>
        <v>0.9919354839</v>
      </c>
      <c r="D489" s="110">
        <f t="shared" si="186"/>
        <v>0.9929078014</v>
      </c>
      <c r="E489" s="110">
        <f t="shared" si="186"/>
        <v>0.9887640449</v>
      </c>
      <c r="F489" s="110">
        <f t="shared" si="186"/>
        <v>0.9693877551</v>
      </c>
      <c r="G489" s="110">
        <f t="shared" si="186"/>
        <v>0.992481203</v>
      </c>
      <c r="H489" s="110">
        <f t="shared" si="186"/>
        <v>0.9677419355</v>
      </c>
      <c r="I489" s="111">
        <f t="shared" si="186"/>
        <v>0.9782608696</v>
      </c>
    </row>
    <row r="490" hidden="1" outlineLevel="1">
      <c r="A490" s="69" t="s">
        <v>119</v>
      </c>
      <c r="B490" s="108">
        <f t="shared" ref="B490:I490" si="187">IF(B486&gt;0,B488/B486,0)</f>
        <v>0.875</v>
      </c>
      <c r="C490" s="110">
        <f t="shared" si="187"/>
        <v>1.015605648</v>
      </c>
      <c r="D490" s="110">
        <f t="shared" si="187"/>
        <v>0.8676251859</v>
      </c>
      <c r="E490" s="110">
        <f t="shared" si="187"/>
        <v>0.9988649262</v>
      </c>
      <c r="F490" s="110">
        <f t="shared" si="187"/>
        <v>0.8082354943</v>
      </c>
      <c r="G490" s="110">
        <f t="shared" si="187"/>
        <v>1.072909047</v>
      </c>
      <c r="H490" s="110">
        <f t="shared" si="187"/>
        <v>0.6</v>
      </c>
      <c r="I490" s="111">
        <f t="shared" si="187"/>
        <v>0.9</v>
      </c>
    </row>
    <row r="491" hidden="1" outlineLevel="1">
      <c r="A491" s="116" t="s">
        <v>82</v>
      </c>
      <c r="B491" s="252">
        <f t="shared" ref="B491:I491" si="188">average(B489:B490)</f>
        <v>0.9320652174</v>
      </c>
      <c r="C491" s="253">
        <f t="shared" si="188"/>
        <v>1.003770566</v>
      </c>
      <c r="D491" s="253">
        <f t="shared" si="188"/>
        <v>0.9302664937</v>
      </c>
      <c r="E491" s="253">
        <f t="shared" si="188"/>
        <v>0.9938144856</v>
      </c>
      <c r="F491" s="253">
        <f t="shared" si="188"/>
        <v>0.8888116247</v>
      </c>
      <c r="G491" s="253">
        <f t="shared" si="188"/>
        <v>1.032695125</v>
      </c>
      <c r="H491" s="253">
        <f t="shared" si="188"/>
        <v>0.7838709677</v>
      </c>
      <c r="I491" s="256">
        <f t="shared" si="188"/>
        <v>0.9391304348</v>
      </c>
    </row>
    <row r="492" hidden="1" outlineLevel="1">
      <c r="A492" s="32" t="s">
        <v>121</v>
      </c>
      <c r="B492" s="316"/>
      <c r="C492" s="2"/>
      <c r="D492" s="2"/>
      <c r="E492" s="2"/>
      <c r="F492" s="2"/>
      <c r="G492" s="2"/>
      <c r="H492" s="2"/>
      <c r="I492" s="3"/>
    </row>
    <row r="493" hidden="1" outlineLevel="1">
      <c r="A493" s="64" t="s">
        <v>122</v>
      </c>
      <c r="B493" s="246">
        <v>8.66</v>
      </c>
      <c r="C493" s="247">
        <v>9.08</v>
      </c>
      <c r="D493" s="247">
        <v>8.9</v>
      </c>
      <c r="E493" s="247">
        <v>10.0</v>
      </c>
      <c r="F493" s="310">
        <v>9.66</v>
      </c>
      <c r="G493" s="247">
        <v>9.22</v>
      </c>
      <c r="H493" s="247">
        <v>8.62</v>
      </c>
      <c r="I493" s="248">
        <v>6.92</v>
      </c>
    </row>
    <row r="494" hidden="1" outlineLevel="1">
      <c r="A494" s="69" t="s">
        <v>128</v>
      </c>
      <c r="B494" s="119">
        <v>10.0</v>
      </c>
      <c r="C494" s="120">
        <v>10.0</v>
      </c>
      <c r="D494" s="120">
        <v>10.0</v>
      </c>
      <c r="E494" s="120">
        <v>10.0</v>
      </c>
      <c r="F494" s="120">
        <v>10.0</v>
      </c>
      <c r="G494" s="120">
        <v>10.0</v>
      </c>
      <c r="H494" s="120">
        <v>10.0</v>
      </c>
      <c r="I494" s="121">
        <v>10.0</v>
      </c>
    </row>
    <row r="495" hidden="1" outlineLevel="1">
      <c r="A495" s="54" t="s">
        <v>130</v>
      </c>
      <c r="B495" s="252">
        <f t="shared" ref="B495:I495" si="189">IF(B493=0,0,B493/B494)</f>
        <v>0.866</v>
      </c>
      <c r="C495" s="253">
        <f t="shared" si="189"/>
        <v>0.908</v>
      </c>
      <c r="D495" s="253">
        <f t="shared" si="189"/>
        <v>0.89</v>
      </c>
      <c r="E495" s="253">
        <f t="shared" si="189"/>
        <v>1</v>
      </c>
      <c r="F495" s="253">
        <f t="shared" si="189"/>
        <v>0.966</v>
      </c>
      <c r="G495" s="253">
        <f t="shared" si="189"/>
        <v>0.922</v>
      </c>
      <c r="H495" s="253">
        <f t="shared" si="189"/>
        <v>0.862</v>
      </c>
      <c r="I495" s="256">
        <f t="shared" si="189"/>
        <v>0.692</v>
      </c>
    </row>
    <row r="496" hidden="1" outlineLevel="1">
      <c r="A496" s="32" t="s">
        <v>131</v>
      </c>
      <c r="B496" s="34"/>
      <c r="C496" s="2"/>
      <c r="D496" s="2"/>
      <c r="E496" s="2"/>
      <c r="F496" s="2"/>
      <c r="G496" s="2"/>
      <c r="H496" s="2"/>
      <c r="I496" s="36"/>
    </row>
    <row r="497" hidden="1" outlineLevel="1">
      <c r="A497" s="64" t="s">
        <v>132</v>
      </c>
      <c r="B497" s="312"/>
      <c r="C497" s="313"/>
      <c r="D497" s="332"/>
      <c r="E497" s="313"/>
      <c r="F497" s="313"/>
      <c r="G497" s="313"/>
      <c r="H497" s="313"/>
      <c r="I497" s="314"/>
    </row>
    <row r="498" hidden="1" outlineLevel="1">
      <c r="A498" s="127" t="s">
        <v>134</v>
      </c>
      <c r="B498" s="34"/>
      <c r="C498" s="2"/>
      <c r="D498" s="2"/>
      <c r="E498" s="2"/>
      <c r="F498" s="2"/>
      <c r="G498" s="2"/>
      <c r="H498" s="2"/>
      <c r="I498" s="36"/>
    </row>
    <row r="499" hidden="1" outlineLevel="1">
      <c r="A499" s="69" t="s">
        <v>136</v>
      </c>
      <c r="B499" s="129">
        <f t="shared" ref="B499:I499" si="190">B478*25</f>
        <v>23.40789474</v>
      </c>
      <c r="C499" s="130">
        <f t="shared" si="190"/>
        <v>25.23125</v>
      </c>
      <c r="D499" s="130">
        <f t="shared" si="190"/>
        <v>25.2125</v>
      </c>
      <c r="E499" s="130">
        <f t="shared" si="190"/>
        <v>26.34210526</v>
      </c>
      <c r="F499" s="130">
        <f t="shared" si="190"/>
        <v>25.77631579</v>
      </c>
      <c r="G499" s="130">
        <f t="shared" si="190"/>
        <v>25.63125</v>
      </c>
      <c r="H499" s="130">
        <f t="shared" si="190"/>
        <v>15.00625</v>
      </c>
      <c r="I499" s="132">
        <f t="shared" si="190"/>
        <v>23.2875</v>
      </c>
    </row>
    <row r="500" hidden="1" outlineLevel="1">
      <c r="A500" s="69" t="s">
        <v>144</v>
      </c>
      <c r="B500" s="129">
        <f t="shared" ref="B500:I500" si="191">B482*35</f>
        <v>35</v>
      </c>
      <c r="C500" s="130">
        <f t="shared" si="191"/>
        <v>35</v>
      </c>
      <c r="D500" s="130">
        <f t="shared" si="191"/>
        <v>35</v>
      </c>
      <c r="E500" s="130">
        <f t="shared" si="191"/>
        <v>35</v>
      </c>
      <c r="F500" s="130">
        <f t="shared" si="191"/>
        <v>35</v>
      </c>
      <c r="G500" s="130">
        <f t="shared" si="191"/>
        <v>35</v>
      </c>
      <c r="H500" s="130">
        <f t="shared" si="191"/>
        <v>35</v>
      </c>
      <c r="I500" s="132">
        <f t="shared" si="191"/>
        <v>35</v>
      </c>
    </row>
    <row r="501" hidden="1" outlineLevel="1">
      <c r="A501" s="69" t="s">
        <v>146</v>
      </c>
      <c r="B501" s="129">
        <f t="shared" ref="B501:I501" si="192">IF(AND(B482&lt;85%, B491&gt;100%), 25, B491*25)</f>
        <v>23.30163043</v>
      </c>
      <c r="C501" s="130">
        <f t="shared" si="192"/>
        <v>25.09426415</v>
      </c>
      <c r="D501" s="130">
        <f t="shared" si="192"/>
        <v>23.25666234</v>
      </c>
      <c r="E501" s="130">
        <f t="shared" si="192"/>
        <v>24.84536214</v>
      </c>
      <c r="F501" s="130">
        <f t="shared" si="192"/>
        <v>22.22029062</v>
      </c>
      <c r="G501" s="130">
        <f t="shared" si="192"/>
        <v>25.81737812</v>
      </c>
      <c r="H501" s="130">
        <f t="shared" si="192"/>
        <v>19.59677419</v>
      </c>
      <c r="I501" s="132">
        <f t="shared" si="192"/>
        <v>23.47826087</v>
      </c>
    </row>
    <row r="502" hidden="1" outlineLevel="1">
      <c r="A502" s="69" t="s">
        <v>148</v>
      </c>
      <c r="B502" s="129">
        <f t="shared" ref="B502:I502" si="193">B495*15</f>
        <v>12.99</v>
      </c>
      <c r="C502" s="130">
        <f t="shared" si="193"/>
        <v>13.62</v>
      </c>
      <c r="D502" s="130">
        <f t="shared" si="193"/>
        <v>13.35</v>
      </c>
      <c r="E502" s="130">
        <f t="shared" si="193"/>
        <v>15</v>
      </c>
      <c r="F502" s="130">
        <f t="shared" si="193"/>
        <v>14.49</v>
      </c>
      <c r="G502" s="130">
        <f t="shared" si="193"/>
        <v>13.83</v>
      </c>
      <c r="H502" s="130">
        <f t="shared" si="193"/>
        <v>12.93</v>
      </c>
      <c r="I502" s="132">
        <f t="shared" si="193"/>
        <v>10.38</v>
      </c>
    </row>
    <row r="503" hidden="1" outlineLevel="1">
      <c r="A503" s="69" t="s">
        <v>149</v>
      </c>
      <c r="B503" s="129">
        <f t="shared" ref="B503:I503" si="194">B497*-10</f>
        <v>0</v>
      </c>
      <c r="C503" s="130">
        <f t="shared" si="194"/>
        <v>0</v>
      </c>
      <c r="D503" s="130">
        <f t="shared" si="194"/>
        <v>0</v>
      </c>
      <c r="E503" s="130">
        <f t="shared" si="194"/>
        <v>0</v>
      </c>
      <c r="F503" s="130">
        <f t="shared" si="194"/>
        <v>0</v>
      </c>
      <c r="G503" s="130">
        <f t="shared" si="194"/>
        <v>0</v>
      </c>
      <c r="H503" s="130">
        <f t="shared" si="194"/>
        <v>0</v>
      </c>
      <c r="I503" s="132">
        <f t="shared" si="194"/>
        <v>0</v>
      </c>
    </row>
    <row r="504" hidden="1" outlineLevel="1">
      <c r="A504" s="142" t="s">
        <v>150</v>
      </c>
      <c r="B504" s="129">
        <f t="shared" ref="B504:I504" si="195">B499+B500+B501+B502+B503</f>
        <v>94.69952517</v>
      </c>
      <c r="C504" s="130">
        <f t="shared" si="195"/>
        <v>98.94551415</v>
      </c>
      <c r="D504" s="130">
        <f t="shared" si="195"/>
        <v>96.81916234</v>
      </c>
      <c r="E504" s="130">
        <f t="shared" si="195"/>
        <v>101.1874674</v>
      </c>
      <c r="F504" s="130">
        <f t="shared" si="195"/>
        <v>97.48660641</v>
      </c>
      <c r="G504" s="130">
        <f t="shared" si="195"/>
        <v>100.2786281</v>
      </c>
      <c r="H504" s="130">
        <f t="shared" si="195"/>
        <v>82.53302419</v>
      </c>
      <c r="I504" s="132">
        <f t="shared" si="195"/>
        <v>92.14576087</v>
      </c>
    </row>
    <row r="505" hidden="1" outlineLevel="1">
      <c r="A505" s="54" t="s">
        <v>152</v>
      </c>
      <c r="B505" s="58">
        <f t="shared" ref="B505:I505" si="196">B504/100</f>
        <v>0.9469952517</v>
      </c>
      <c r="C505" s="61">
        <f t="shared" si="196"/>
        <v>0.9894551415</v>
      </c>
      <c r="D505" s="378">
        <f t="shared" si="196"/>
        <v>0.9681916234</v>
      </c>
      <c r="E505" s="61">
        <f t="shared" si="196"/>
        <v>1.011874674</v>
      </c>
      <c r="F505" s="61">
        <f t="shared" si="196"/>
        <v>0.9748660641</v>
      </c>
      <c r="G505" s="61">
        <f t="shared" si="196"/>
        <v>1.002786281</v>
      </c>
      <c r="H505" s="61">
        <f t="shared" si="196"/>
        <v>0.8253302419</v>
      </c>
      <c r="I505" s="62">
        <f t="shared" si="196"/>
        <v>0.9214576087</v>
      </c>
    </row>
    <row r="506" hidden="1" outlineLevel="1">
      <c r="A506" s="127" t="s">
        <v>154</v>
      </c>
      <c r="B506" s="349" t="s">
        <v>155</v>
      </c>
      <c r="C506" s="350" t="s">
        <v>155</v>
      </c>
      <c r="D506" s="350" t="s">
        <v>155</v>
      </c>
      <c r="E506" s="350" t="s">
        <v>156</v>
      </c>
      <c r="F506" s="350" t="s">
        <v>155</v>
      </c>
      <c r="G506" s="350" t="s">
        <v>155</v>
      </c>
      <c r="H506" s="350" t="s">
        <v>155</v>
      </c>
      <c r="I506" s="350" t="s">
        <v>155</v>
      </c>
    </row>
    <row r="507" hidden="1" outlineLevel="1">
      <c r="A507" s="127" t="s">
        <v>158</v>
      </c>
      <c r="B507" s="156"/>
      <c r="C507" s="157"/>
      <c r="D507" s="337"/>
      <c r="E507" s="157"/>
      <c r="F507" s="157"/>
      <c r="G507" s="157"/>
      <c r="H507" s="157"/>
      <c r="I507" s="352"/>
    </row>
    <row r="508" hidden="1" collapsed="1">
      <c r="A508" s="340">
        <v>46143.0</v>
      </c>
      <c r="B508" s="161"/>
      <c r="C508" s="27"/>
      <c r="D508" s="27"/>
      <c r="E508" s="27"/>
      <c r="F508" s="27"/>
      <c r="G508" s="27"/>
      <c r="H508" s="27"/>
      <c r="I508" s="27"/>
    </row>
    <row r="509" hidden="1" outlineLevel="1" collapsed="1">
      <c r="A509" s="12"/>
      <c r="B509" s="13" t="s">
        <v>717</v>
      </c>
      <c r="C509" s="14"/>
      <c r="D509" s="14"/>
      <c r="E509" s="14"/>
      <c r="F509" s="14"/>
      <c r="G509" s="14"/>
      <c r="H509" s="14"/>
      <c r="I509" s="15"/>
    </row>
    <row r="510" hidden="1" outlineLevel="2">
      <c r="A510" s="164"/>
      <c r="B510" s="302" t="s">
        <v>29</v>
      </c>
      <c r="C510" s="303" t="s">
        <v>4</v>
      </c>
      <c r="D510" s="303" t="s">
        <v>19</v>
      </c>
      <c r="E510" s="303" t="s">
        <v>30</v>
      </c>
      <c r="F510" s="303" t="s">
        <v>31</v>
      </c>
      <c r="G510" s="304" t="s">
        <v>32</v>
      </c>
      <c r="H510" s="305" t="s">
        <v>13</v>
      </c>
      <c r="I510" s="305" t="s">
        <v>350</v>
      </c>
    </row>
    <row r="511" hidden="1" outlineLevel="2">
      <c r="A511" s="25" t="s">
        <v>36</v>
      </c>
      <c r="B511" s="243" t="s">
        <v>717</v>
      </c>
      <c r="C511" s="244"/>
      <c r="D511" s="244"/>
      <c r="E511" s="244"/>
      <c r="F511" s="244"/>
      <c r="G511" s="244"/>
      <c r="H511" s="244"/>
      <c r="I511" s="245"/>
    </row>
    <row r="512" hidden="1" outlineLevel="2">
      <c r="A512" s="32" t="s">
        <v>45</v>
      </c>
      <c r="B512" s="34"/>
      <c r="C512" s="2"/>
      <c r="D512" s="2"/>
      <c r="E512" s="2"/>
      <c r="F512" s="2"/>
      <c r="G512" s="2"/>
      <c r="H512" s="2"/>
      <c r="I512" s="36"/>
    </row>
    <row r="513" hidden="1" outlineLevel="2">
      <c r="A513" s="38" t="s">
        <v>49</v>
      </c>
      <c r="B513" s="246">
        <f>39.59-3</f>
        <v>36.59</v>
      </c>
      <c r="C513" s="247">
        <v>48.43</v>
      </c>
      <c r="D513" s="380">
        <v>48.53</v>
      </c>
      <c r="E513" s="247">
        <f>36.35-3</f>
        <v>33.35</v>
      </c>
      <c r="F513" s="247">
        <v>24.0</v>
      </c>
      <c r="G513" s="247">
        <v>41.25</v>
      </c>
      <c r="H513" s="247">
        <v>40.04</v>
      </c>
      <c r="I513" s="345">
        <v>45.29</v>
      </c>
    </row>
    <row r="514" hidden="1" outlineLevel="2">
      <c r="A514" s="49" t="s">
        <v>53</v>
      </c>
      <c r="B514" s="383">
        <v>37.0</v>
      </c>
      <c r="C514" s="250">
        <v>40.0</v>
      </c>
      <c r="D514" s="51">
        <v>40.0</v>
      </c>
      <c r="E514" s="250">
        <v>33.0</v>
      </c>
      <c r="F514" s="250">
        <v>22.0</v>
      </c>
      <c r="G514" s="250">
        <v>40.0</v>
      </c>
      <c r="H514" s="250">
        <v>40.0</v>
      </c>
      <c r="I514" s="346">
        <v>40.0</v>
      </c>
    </row>
    <row r="515" hidden="1" outlineLevel="2">
      <c r="A515" s="54" t="s">
        <v>57</v>
      </c>
      <c r="B515" s="252">
        <f t="shared" ref="B515:I515" si="197">B513/B514</f>
        <v>0.9889189189</v>
      </c>
      <c r="C515" s="253">
        <f t="shared" si="197"/>
        <v>1.21075</v>
      </c>
      <c r="D515" s="253">
        <f t="shared" si="197"/>
        <v>1.21325</v>
      </c>
      <c r="E515" s="253">
        <f t="shared" si="197"/>
        <v>1.010606061</v>
      </c>
      <c r="F515" s="253">
        <f t="shared" si="197"/>
        <v>1.090909091</v>
      </c>
      <c r="G515" s="253">
        <f t="shared" si="197"/>
        <v>1.03125</v>
      </c>
      <c r="H515" s="253">
        <f t="shared" si="197"/>
        <v>1.001</v>
      </c>
      <c r="I515" s="256">
        <f t="shared" si="197"/>
        <v>1.13225</v>
      </c>
    </row>
    <row r="516" hidden="1" outlineLevel="2">
      <c r="A516" s="32" t="s">
        <v>66</v>
      </c>
      <c r="B516" s="34"/>
      <c r="C516" s="2"/>
      <c r="D516" s="2"/>
      <c r="E516" s="2"/>
      <c r="F516" s="2"/>
      <c r="G516" s="2"/>
      <c r="H516" s="2"/>
      <c r="I516" s="36"/>
    </row>
    <row r="517" hidden="1" outlineLevel="2">
      <c r="A517" s="64" t="s">
        <v>67</v>
      </c>
      <c r="B517" s="246">
        <v>40.0</v>
      </c>
      <c r="C517" s="247">
        <v>40.0</v>
      </c>
      <c r="D517" s="247">
        <v>37.0</v>
      </c>
      <c r="E517" s="247">
        <v>40.0</v>
      </c>
      <c r="F517" s="247">
        <v>31.0</v>
      </c>
      <c r="G517" s="247">
        <v>40.0</v>
      </c>
      <c r="H517" s="247">
        <v>40.0</v>
      </c>
      <c r="I517" s="248">
        <v>40.0</v>
      </c>
    </row>
    <row r="518" hidden="1" outlineLevel="2">
      <c r="A518" s="69" t="s">
        <v>72</v>
      </c>
      <c r="B518" s="186">
        <v>40.0</v>
      </c>
      <c r="C518" s="187">
        <v>40.0</v>
      </c>
      <c r="D518" s="187">
        <v>40.0</v>
      </c>
      <c r="E518" s="187">
        <v>40.0</v>
      </c>
      <c r="F518" s="187">
        <v>40.0</v>
      </c>
      <c r="G518" s="187">
        <v>40.0</v>
      </c>
      <c r="H518" s="187">
        <v>40.0</v>
      </c>
      <c r="I518" s="188">
        <v>40.0</v>
      </c>
    </row>
    <row r="519" hidden="1" outlineLevel="2">
      <c r="A519" s="54" t="s">
        <v>74</v>
      </c>
      <c r="B519" s="252">
        <f t="shared" ref="B519:I519" si="198">B517/B518</f>
        <v>1</v>
      </c>
      <c r="C519" s="253">
        <f t="shared" si="198"/>
        <v>1</v>
      </c>
      <c r="D519" s="253">
        <f t="shared" si="198"/>
        <v>0.925</v>
      </c>
      <c r="E519" s="253">
        <f t="shared" si="198"/>
        <v>1</v>
      </c>
      <c r="F519" s="253">
        <f t="shared" si="198"/>
        <v>0.775</v>
      </c>
      <c r="G519" s="253">
        <f t="shared" si="198"/>
        <v>1</v>
      </c>
      <c r="H519" s="253">
        <f t="shared" si="198"/>
        <v>1</v>
      </c>
      <c r="I519" s="256">
        <f t="shared" si="198"/>
        <v>1</v>
      </c>
    </row>
    <row r="520" hidden="1" outlineLevel="2">
      <c r="A520" s="32" t="s">
        <v>75</v>
      </c>
      <c r="B520" s="34"/>
      <c r="C520" s="2"/>
      <c r="D520" s="2"/>
      <c r="E520" s="2"/>
      <c r="F520" s="2"/>
      <c r="G520" s="2"/>
      <c r="H520" s="2"/>
      <c r="I520" s="36"/>
    </row>
    <row r="521" hidden="1" outlineLevel="2">
      <c r="A521" s="64" t="s">
        <v>76</v>
      </c>
      <c r="B521" s="185" t="s">
        <v>79</v>
      </c>
      <c r="C521" s="78" t="s">
        <v>80</v>
      </c>
      <c r="D521" s="78" t="s">
        <v>80</v>
      </c>
      <c r="E521" s="78" t="s">
        <v>79</v>
      </c>
      <c r="F521" s="78" t="s">
        <v>79</v>
      </c>
      <c r="G521" s="77" t="s">
        <v>80</v>
      </c>
      <c r="H521" s="78" t="s">
        <v>79</v>
      </c>
      <c r="I521" s="79" t="s">
        <v>79</v>
      </c>
    </row>
    <row r="522" hidden="1" outlineLevel="2">
      <c r="A522" s="64" t="s">
        <v>81</v>
      </c>
      <c r="B522" s="185" t="s">
        <v>83</v>
      </c>
      <c r="C522" s="78" t="s">
        <v>85</v>
      </c>
      <c r="D522" s="78" t="s">
        <v>83</v>
      </c>
      <c r="E522" s="78" t="s">
        <v>85</v>
      </c>
      <c r="F522" s="78" t="s">
        <v>83</v>
      </c>
      <c r="G522" s="78" t="s">
        <v>85</v>
      </c>
      <c r="H522" s="78" t="s">
        <v>85</v>
      </c>
      <c r="I522" s="79" t="s">
        <v>85</v>
      </c>
    </row>
    <row r="523" hidden="1" outlineLevel="2">
      <c r="A523" s="64" t="s">
        <v>86</v>
      </c>
      <c r="B523" s="194">
        <f>IF(B513&lt;B514,B514,B513) *
IF(B521="AM",
    IF(B522="Oricle",3.5,
    IF(B522="Other Brands",4,
    IF(B522="Oricle Prio",0.6,""))),
 IF(B521="MID",
    IF(B522="Oricle",2.5,
    IF(B522="Other Brands",3,
    IF(B522="Oricle Prio",0.6,""))),
 IF(B521="GY",
    IF(B522="Oricle",1,
    IF(B522="Other Brands",1,
    IF(B522="Oricle Prio",0.3,""))),"")))-10</f>
        <v>101</v>
      </c>
      <c r="C523" s="204">
        <f>IF(C513&lt;C514,C514,C513) *
IF(C521="AM",
    IF(C522="Oricle",3,
    IF(C522="Other Brands",4,
    IF(C522="Oricle Prio",0.6,""))),
 IF(C521="MID",
    IF(C522="Oricle",2.5,
    IF(C522="Other Brands",3,
    IF(C522="Oricle Prio",0.6,""))),
 IF(C521="GY",
    IF(C522="Oricle",1,
    IF(C522="Other Brands",1,
    IF(C522="Oricle Prio",0.3,""))),"")))</f>
        <v>145.29</v>
      </c>
      <c r="D523" s="204">
        <f>IF(D513&lt;D514,D514,D513) *
IF(D521="AM",
    IF(D522="Oricle",3.5,
    IF(D522="Other Brands",4,
    IF(D522="Oricle Prio",0.6,""))),
 IF(D521="MID",
    IF(D522="Oricle",2.5,
    IF(D522="Other Brands",3,
    IF(D522="Oricle Prio",0.6,""))),
 IF(D521="GY",
    IF(D522="Oricle",1,
    IF(D522="Other Brands",1,
    IF(D522="Oricle Prio",0.3,""))),"")))</f>
        <v>194.12</v>
      </c>
      <c r="E523" s="204">
        <f>IF(E513&lt;E514,E514,E513) *
IF(E521="AM",
    IF(E522="Oricle",3.5,
    IF(E522="Other Brands",4,
    IF(E522="Oricle Prio",0.6,""))),
 IF(E521="MID",
    IF(E522="Oricle",2.5,
    IF(E522="Other Brands",3,
    IF(E522="Oricle Prio",0.6,""))),
 IF(E521="GY",
    IF(E522="Oricle",1,
    IF(E522="Other Brands",1,
    IF(E522="Oricle Prio",0.3,""))),"")))-12</f>
        <v>71.375</v>
      </c>
      <c r="F523" s="204">
        <f>IF(F513&lt;F514,F514,F513) *
IF(F521="AM",
    IF(F522="Oricle",3.5,
    IF(F522="Other Brands",4,
    IF(F522="Oricle Prio",0.6,""))),
 IF(F521="MID",
    IF(F522="Oricle",2.5,
    IF(F522="Other Brands",3,
    IF(F522="Oricle Prio",0.6,""))),
 IF(F521="GY",
    IF(F522="Oricle",1,
    IF(F522="Other Brands",1,
    IF(F522="Oricle Prio",0.3,""))),"")))</f>
        <v>72</v>
      </c>
      <c r="G523" s="204">
        <f>IF(G513&lt;G514,G514,G513) *
IF(G521="AM",
    IF(G522="Oricle",3,
    IF(G522="Other Brands",4,
    IF(G522="Oricle Prio",0.6,""))),
 IF(G521="MID",
    IF(G522="Oricle",2.5,
    IF(G522="Other Brands",3,
    IF(G522="Oricle Prio",0.6,""))),
 IF(G521="GY",
    IF(G522="Oricle",1,
    IF(G522="Other Brands",1,
    IF(G522="Oricle Prio",0.3,""))),"")))</f>
        <v>123.75</v>
      </c>
      <c r="H523" s="204">
        <f t="shared" ref="H523:I523" si="199">IF(H513&lt;H514,H514,H513) *
IF(H521="AM",
    IF(H522="Oricle",3.5,
    IF(H522="Other Brands",4,
    IF(H522="Oricle Prio",0.6,""))),
 IF(H521="MID",
    IF(H522="Oricle",2.5,
    IF(H522="Other Brands",3,
    IF(H522="Oricle Prio",0.6,""))),
 IF(H521="GY",
    IF(H522="Oricle",1,
    IF(H522="Other Brands",1,
    IF(H522="Oricle Prio",0.3,""))),"")))</f>
        <v>100.1</v>
      </c>
      <c r="I523" s="204">
        <f t="shared" si="199"/>
        <v>113.225</v>
      </c>
    </row>
    <row r="524" hidden="1" outlineLevel="2">
      <c r="A524" s="64" t="s">
        <v>98</v>
      </c>
      <c r="B524" s="266" t="s">
        <v>409</v>
      </c>
      <c r="C524" s="77" t="s">
        <v>329</v>
      </c>
      <c r="D524" s="77" t="s">
        <v>559</v>
      </c>
      <c r="E524" s="77" t="s">
        <v>743</v>
      </c>
      <c r="F524" s="77" t="s">
        <v>744</v>
      </c>
      <c r="G524" s="77" t="s">
        <v>561</v>
      </c>
      <c r="H524" s="77" t="s">
        <v>448</v>
      </c>
      <c r="I524" s="258" t="s">
        <v>521</v>
      </c>
    </row>
    <row r="525" hidden="1" outlineLevel="2">
      <c r="A525" s="64" t="s">
        <v>107</v>
      </c>
      <c r="B525" s="266" t="s">
        <v>591</v>
      </c>
      <c r="C525" s="77" t="s">
        <v>205</v>
      </c>
      <c r="D525" s="77" t="s">
        <v>99</v>
      </c>
      <c r="E525" s="77" t="s">
        <v>745</v>
      </c>
      <c r="F525" s="77" t="s">
        <v>746</v>
      </c>
      <c r="G525" s="77" t="s">
        <v>561</v>
      </c>
      <c r="H525" s="77" t="s">
        <v>522</v>
      </c>
      <c r="I525" s="258" t="s">
        <v>521</v>
      </c>
    </row>
    <row r="526" hidden="1" outlineLevel="2">
      <c r="A526" s="69" t="s">
        <v>115</v>
      </c>
      <c r="B526" s="108">
        <f t="shared" ref="B526:I526" si="200">IF(B524&gt;0,B525/B524,0)</f>
        <v>0.9462365591</v>
      </c>
      <c r="C526" s="110">
        <f t="shared" si="200"/>
        <v>0.9921259843</v>
      </c>
      <c r="D526" s="110">
        <f t="shared" si="200"/>
        <v>0.972972973</v>
      </c>
      <c r="E526" s="110">
        <f t="shared" si="200"/>
        <v>0.9682539683</v>
      </c>
      <c r="F526" s="110">
        <f t="shared" si="200"/>
        <v>0.9591836735</v>
      </c>
      <c r="G526" s="110">
        <f t="shared" si="200"/>
        <v>1</v>
      </c>
      <c r="H526" s="110">
        <f t="shared" si="200"/>
        <v>0.988372093</v>
      </c>
      <c r="I526" s="111">
        <f t="shared" si="200"/>
        <v>1</v>
      </c>
    </row>
    <row r="527" hidden="1" outlineLevel="2">
      <c r="A527" s="69" t="s">
        <v>119</v>
      </c>
      <c r="B527" s="108">
        <f t="shared" ref="B527:I527" si="201">IF(B523&gt;0,B525/B523,0)</f>
        <v>0.8712871287</v>
      </c>
      <c r="C527" s="110">
        <f t="shared" si="201"/>
        <v>0.8672310551</v>
      </c>
      <c r="D527" s="110">
        <f t="shared" si="201"/>
        <v>0.7418091902</v>
      </c>
      <c r="E527" s="110">
        <f t="shared" si="201"/>
        <v>0.8546409807</v>
      </c>
      <c r="F527" s="110">
        <f t="shared" si="201"/>
        <v>0.6527777778</v>
      </c>
      <c r="G527" s="110">
        <f t="shared" si="201"/>
        <v>1.082828283</v>
      </c>
      <c r="H527" s="110">
        <f t="shared" si="201"/>
        <v>0.8491508492</v>
      </c>
      <c r="I527" s="111">
        <f t="shared" si="201"/>
        <v>0.9450209759</v>
      </c>
    </row>
    <row r="528" hidden="1" outlineLevel="2">
      <c r="A528" s="116" t="s">
        <v>82</v>
      </c>
      <c r="B528" s="252">
        <f t="shared" ref="B528:I528" si="202">average(B526:B527)</f>
        <v>0.9087618439</v>
      </c>
      <c r="C528" s="253">
        <f t="shared" si="202"/>
        <v>0.9296785197</v>
      </c>
      <c r="D528" s="253">
        <f t="shared" si="202"/>
        <v>0.8573910816</v>
      </c>
      <c r="E528" s="253">
        <f t="shared" si="202"/>
        <v>0.9114474745</v>
      </c>
      <c r="F528" s="253">
        <f t="shared" si="202"/>
        <v>0.8059807256</v>
      </c>
      <c r="G528" s="253">
        <f t="shared" si="202"/>
        <v>1.041414141</v>
      </c>
      <c r="H528" s="253">
        <f t="shared" si="202"/>
        <v>0.9187614711</v>
      </c>
      <c r="I528" s="256">
        <f t="shared" si="202"/>
        <v>0.972510488</v>
      </c>
    </row>
    <row r="529" hidden="1" outlineLevel="2">
      <c r="A529" s="32" t="s">
        <v>121</v>
      </c>
      <c r="B529" s="316"/>
      <c r="C529" s="2"/>
      <c r="D529" s="2"/>
      <c r="E529" s="2"/>
      <c r="F529" s="2"/>
      <c r="G529" s="2"/>
      <c r="H529" s="2"/>
      <c r="I529" s="3"/>
    </row>
    <row r="530" hidden="1" outlineLevel="2">
      <c r="A530" s="64" t="s">
        <v>122</v>
      </c>
      <c r="B530" s="246">
        <v>9.33</v>
      </c>
      <c r="C530" s="247">
        <v>9.15</v>
      </c>
      <c r="D530" s="247">
        <v>8.63</v>
      </c>
      <c r="E530" s="247">
        <v>9.0</v>
      </c>
      <c r="F530" s="310">
        <v>9.0</v>
      </c>
      <c r="G530" s="247">
        <v>9.14</v>
      </c>
      <c r="H530" s="247">
        <v>8.95</v>
      </c>
      <c r="I530" s="248">
        <v>8.64</v>
      </c>
    </row>
    <row r="531" hidden="1" outlineLevel="2">
      <c r="A531" s="69" t="s">
        <v>128</v>
      </c>
      <c r="B531" s="119">
        <v>10.0</v>
      </c>
      <c r="C531" s="120">
        <v>10.0</v>
      </c>
      <c r="D531" s="120">
        <v>10.0</v>
      </c>
      <c r="E531" s="120">
        <v>10.0</v>
      </c>
      <c r="F531" s="120">
        <v>10.0</v>
      </c>
      <c r="G531" s="120">
        <v>10.0</v>
      </c>
      <c r="H531" s="120">
        <v>10.0</v>
      </c>
      <c r="I531" s="121">
        <v>10.0</v>
      </c>
    </row>
    <row r="532" hidden="1" outlineLevel="2">
      <c r="A532" s="54" t="s">
        <v>130</v>
      </c>
      <c r="B532" s="252">
        <f t="shared" ref="B532:I532" si="203">IF(B530=0,0,B530/B531)</f>
        <v>0.933</v>
      </c>
      <c r="C532" s="253">
        <f t="shared" si="203"/>
        <v>0.915</v>
      </c>
      <c r="D532" s="253">
        <f t="shared" si="203"/>
        <v>0.863</v>
      </c>
      <c r="E532" s="253">
        <f t="shared" si="203"/>
        <v>0.9</v>
      </c>
      <c r="F532" s="253">
        <f t="shared" si="203"/>
        <v>0.9</v>
      </c>
      <c r="G532" s="253">
        <f t="shared" si="203"/>
        <v>0.914</v>
      </c>
      <c r="H532" s="253">
        <f t="shared" si="203"/>
        <v>0.895</v>
      </c>
      <c r="I532" s="256">
        <f t="shared" si="203"/>
        <v>0.864</v>
      </c>
    </row>
    <row r="533" hidden="1" outlineLevel="2">
      <c r="A533" s="32" t="s">
        <v>131</v>
      </c>
      <c r="B533" s="34"/>
      <c r="C533" s="2"/>
      <c r="D533" s="2"/>
      <c r="E533" s="2"/>
      <c r="F533" s="2"/>
      <c r="G533" s="2"/>
      <c r="H533" s="2"/>
      <c r="I533" s="36"/>
    </row>
    <row r="534" hidden="1" outlineLevel="2">
      <c r="A534" s="64" t="s">
        <v>132</v>
      </c>
      <c r="B534" s="312"/>
      <c r="C534" s="313"/>
      <c r="D534" s="332"/>
      <c r="E534" s="313"/>
      <c r="F534" s="313"/>
      <c r="G534" s="313"/>
      <c r="H534" s="313"/>
      <c r="I534" s="314"/>
    </row>
    <row r="535" hidden="1" outlineLevel="2">
      <c r="A535" s="127" t="s">
        <v>134</v>
      </c>
      <c r="B535" s="34"/>
      <c r="C535" s="2"/>
      <c r="D535" s="2"/>
      <c r="E535" s="2"/>
      <c r="F535" s="2"/>
      <c r="G535" s="2"/>
      <c r="H535" s="2"/>
      <c r="I535" s="36"/>
    </row>
    <row r="536" hidden="1" outlineLevel="2">
      <c r="A536" s="69" t="s">
        <v>136</v>
      </c>
      <c r="B536" s="129">
        <f t="shared" ref="B536:I536" si="204">B515*25</f>
        <v>24.72297297</v>
      </c>
      <c r="C536" s="130">
        <f t="shared" si="204"/>
        <v>30.26875</v>
      </c>
      <c r="D536" s="130">
        <f t="shared" si="204"/>
        <v>30.33125</v>
      </c>
      <c r="E536" s="130">
        <f t="shared" si="204"/>
        <v>25.26515152</v>
      </c>
      <c r="F536" s="130">
        <f t="shared" si="204"/>
        <v>27.27272727</v>
      </c>
      <c r="G536" s="130">
        <f t="shared" si="204"/>
        <v>25.78125</v>
      </c>
      <c r="H536" s="130">
        <f t="shared" si="204"/>
        <v>25.025</v>
      </c>
      <c r="I536" s="132">
        <f t="shared" si="204"/>
        <v>28.30625</v>
      </c>
    </row>
    <row r="537" hidden="1" outlineLevel="2">
      <c r="A537" s="69" t="s">
        <v>144</v>
      </c>
      <c r="B537" s="129">
        <f t="shared" ref="B537:I537" si="205">B519*35</f>
        <v>35</v>
      </c>
      <c r="C537" s="130">
        <f t="shared" si="205"/>
        <v>35</v>
      </c>
      <c r="D537" s="130">
        <f t="shared" si="205"/>
        <v>32.375</v>
      </c>
      <c r="E537" s="130">
        <f t="shared" si="205"/>
        <v>35</v>
      </c>
      <c r="F537" s="130">
        <f t="shared" si="205"/>
        <v>27.125</v>
      </c>
      <c r="G537" s="130">
        <f t="shared" si="205"/>
        <v>35</v>
      </c>
      <c r="H537" s="130">
        <f t="shared" si="205"/>
        <v>35</v>
      </c>
      <c r="I537" s="132">
        <f t="shared" si="205"/>
        <v>35</v>
      </c>
    </row>
    <row r="538" hidden="1" outlineLevel="2">
      <c r="A538" s="69" t="s">
        <v>146</v>
      </c>
      <c r="B538" s="129">
        <f t="shared" ref="B538:I538" si="206">IF(AND(B519&lt;85%, B528&gt;100%), 25, B528*25)</f>
        <v>22.7190461</v>
      </c>
      <c r="C538" s="130">
        <f t="shared" si="206"/>
        <v>23.24196299</v>
      </c>
      <c r="D538" s="130">
        <f t="shared" si="206"/>
        <v>21.43477704</v>
      </c>
      <c r="E538" s="130">
        <f t="shared" si="206"/>
        <v>22.78618686</v>
      </c>
      <c r="F538" s="130">
        <f t="shared" si="206"/>
        <v>20.14951814</v>
      </c>
      <c r="G538" s="130">
        <f t="shared" si="206"/>
        <v>26.03535354</v>
      </c>
      <c r="H538" s="130">
        <f t="shared" si="206"/>
        <v>22.96903678</v>
      </c>
      <c r="I538" s="132">
        <f t="shared" si="206"/>
        <v>24.3127622</v>
      </c>
    </row>
    <row r="539" hidden="1" outlineLevel="2">
      <c r="A539" s="69" t="s">
        <v>148</v>
      </c>
      <c r="B539" s="129">
        <f t="shared" ref="B539:I539" si="207">B532*15</f>
        <v>13.995</v>
      </c>
      <c r="C539" s="130">
        <f t="shared" si="207"/>
        <v>13.725</v>
      </c>
      <c r="D539" s="130">
        <f t="shared" si="207"/>
        <v>12.945</v>
      </c>
      <c r="E539" s="130">
        <f t="shared" si="207"/>
        <v>13.5</v>
      </c>
      <c r="F539" s="130">
        <f t="shared" si="207"/>
        <v>13.5</v>
      </c>
      <c r="G539" s="130">
        <f t="shared" si="207"/>
        <v>13.71</v>
      </c>
      <c r="H539" s="130">
        <f t="shared" si="207"/>
        <v>13.425</v>
      </c>
      <c r="I539" s="132">
        <f t="shared" si="207"/>
        <v>12.96</v>
      </c>
    </row>
    <row r="540" hidden="1" outlineLevel="2">
      <c r="A540" s="69" t="s">
        <v>149</v>
      </c>
      <c r="B540" s="129">
        <f t="shared" ref="B540:I540" si="208">B534*-10</f>
        <v>0</v>
      </c>
      <c r="C540" s="130">
        <f t="shared" si="208"/>
        <v>0</v>
      </c>
      <c r="D540" s="130">
        <f t="shared" si="208"/>
        <v>0</v>
      </c>
      <c r="E540" s="130">
        <f t="shared" si="208"/>
        <v>0</v>
      </c>
      <c r="F540" s="130">
        <f t="shared" si="208"/>
        <v>0</v>
      </c>
      <c r="G540" s="130">
        <f t="shared" si="208"/>
        <v>0</v>
      </c>
      <c r="H540" s="130">
        <f t="shared" si="208"/>
        <v>0</v>
      </c>
      <c r="I540" s="132">
        <f t="shared" si="208"/>
        <v>0</v>
      </c>
    </row>
    <row r="541" hidden="1" outlineLevel="2">
      <c r="A541" s="142" t="s">
        <v>150</v>
      </c>
      <c r="B541" s="129">
        <f t="shared" ref="B541:I541" si="209">B536+B537+B538+B539+B540</f>
        <v>96.43701907</v>
      </c>
      <c r="C541" s="130">
        <f t="shared" si="209"/>
        <v>102.235713</v>
      </c>
      <c r="D541" s="130">
        <f t="shared" si="209"/>
        <v>97.08602704</v>
      </c>
      <c r="E541" s="130">
        <f t="shared" si="209"/>
        <v>96.55133838</v>
      </c>
      <c r="F541" s="130">
        <f t="shared" si="209"/>
        <v>88.04724541</v>
      </c>
      <c r="G541" s="130">
        <f t="shared" si="209"/>
        <v>100.5266035</v>
      </c>
      <c r="H541" s="130">
        <f t="shared" si="209"/>
        <v>96.41903678</v>
      </c>
      <c r="I541" s="132">
        <f t="shared" si="209"/>
        <v>100.5790122</v>
      </c>
    </row>
    <row r="542" hidden="1" outlineLevel="2">
      <c r="A542" s="54" t="s">
        <v>152</v>
      </c>
      <c r="B542" s="58">
        <f t="shared" ref="B542:I542" si="210">B541/100</f>
        <v>0.9643701907</v>
      </c>
      <c r="C542" s="61">
        <f t="shared" si="210"/>
        <v>1.02235713</v>
      </c>
      <c r="D542" s="378">
        <f t="shared" si="210"/>
        <v>0.9708602704</v>
      </c>
      <c r="E542" s="61">
        <f t="shared" si="210"/>
        <v>0.9655133838</v>
      </c>
      <c r="F542" s="61">
        <f t="shared" si="210"/>
        <v>0.8804724541</v>
      </c>
      <c r="G542" s="61">
        <f t="shared" si="210"/>
        <v>1.005266035</v>
      </c>
      <c r="H542" s="61">
        <f t="shared" si="210"/>
        <v>0.9641903678</v>
      </c>
      <c r="I542" s="62">
        <f t="shared" si="210"/>
        <v>1.005790122</v>
      </c>
    </row>
    <row r="543" hidden="1" outlineLevel="2">
      <c r="A543" s="127" t="s">
        <v>154</v>
      </c>
      <c r="B543" s="349" t="s">
        <v>155</v>
      </c>
      <c r="C543" s="350" t="s">
        <v>156</v>
      </c>
      <c r="D543" s="350" t="s">
        <v>155</v>
      </c>
      <c r="E543" s="350" t="s">
        <v>155</v>
      </c>
      <c r="F543" s="350" t="s">
        <v>155</v>
      </c>
      <c r="G543" s="350" t="s">
        <v>155</v>
      </c>
      <c r="H543" s="350" t="s">
        <v>155</v>
      </c>
      <c r="I543" s="350" t="s">
        <v>155</v>
      </c>
    </row>
    <row r="544" hidden="1" outlineLevel="2">
      <c r="A544" s="127" t="s">
        <v>158</v>
      </c>
      <c r="B544" s="156"/>
      <c r="C544" s="157"/>
      <c r="D544" s="337"/>
      <c r="E544" s="157"/>
      <c r="F544" s="157"/>
      <c r="G544" s="157"/>
      <c r="H544" s="157"/>
      <c r="I544" s="352"/>
    </row>
    <row r="545" hidden="1" outlineLevel="1" collapsed="1">
      <c r="A545" s="12"/>
      <c r="B545" s="13" t="s">
        <v>764</v>
      </c>
      <c r="C545" s="14"/>
      <c r="D545" s="14"/>
      <c r="E545" s="14"/>
      <c r="F545" s="14"/>
      <c r="G545" s="14"/>
      <c r="H545" s="14"/>
      <c r="I545" s="15"/>
    </row>
    <row r="546" hidden="1" outlineLevel="2">
      <c r="A546" s="164"/>
      <c r="B546" s="302" t="s">
        <v>29</v>
      </c>
      <c r="C546" s="303" t="s">
        <v>4</v>
      </c>
      <c r="D546" s="303" t="s">
        <v>19</v>
      </c>
      <c r="E546" s="303" t="s">
        <v>30</v>
      </c>
      <c r="F546" s="303" t="s">
        <v>31</v>
      </c>
      <c r="G546" s="304" t="s">
        <v>32</v>
      </c>
      <c r="H546" s="305" t="s">
        <v>13</v>
      </c>
      <c r="I546" s="305" t="s">
        <v>350</v>
      </c>
    </row>
    <row r="547" hidden="1" outlineLevel="2">
      <c r="A547" s="25" t="s">
        <v>36</v>
      </c>
      <c r="B547" s="243" t="s">
        <v>764</v>
      </c>
      <c r="C547" s="244"/>
      <c r="D547" s="244"/>
      <c r="E547" s="244"/>
      <c r="F547" s="244"/>
      <c r="G547" s="244"/>
      <c r="H547" s="244"/>
      <c r="I547" s="245"/>
    </row>
    <row r="548" hidden="1" outlineLevel="2">
      <c r="A548" s="32" t="s">
        <v>45</v>
      </c>
      <c r="B548" s="34"/>
      <c r="C548" s="2"/>
      <c r="D548" s="2"/>
      <c r="E548" s="2"/>
      <c r="F548" s="2"/>
      <c r="G548" s="2"/>
      <c r="H548" s="2"/>
      <c r="I548" s="36"/>
    </row>
    <row r="549" hidden="1" outlineLevel="2">
      <c r="A549" s="38" t="s">
        <v>49</v>
      </c>
      <c r="B549" s="246">
        <v>38.54</v>
      </c>
      <c r="C549" s="247">
        <v>24.24</v>
      </c>
      <c r="D549" s="380">
        <v>41.05</v>
      </c>
      <c r="E549" s="247">
        <v>48.0</v>
      </c>
      <c r="F549" s="247">
        <v>37.33</v>
      </c>
      <c r="G549" s="247">
        <v>41.14</v>
      </c>
      <c r="H549" s="247">
        <v>29.33</v>
      </c>
      <c r="I549" s="345">
        <v>37.32</v>
      </c>
    </row>
    <row r="550" hidden="1" outlineLevel="2">
      <c r="A550" s="49" t="s">
        <v>53</v>
      </c>
      <c r="B550" s="383">
        <v>37.0</v>
      </c>
      <c r="C550" s="250">
        <v>24.0</v>
      </c>
      <c r="D550" s="51">
        <v>40.0</v>
      </c>
      <c r="E550" s="250">
        <v>44.0</v>
      </c>
      <c r="F550" s="250">
        <v>37.0</v>
      </c>
      <c r="G550" s="250">
        <v>40.0</v>
      </c>
      <c r="H550" s="250">
        <v>40.0</v>
      </c>
      <c r="I550" s="346">
        <v>40.0</v>
      </c>
    </row>
    <row r="551" hidden="1" outlineLevel="2">
      <c r="A551" s="54" t="s">
        <v>57</v>
      </c>
      <c r="B551" s="252">
        <f t="shared" ref="B551:I551" si="211">B549/B550</f>
        <v>1.041621622</v>
      </c>
      <c r="C551" s="253">
        <f t="shared" si="211"/>
        <v>1.01</v>
      </c>
      <c r="D551" s="253">
        <f t="shared" si="211"/>
        <v>1.02625</v>
      </c>
      <c r="E551" s="253">
        <f t="shared" si="211"/>
        <v>1.090909091</v>
      </c>
      <c r="F551" s="253">
        <f t="shared" si="211"/>
        <v>1.008918919</v>
      </c>
      <c r="G551" s="253">
        <f t="shared" si="211"/>
        <v>1.0285</v>
      </c>
      <c r="H551" s="253">
        <f t="shared" si="211"/>
        <v>0.73325</v>
      </c>
      <c r="I551" s="256">
        <f t="shared" si="211"/>
        <v>0.933</v>
      </c>
    </row>
    <row r="552" hidden="1" outlineLevel="2">
      <c r="A552" s="32" t="s">
        <v>66</v>
      </c>
      <c r="B552" s="34"/>
      <c r="C552" s="2"/>
      <c r="D552" s="2"/>
      <c r="E552" s="2"/>
      <c r="F552" s="2"/>
      <c r="G552" s="2"/>
      <c r="H552" s="2"/>
      <c r="I552" s="36"/>
    </row>
    <row r="553" hidden="1" outlineLevel="2">
      <c r="A553" s="64" t="s">
        <v>67</v>
      </c>
      <c r="B553" s="246">
        <v>40.0</v>
      </c>
      <c r="C553" s="247">
        <v>40.0</v>
      </c>
      <c r="D553" s="247">
        <v>36.0</v>
      </c>
      <c r="E553" s="247">
        <v>40.0</v>
      </c>
      <c r="F553" s="247">
        <v>10.0</v>
      </c>
      <c r="G553" s="247">
        <v>40.0</v>
      </c>
      <c r="H553" s="247">
        <v>38.0</v>
      </c>
      <c r="I553" s="248">
        <v>36.0</v>
      </c>
    </row>
    <row r="554" hidden="1" outlineLevel="2">
      <c r="A554" s="69" t="s">
        <v>72</v>
      </c>
      <c r="B554" s="186">
        <v>40.0</v>
      </c>
      <c r="C554" s="187">
        <v>40.0</v>
      </c>
      <c r="D554" s="187">
        <v>40.0</v>
      </c>
      <c r="E554" s="187">
        <v>40.0</v>
      </c>
      <c r="F554" s="187">
        <v>40.0</v>
      </c>
      <c r="G554" s="187">
        <v>40.0</v>
      </c>
      <c r="H554" s="187">
        <v>40.0</v>
      </c>
      <c r="I554" s="188">
        <v>40.0</v>
      </c>
    </row>
    <row r="555" hidden="1" outlineLevel="2">
      <c r="A555" s="54" t="s">
        <v>74</v>
      </c>
      <c r="B555" s="252">
        <f t="shared" ref="B555:I555" si="212">B553/B554</f>
        <v>1</v>
      </c>
      <c r="C555" s="253">
        <f t="shared" si="212"/>
        <v>1</v>
      </c>
      <c r="D555" s="253">
        <f t="shared" si="212"/>
        <v>0.9</v>
      </c>
      <c r="E555" s="253">
        <f t="shared" si="212"/>
        <v>1</v>
      </c>
      <c r="F555" s="253">
        <f t="shared" si="212"/>
        <v>0.25</v>
      </c>
      <c r="G555" s="253">
        <f t="shared" si="212"/>
        <v>1</v>
      </c>
      <c r="H555" s="253">
        <f t="shared" si="212"/>
        <v>0.95</v>
      </c>
      <c r="I555" s="256">
        <f t="shared" si="212"/>
        <v>0.9</v>
      </c>
    </row>
    <row r="556" hidden="1" outlineLevel="2">
      <c r="A556" s="32" t="s">
        <v>75</v>
      </c>
      <c r="B556" s="34"/>
      <c r="C556" s="2"/>
      <c r="D556" s="2"/>
      <c r="E556" s="2"/>
      <c r="F556" s="2"/>
      <c r="G556" s="2"/>
      <c r="H556" s="2"/>
      <c r="I556" s="36"/>
    </row>
    <row r="557" hidden="1" outlineLevel="2">
      <c r="A557" s="64" t="s">
        <v>76</v>
      </c>
      <c r="B557" s="185" t="s">
        <v>79</v>
      </c>
      <c r="C557" s="78" t="s">
        <v>80</v>
      </c>
      <c r="D557" s="78" t="s">
        <v>80</v>
      </c>
      <c r="E557" s="78" t="s">
        <v>79</v>
      </c>
      <c r="F557" s="78" t="s">
        <v>79</v>
      </c>
      <c r="G557" s="77" t="s">
        <v>80</v>
      </c>
      <c r="H557" s="78" t="s">
        <v>79</v>
      </c>
      <c r="I557" s="79" t="s">
        <v>79</v>
      </c>
    </row>
    <row r="558" hidden="1" outlineLevel="2">
      <c r="A558" s="64" t="s">
        <v>81</v>
      </c>
      <c r="B558" s="185" t="s">
        <v>83</v>
      </c>
      <c r="C558" s="78" t="s">
        <v>85</v>
      </c>
      <c r="D558" s="78" t="s">
        <v>83</v>
      </c>
      <c r="E558" s="78" t="s">
        <v>85</v>
      </c>
      <c r="F558" s="78" t="s">
        <v>83</v>
      </c>
      <c r="G558" s="78" t="s">
        <v>85</v>
      </c>
      <c r="H558" s="78" t="s">
        <v>85</v>
      </c>
      <c r="I558" s="79" t="s">
        <v>85</v>
      </c>
    </row>
    <row r="559" hidden="1" outlineLevel="2">
      <c r="A559" s="64" t="s">
        <v>86</v>
      </c>
      <c r="B559" s="194">
        <f>IF(B549&lt;B550,B550,B549) *
IF(B557="AM",
    IF(B558="Oricle",3.5,
    IF(B558="Other Brands",4,
    IF(B558="Oricle Prio",0.6,""))),
 IF(B557="MID",
    IF(B558="Oricle",2.5,
    IF(B558="Other Brands",3,
    IF(B558="Oricle Prio",0.6,""))),
 IF(B557="GY",
    IF(B558="Oricle",1,
    IF(B558="Other Brands",1,
    IF(B558="Oricle Prio",0.3,""))),"")))-10</f>
        <v>105.62</v>
      </c>
      <c r="C559" s="204">
        <f>IF(C549&lt;C550,C550,C549) *
IF(C557="AM",
    IF(C558="Oricle",3,
    IF(C558="Other Brands",4,
    IF(C558="Oricle Prio",0.6,""))),
 IF(C557="MID",
    IF(C558="Oricle",2.5,
    IF(C558="Other Brands",3,
    IF(C558="Oricle Prio",0.6,""))),
 IF(C557="GY",
    IF(C558="Oricle",1,
    IF(C558="Other Brands",1,
    IF(C558="Oricle Prio",0.3,""))),"")))</f>
        <v>72.72</v>
      </c>
      <c r="D559" s="204">
        <f>IF(D549&lt;D550,D550,D549) *
IF(D557="AM",
    IF(D558="Oricle",3.5,
    IF(D558="Other Brands",4,
    IF(D558="Oricle Prio",0.6,""))),
 IF(D557="MID",
    IF(D558="Oricle",2.5,
    IF(D558="Other Brands",3,
    IF(D558="Oricle Prio",0.6,""))),
 IF(D557="GY",
    IF(D558="Oricle",1,
    IF(D558="Other Brands",1,
    IF(D558="Oricle Prio",0.3,""))),"")))</f>
        <v>164.2</v>
      </c>
      <c r="E559" s="204">
        <f>IF(E549&lt;E550,E550,E549) *
IF(E557="AM",
    IF(E558="Oricle",3.5,
    IF(E558="Other Brands",4,
    IF(E558="Oricle Prio",0.6,""))),
 IF(E557="MID",
    IF(E558="Oricle",2.5,
    IF(E558="Other Brands",3,
    IF(E558="Oricle Prio",0.6,""))),
 IF(E557="GY",
    IF(E558="Oricle",1,
    IF(E558="Other Brands",1,
    IF(E558="Oricle Prio",0.3,""))),"")))-12</f>
        <v>108</v>
      </c>
      <c r="F559" s="204">
        <f>IF(F549&lt;F550,F550,F549) *
IF(F557="AM",
    IF(F558="Oricle",3.5,
    IF(F558="Other Brands",4,
    IF(F558="Oricle Prio",0.6,""))),
 IF(F557="MID",
    IF(F558="Oricle",2.5,
    IF(F558="Other Brands",3,
    IF(F558="Oricle Prio",0.6,""))),
 IF(F557="GY",
    IF(F558="Oricle",1,
    IF(F558="Other Brands",1,
    IF(F558="Oricle Prio",0.3,""))),"")))</f>
        <v>111.99</v>
      </c>
      <c r="G559" s="204">
        <f>IF(G549&lt;G550,G550,G549) *
IF(G557="AM",
    IF(G558="Oricle",3,
    IF(G558="Other Brands",4,
    IF(G558="Oricle Prio",0.6,""))),
 IF(G557="MID",
    IF(G558="Oricle",2.5,
    IF(G558="Other Brands",3,
    IF(G558="Oricle Prio",0.6,""))),
 IF(G557="GY",
    IF(G558="Oricle",1,
    IF(G558="Other Brands",1,
    IF(G558="Oricle Prio",0.3,""))),"")))</f>
        <v>123.42</v>
      </c>
      <c r="H559" s="204">
        <f t="shared" ref="H559:I559" si="213">IF(H549&lt;H550,H550,H549) *
IF(H557="AM",
    IF(H558="Oricle",3.5,
    IF(H558="Other Brands",4,
    IF(H558="Oricle Prio",0.6,""))),
 IF(H557="MID",
    IF(H558="Oricle",2.5,
    IF(H558="Other Brands",3,
    IF(H558="Oricle Prio",0.6,""))),
 IF(H557="GY",
    IF(H558="Oricle",1,
    IF(H558="Other Brands",1,
    IF(H558="Oricle Prio",0.3,""))),"")))</f>
        <v>100</v>
      </c>
      <c r="I559" s="204">
        <f t="shared" si="213"/>
        <v>100</v>
      </c>
    </row>
    <row r="560" hidden="1" outlineLevel="2">
      <c r="A560" s="64" t="s">
        <v>98</v>
      </c>
      <c r="B560" s="266" t="s">
        <v>443</v>
      </c>
      <c r="C560" s="77" t="s">
        <v>745</v>
      </c>
      <c r="D560" s="77" t="s">
        <v>407</v>
      </c>
      <c r="E560" s="77" t="s">
        <v>407</v>
      </c>
      <c r="F560" s="77" t="s">
        <v>771</v>
      </c>
      <c r="G560" s="77" t="s">
        <v>248</v>
      </c>
      <c r="H560" s="77" t="s">
        <v>772</v>
      </c>
      <c r="I560" s="258" t="s">
        <v>209</v>
      </c>
    </row>
    <row r="561" hidden="1" outlineLevel="2">
      <c r="A561" s="64" t="s">
        <v>107</v>
      </c>
      <c r="B561" s="266" t="s">
        <v>773</v>
      </c>
      <c r="C561" s="77" t="s">
        <v>557</v>
      </c>
      <c r="D561" s="77" t="s">
        <v>638</v>
      </c>
      <c r="E561" s="77" t="s">
        <v>203</v>
      </c>
      <c r="F561" s="77" t="s">
        <v>743</v>
      </c>
      <c r="G561" s="77" t="s">
        <v>248</v>
      </c>
      <c r="H561" s="77" t="s">
        <v>744</v>
      </c>
      <c r="I561" s="258" t="s">
        <v>591</v>
      </c>
    </row>
    <row r="562" hidden="1" outlineLevel="2">
      <c r="A562" s="69" t="s">
        <v>115</v>
      </c>
      <c r="B562" s="108">
        <f t="shared" ref="B562:I562" si="214">IF(B560&gt;0,B561/B560,0)</f>
        <v>0.9594594595</v>
      </c>
      <c r="C562" s="110">
        <f t="shared" si="214"/>
        <v>0.9836065574</v>
      </c>
      <c r="D562" s="110">
        <f t="shared" si="214"/>
        <v>0.9787234043</v>
      </c>
      <c r="E562" s="110">
        <f t="shared" si="214"/>
        <v>0.9574468085</v>
      </c>
      <c r="F562" s="110">
        <f t="shared" si="214"/>
        <v>0.9692307692</v>
      </c>
      <c r="G562" s="110">
        <f t="shared" si="214"/>
        <v>1</v>
      </c>
      <c r="H562" s="110">
        <f t="shared" si="214"/>
        <v>0.98</v>
      </c>
      <c r="I562" s="111">
        <f t="shared" si="214"/>
        <v>0.9887640449</v>
      </c>
    </row>
    <row r="563" hidden="1" outlineLevel="2">
      <c r="A563" s="69" t="s">
        <v>119</v>
      </c>
      <c r="B563" s="108">
        <f t="shared" ref="B563:I563" si="215">IF(B559&gt;0,B561/B559,0)</f>
        <v>0.6722211702</v>
      </c>
      <c r="C563" s="110">
        <f t="shared" si="215"/>
        <v>0.8250825083</v>
      </c>
      <c r="D563" s="110">
        <f t="shared" si="215"/>
        <v>0.5602923264</v>
      </c>
      <c r="E563" s="110">
        <f t="shared" si="215"/>
        <v>0.8333333333</v>
      </c>
      <c r="F563" s="110">
        <f t="shared" si="215"/>
        <v>0.5625502277</v>
      </c>
      <c r="G563" s="110">
        <f t="shared" si="215"/>
        <v>1.118133204</v>
      </c>
      <c r="H563" s="110">
        <f t="shared" si="215"/>
        <v>0.49</v>
      </c>
      <c r="I563" s="111">
        <f t="shared" si="215"/>
        <v>0.88</v>
      </c>
    </row>
    <row r="564" hidden="1" outlineLevel="2">
      <c r="A564" s="116" t="s">
        <v>82</v>
      </c>
      <c r="B564" s="252">
        <f t="shared" ref="B564:I564" si="216">average(B562:B563)</f>
        <v>0.8158403148</v>
      </c>
      <c r="C564" s="253">
        <f t="shared" si="216"/>
        <v>0.9043445328</v>
      </c>
      <c r="D564" s="253">
        <f t="shared" si="216"/>
        <v>0.7695078653</v>
      </c>
      <c r="E564" s="253">
        <f t="shared" si="216"/>
        <v>0.8953900709</v>
      </c>
      <c r="F564" s="253">
        <f t="shared" si="216"/>
        <v>0.7658904985</v>
      </c>
      <c r="G564" s="253">
        <f t="shared" si="216"/>
        <v>1.059066602</v>
      </c>
      <c r="H564" s="253">
        <f t="shared" si="216"/>
        <v>0.735</v>
      </c>
      <c r="I564" s="256">
        <f t="shared" si="216"/>
        <v>0.9343820225</v>
      </c>
    </row>
    <row r="565" hidden="1" outlineLevel="2">
      <c r="A565" s="32" t="s">
        <v>121</v>
      </c>
      <c r="B565" s="316"/>
      <c r="C565" s="2"/>
      <c r="D565" s="2"/>
      <c r="E565" s="2"/>
      <c r="F565" s="2"/>
      <c r="G565" s="2"/>
      <c r="H565" s="2"/>
      <c r="I565" s="3"/>
    </row>
    <row r="566" hidden="1" outlineLevel="2">
      <c r="A566" s="64" t="s">
        <v>122</v>
      </c>
      <c r="B566" s="246">
        <v>9.66</v>
      </c>
      <c r="C566" s="247">
        <v>9.88</v>
      </c>
      <c r="D566" s="247">
        <v>8.45</v>
      </c>
      <c r="E566" s="247">
        <v>9.66</v>
      </c>
      <c r="F566" s="310">
        <v>8.76</v>
      </c>
      <c r="G566" s="247">
        <v>8.75</v>
      </c>
      <c r="H566" s="247">
        <v>7.24</v>
      </c>
      <c r="I566" s="248">
        <v>9.05</v>
      </c>
    </row>
    <row r="567" hidden="1" outlineLevel="2">
      <c r="A567" s="69" t="s">
        <v>128</v>
      </c>
      <c r="B567" s="119">
        <v>10.0</v>
      </c>
      <c r="C567" s="120">
        <v>10.0</v>
      </c>
      <c r="D567" s="120">
        <v>10.0</v>
      </c>
      <c r="E567" s="120">
        <v>10.0</v>
      </c>
      <c r="F567" s="120">
        <v>10.0</v>
      </c>
      <c r="G567" s="120">
        <v>10.0</v>
      </c>
      <c r="H567" s="120">
        <v>10.0</v>
      </c>
      <c r="I567" s="121">
        <v>10.0</v>
      </c>
    </row>
    <row r="568" hidden="1" outlineLevel="2">
      <c r="A568" s="54" t="s">
        <v>130</v>
      </c>
      <c r="B568" s="252">
        <f t="shared" ref="B568:I568" si="217">IF(B566=0,0,B566/B567)</f>
        <v>0.966</v>
      </c>
      <c r="C568" s="253">
        <f t="shared" si="217"/>
        <v>0.988</v>
      </c>
      <c r="D568" s="253">
        <f t="shared" si="217"/>
        <v>0.845</v>
      </c>
      <c r="E568" s="253">
        <f t="shared" si="217"/>
        <v>0.966</v>
      </c>
      <c r="F568" s="253">
        <f t="shared" si="217"/>
        <v>0.876</v>
      </c>
      <c r="G568" s="253">
        <f t="shared" si="217"/>
        <v>0.875</v>
      </c>
      <c r="H568" s="253">
        <f t="shared" si="217"/>
        <v>0.724</v>
      </c>
      <c r="I568" s="256">
        <f t="shared" si="217"/>
        <v>0.905</v>
      </c>
    </row>
    <row r="569" hidden="1" outlineLevel="2">
      <c r="A569" s="32" t="s">
        <v>131</v>
      </c>
      <c r="B569" s="34"/>
      <c r="C569" s="2"/>
      <c r="D569" s="2"/>
      <c r="E569" s="2"/>
      <c r="F569" s="2"/>
      <c r="G569" s="2"/>
      <c r="H569" s="2"/>
      <c r="I569" s="36"/>
    </row>
    <row r="570" hidden="1" outlineLevel="2">
      <c r="A570" s="64" t="s">
        <v>132</v>
      </c>
      <c r="B570" s="312"/>
      <c r="C570" s="313"/>
      <c r="D570" s="332"/>
      <c r="E570" s="313"/>
      <c r="F570" s="313"/>
      <c r="G570" s="313"/>
      <c r="H570" s="313"/>
      <c r="I570" s="314"/>
    </row>
    <row r="571" hidden="1" outlineLevel="2">
      <c r="A571" s="127" t="s">
        <v>134</v>
      </c>
      <c r="B571" s="34"/>
      <c r="C571" s="2"/>
      <c r="D571" s="2"/>
      <c r="E571" s="2"/>
      <c r="F571" s="2"/>
      <c r="G571" s="2"/>
      <c r="H571" s="2"/>
      <c r="I571" s="36"/>
    </row>
    <row r="572" hidden="1" outlineLevel="2">
      <c r="A572" s="69" t="s">
        <v>136</v>
      </c>
      <c r="B572" s="129">
        <f t="shared" ref="B572:I572" si="218">B551*25</f>
        <v>26.04054054</v>
      </c>
      <c r="C572" s="130">
        <f t="shared" si="218"/>
        <v>25.25</v>
      </c>
      <c r="D572" s="130">
        <f t="shared" si="218"/>
        <v>25.65625</v>
      </c>
      <c r="E572" s="130">
        <f t="shared" si="218"/>
        <v>27.27272727</v>
      </c>
      <c r="F572" s="130">
        <f t="shared" si="218"/>
        <v>25.22297297</v>
      </c>
      <c r="G572" s="130">
        <f t="shared" si="218"/>
        <v>25.7125</v>
      </c>
      <c r="H572" s="130">
        <f t="shared" si="218"/>
        <v>18.33125</v>
      </c>
      <c r="I572" s="132">
        <f t="shared" si="218"/>
        <v>23.325</v>
      </c>
    </row>
    <row r="573" hidden="1" outlineLevel="2">
      <c r="A573" s="69" t="s">
        <v>144</v>
      </c>
      <c r="B573" s="129">
        <f t="shared" ref="B573:I573" si="219">B555*35</f>
        <v>35</v>
      </c>
      <c r="C573" s="130">
        <f t="shared" si="219"/>
        <v>35</v>
      </c>
      <c r="D573" s="130">
        <f t="shared" si="219"/>
        <v>31.5</v>
      </c>
      <c r="E573" s="130">
        <f t="shared" si="219"/>
        <v>35</v>
      </c>
      <c r="F573" s="130">
        <f t="shared" si="219"/>
        <v>8.75</v>
      </c>
      <c r="G573" s="130">
        <f t="shared" si="219"/>
        <v>35</v>
      </c>
      <c r="H573" s="130">
        <f t="shared" si="219"/>
        <v>33.25</v>
      </c>
      <c r="I573" s="132">
        <f t="shared" si="219"/>
        <v>31.5</v>
      </c>
    </row>
    <row r="574" hidden="1" outlineLevel="2">
      <c r="A574" s="69" t="s">
        <v>146</v>
      </c>
      <c r="B574" s="129">
        <f t="shared" ref="B574:I574" si="220">IF(AND(B555&lt;85%, B564&gt;100%), 25, B564*25)</f>
        <v>20.39600787</v>
      </c>
      <c r="C574" s="130">
        <f t="shared" si="220"/>
        <v>22.60861332</v>
      </c>
      <c r="D574" s="130">
        <f t="shared" si="220"/>
        <v>19.23769663</v>
      </c>
      <c r="E574" s="130">
        <f t="shared" si="220"/>
        <v>22.38475177</v>
      </c>
      <c r="F574" s="130">
        <f t="shared" si="220"/>
        <v>19.14726246</v>
      </c>
      <c r="G574" s="130">
        <f t="shared" si="220"/>
        <v>26.47666505</v>
      </c>
      <c r="H574" s="130">
        <f t="shared" si="220"/>
        <v>18.375</v>
      </c>
      <c r="I574" s="132">
        <f t="shared" si="220"/>
        <v>23.35955056</v>
      </c>
    </row>
    <row r="575" hidden="1" outlineLevel="2">
      <c r="A575" s="69" t="s">
        <v>148</v>
      </c>
      <c r="B575" s="129">
        <f t="shared" ref="B575:I575" si="221">B568*15</f>
        <v>14.49</v>
      </c>
      <c r="C575" s="130">
        <f t="shared" si="221"/>
        <v>14.82</v>
      </c>
      <c r="D575" s="130">
        <f t="shared" si="221"/>
        <v>12.675</v>
      </c>
      <c r="E575" s="130">
        <f t="shared" si="221"/>
        <v>14.49</v>
      </c>
      <c r="F575" s="130">
        <f t="shared" si="221"/>
        <v>13.14</v>
      </c>
      <c r="G575" s="130">
        <f t="shared" si="221"/>
        <v>13.125</v>
      </c>
      <c r="H575" s="130">
        <f t="shared" si="221"/>
        <v>10.86</v>
      </c>
      <c r="I575" s="132">
        <f t="shared" si="221"/>
        <v>13.575</v>
      </c>
    </row>
    <row r="576" hidden="1" outlineLevel="2">
      <c r="A576" s="69" t="s">
        <v>149</v>
      </c>
      <c r="B576" s="129">
        <f t="shared" ref="B576:I576" si="222">B570*-10</f>
        <v>0</v>
      </c>
      <c r="C576" s="130">
        <f t="shared" si="222"/>
        <v>0</v>
      </c>
      <c r="D576" s="130">
        <f t="shared" si="222"/>
        <v>0</v>
      </c>
      <c r="E576" s="130">
        <f t="shared" si="222"/>
        <v>0</v>
      </c>
      <c r="F576" s="130">
        <f t="shared" si="222"/>
        <v>0</v>
      </c>
      <c r="G576" s="130">
        <f t="shared" si="222"/>
        <v>0</v>
      </c>
      <c r="H576" s="130">
        <f t="shared" si="222"/>
        <v>0</v>
      </c>
      <c r="I576" s="132">
        <f t="shared" si="222"/>
        <v>0</v>
      </c>
    </row>
    <row r="577" hidden="1" outlineLevel="2">
      <c r="A577" s="142" t="s">
        <v>150</v>
      </c>
      <c r="B577" s="129">
        <f t="shared" ref="B577:I577" si="223">B572+B573+B574+B575+B576</f>
        <v>95.92654841</v>
      </c>
      <c r="C577" s="130">
        <f t="shared" si="223"/>
        <v>97.67861332</v>
      </c>
      <c r="D577" s="130">
        <f t="shared" si="223"/>
        <v>89.06894663</v>
      </c>
      <c r="E577" s="130">
        <f t="shared" si="223"/>
        <v>99.14747905</v>
      </c>
      <c r="F577" s="130">
        <f t="shared" si="223"/>
        <v>66.26023543</v>
      </c>
      <c r="G577" s="130">
        <f t="shared" si="223"/>
        <v>100.314165</v>
      </c>
      <c r="H577" s="130">
        <f t="shared" si="223"/>
        <v>80.81625</v>
      </c>
      <c r="I577" s="132">
        <f t="shared" si="223"/>
        <v>91.75955056</v>
      </c>
    </row>
    <row r="578" hidden="1" outlineLevel="2">
      <c r="A578" s="54" t="s">
        <v>152</v>
      </c>
      <c r="B578" s="58">
        <f t="shared" ref="B578:I578" si="224">B577/100</f>
        <v>0.9592654841</v>
      </c>
      <c r="C578" s="61">
        <f t="shared" si="224"/>
        <v>0.9767861332</v>
      </c>
      <c r="D578" s="378">
        <f t="shared" si="224"/>
        <v>0.8906894663</v>
      </c>
      <c r="E578" s="61">
        <f t="shared" si="224"/>
        <v>0.9914747905</v>
      </c>
      <c r="F578" s="61">
        <f t="shared" si="224"/>
        <v>0.6626023543</v>
      </c>
      <c r="G578" s="61">
        <f t="shared" si="224"/>
        <v>1.00314165</v>
      </c>
      <c r="H578" s="61">
        <f t="shared" si="224"/>
        <v>0.8081625</v>
      </c>
      <c r="I578" s="62">
        <f t="shared" si="224"/>
        <v>0.9175955056</v>
      </c>
    </row>
    <row r="579" hidden="1" outlineLevel="2">
      <c r="A579" s="127" t="s">
        <v>154</v>
      </c>
      <c r="B579" s="349" t="s">
        <v>155</v>
      </c>
      <c r="C579" s="350" t="s">
        <v>155</v>
      </c>
      <c r="D579" s="350" t="s">
        <v>155</v>
      </c>
      <c r="E579" s="350" t="s">
        <v>155</v>
      </c>
      <c r="F579" s="350" t="s">
        <v>157</v>
      </c>
      <c r="G579" s="350" t="s">
        <v>156</v>
      </c>
      <c r="H579" s="350" t="s">
        <v>155</v>
      </c>
      <c r="I579" s="350" t="s">
        <v>155</v>
      </c>
    </row>
    <row r="580" hidden="1" outlineLevel="2">
      <c r="A580" s="127" t="s">
        <v>158</v>
      </c>
      <c r="B580" s="156"/>
      <c r="C580" s="157"/>
      <c r="D580" s="337"/>
      <c r="E580" s="157"/>
      <c r="F580" s="157"/>
      <c r="G580" s="157"/>
      <c r="H580" s="157"/>
      <c r="I580" s="352"/>
    </row>
    <row r="581" hidden="1" outlineLevel="1" collapsed="1">
      <c r="A581" s="12"/>
      <c r="B581" s="13" t="s">
        <v>782</v>
      </c>
      <c r="C581" s="14"/>
      <c r="D581" s="14"/>
      <c r="E581" s="14"/>
      <c r="F581" s="14"/>
      <c r="G581" s="14"/>
      <c r="H581" s="14"/>
      <c r="I581" s="15"/>
    </row>
    <row r="582" hidden="1" outlineLevel="2">
      <c r="A582" s="164"/>
      <c r="B582" s="302" t="s">
        <v>29</v>
      </c>
      <c r="C582" s="303" t="s">
        <v>4</v>
      </c>
      <c r="D582" s="303" t="s">
        <v>19</v>
      </c>
      <c r="E582" s="303" t="s">
        <v>30</v>
      </c>
      <c r="F582" s="303" t="s">
        <v>31</v>
      </c>
      <c r="G582" s="304" t="s">
        <v>32</v>
      </c>
      <c r="H582" s="305" t="s">
        <v>13</v>
      </c>
      <c r="I582" s="305" t="s">
        <v>350</v>
      </c>
    </row>
    <row r="583" hidden="1" outlineLevel="2">
      <c r="A583" s="25" t="s">
        <v>36</v>
      </c>
      <c r="B583" s="243" t="s">
        <v>782</v>
      </c>
      <c r="C583" s="244"/>
      <c r="D583" s="244"/>
      <c r="E583" s="244"/>
      <c r="F583" s="244"/>
      <c r="G583" s="244"/>
      <c r="H583" s="244"/>
      <c r="I583" s="245"/>
    </row>
    <row r="584" hidden="1" outlineLevel="2">
      <c r="A584" s="32" t="s">
        <v>45</v>
      </c>
      <c r="B584" s="34"/>
      <c r="C584" s="2"/>
      <c r="D584" s="2"/>
      <c r="E584" s="2"/>
      <c r="F584" s="2"/>
      <c r="G584" s="2"/>
      <c r="H584" s="2"/>
      <c r="I584" s="36"/>
    </row>
    <row r="585" hidden="1" outlineLevel="2">
      <c r="A585" s="38" t="s">
        <v>49</v>
      </c>
      <c r="B585" s="246">
        <v>29.54</v>
      </c>
      <c r="C585" s="247">
        <v>40.34</v>
      </c>
      <c r="D585" s="380">
        <v>40.4</v>
      </c>
      <c r="E585" s="247">
        <v>37.05</v>
      </c>
      <c r="F585" s="247">
        <v>40.01</v>
      </c>
      <c r="G585" s="247">
        <v>39.59</v>
      </c>
      <c r="H585" s="247">
        <v>36.45</v>
      </c>
      <c r="I585" s="345">
        <v>37.23</v>
      </c>
    </row>
    <row r="586" hidden="1" outlineLevel="2">
      <c r="A586" s="49" t="s">
        <v>53</v>
      </c>
      <c r="B586" s="383">
        <v>30.0</v>
      </c>
      <c r="C586" s="250">
        <v>40.0</v>
      </c>
      <c r="D586" s="51">
        <v>40.0</v>
      </c>
      <c r="E586" s="250">
        <v>37.0</v>
      </c>
      <c r="F586" s="250">
        <v>37.0</v>
      </c>
      <c r="G586" s="250">
        <v>40.0</v>
      </c>
      <c r="H586" s="250">
        <v>40.0</v>
      </c>
      <c r="I586" s="346">
        <v>40.0</v>
      </c>
    </row>
    <row r="587" hidden="1" outlineLevel="2">
      <c r="A587" s="54" t="s">
        <v>57</v>
      </c>
      <c r="B587" s="252">
        <f t="shared" ref="B587:I587" si="225">B585/B586</f>
        <v>0.9846666667</v>
      </c>
      <c r="C587" s="253">
        <f t="shared" si="225"/>
        <v>1.0085</v>
      </c>
      <c r="D587" s="253">
        <f t="shared" si="225"/>
        <v>1.01</v>
      </c>
      <c r="E587" s="253">
        <f t="shared" si="225"/>
        <v>1.001351351</v>
      </c>
      <c r="F587" s="253">
        <f t="shared" si="225"/>
        <v>1.081351351</v>
      </c>
      <c r="G587" s="253">
        <f t="shared" si="225"/>
        <v>0.98975</v>
      </c>
      <c r="H587" s="253">
        <f t="shared" si="225"/>
        <v>0.91125</v>
      </c>
      <c r="I587" s="256">
        <f t="shared" si="225"/>
        <v>0.93075</v>
      </c>
    </row>
    <row r="588" hidden="1" outlineLevel="2">
      <c r="A588" s="32" t="s">
        <v>66</v>
      </c>
      <c r="B588" s="34"/>
      <c r="C588" s="2"/>
      <c r="D588" s="2"/>
      <c r="E588" s="2"/>
      <c r="F588" s="2"/>
      <c r="G588" s="2"/>
      <c r="H588" s="2"/>
      <c r="I588" s="36"/>
    </row>
    <row r="589" hidden="1" outlineLevel="2">
      <c r="A589" s="64" t="s">
        <v>67</v>
      </c>
      <c r="B589" s="246">
        <v>40.0</v>
      </c>
      <c r="C589" s="247">
        <v>40.0</v>
      </c>
      <c r="D589" s="247">
        <v>40.0</v>
      </c>
      <c r="E589" s="247">
        <v>40.0</v>
      </c>
      <c r="F589" s="247">
        <v>40.0</v>
      </c>
      <c r="G589" s="247">
        <v>40.0</v>
      </c>
      <c r="H589" s="247">
        <v>40.0</v>
      </c>
      <c r="I589" s="248">
        <v>40.0</v>
      </c>
    </row>
    <row r="590" hidden="1" outlineLevel="2">
      <c r="A590" s="69" t="s">
        <v>72</v>
      </c>
      <c r="B590" s="186">
        <v>40.0</v>
      </c>
      <c r="C590" s="187">
        <v>40.0</v>
      </c>
      <c r="D590" s="187">
        <v>40.0</v>
      </c>
      <c r="E590" s="187">
        <v>40.0</v>
      </c>
      <c r="F590" s="187">
        <v>40.0</v>
      </c>
      <c r="G590" s="187">
        <v>40.0</v>
      </c>
      <c r="H590" s="187">
        <v>40.0</v>
      </c>
      <c r="I590" s="188">
        <v>40.0</v>
      </c>
    </row>
    <row r="591" hidden="1" outlineLevel="2">
      <c r="A591" s="54" t="s">
        <v>74</v>
      </c>
      <c r="B591" s="252">
        <f t="shared" ref="B591:I591" si="226">B589/B590</f>
        <v>1</v>
      </c>
      <c r="C591" s="253">
        <f t="shared" si="226"/>
        <v>1</v>
      </c>
      <c r="D591" s="253">
        <f t="shared" si="226"/>
        <v>1</v>
      </c>
      <c r="E591" s="253">
        <f t="shared" si="226"/>
        <v>1</v>
      </c>
      <c r="F591" s="253">
        <f t="shared" si="226"/>
        <v>1</v>
      </c>
      <c r="G591" s="253">
        <f t="shared" si="226"/>
        <v>1</v>
      </c>
      <c r="H591" s="253">
        <f t="shared" si="226"/>
        <v>1</v>
      </c>
      <c r="I591" s="256">
        <f t="shared" si="226"/>
        <v>1</v>
      </c>
    </row>
    <row r="592" hidden="1" outlineLevel="2">
      <c r="A592" s="32" t="s">
        <v>75</v>
      </c>
      <c r="B592" s="34"/>
      <c r="C592" s="2"/>
      <c r="D592" s="2"/>
      <c r="E592" s="2"/>
      <c r="F592" s="2"/>
      <c r="G592" s="2"/>
      <c r="H592" s="2"/>
      <c r="I592" s="36"/>
    </row>
    <row r="593" hidden="1" outlineLevel="2">
      <c r="A593" s="64" t="s">
        <v>76</v>
      </c>
      <c r="B593" s="185" t="s">
        <v>79</v>
      </c>
      <c r="C593" s="78" t="s">
        <v>80</v>
      </c>
      <c r="D593" s="78" t="s">
        <v>80</v>
      </c>
      <c r="E593" s="78" t="s">
        <v>79</v>
      </c>
      <c r="F593" s="78" t="s">
        <v>79</v>
      </c>
      <c r="G593" s="77" t="s">
        <v>80</v>
      </c>
      <c r="H593" s="78" t="s">
        <v>79</v>
      </c>
      <c r="I593" s="79" t="s">
        <v>79</v>
      </c>
    </row>
    <row r="594" hidden="1" outlineLevel="2">
      <c r="A594" s="64" t="s">
        <v>81</v>
      </c>
      <c r="B594" s="185" t="s">
        <v>83</v>
      </c>
      <c r="C594" s="78" t="s">
        <v>85</v>
      </c>
      <c r="D594" s="78" t="s">
        <v>83</v>
      </c>
      <c r="E594" s="78" t="s">
        <v>85</v>
      </c>
      <c r="F594" s="78" t="s">
        <v>83</v>
      </c>
      <c r="G594" s="78" t="s">
        <v>85</v>
      </c>
      <c r="H594" s="78" t="s">
        <v>85</v>
      </c>
      <c r="I594" s="79" t="s">
        <v>85</v>
      </c>
    </row>
    <row r="595" hidden="1" outlineLevel="2">
      <c r="A595" s="64" t="s">
        <v>86</v>
      </c>
      <c r="B595" s="194">
        <f>IF(B585&lt;B586,B586,B585) *
IF(B593="AM",
    IF(B594="Oricle",3.5,
    IF(B594="Other Brands",4,
    IF(B594="Oricle Prio",0.6,""))),
 IF(B593="MID",
    IF(B594="Oricle",2.5,
    IF(B594="Other Brands",3,
    IF(B594="Oricle Prio",0.6,""))),
 IF(B593="GY",
    IF(B594="Oricle",1,
    IF(B594="Other Brands",1,
    IF(B594="Oricle Prio",0.3,""))),"")))-10</f>
        <v>80</v>
      </c>
      <c r="C595" s="204">
        <f>IF(C585&lt;C586,C586,C585) *
IF(C593="AM",
    IF(C594="Oricle",3,
    IF(C594="Other Brands",4,
    IF(C594="Oricle Prio",0.6,""))),
 IF(C593="MID",
    IF(C594="Oricle",2.5,
    IF(C594="Other Brands",3,
    IF(C594="Oricle Prio",0.6,""))),
 IF(C593="GY",
    IF(C594="Oricle",1,
    IF(C594="Other Brands",1,
    IF(C594="Oricle Prio",0.3,""))),"")))</f>
        <v>121.02</v>
      </c>
      <c r="D595" s="204">
        <f>IF(D585&lt;D586,D586,D585) *
IF(D593="AM",
    IF(D594="Oricle",3.5,
    IF(D594="Other Brands",4,
    IF(D594="Oricle Prio",0.6,""))),
 IF(D593="MID",
    IF(D594="Oricle",2.5,
    IF(D594="Other Brands",3,
    IF(D594="Oricle Prio",0.6,""))),
 IF(D593="GY",
    IF(D594="Oricle",1,
    IF(D594="Other Brands",1,
    IF(D594="Oricle Prio",0.3,""))),"")))</f>
        <v>161.6</v>
      </c>
      <c r="E595" s="204">
        <f>IF(E585&lt;E586,E586,E585) *
IF(E593="AM",
    IF(E594="Oricle",3.5,
    IF(E594="Other Brands",4,
    IF(E594="Oricle Prio",0.6,""))),
 IF(E593="MID",
    IF(E594="Oricle",2.5,
    IF(E594="Other Brands",3,
    IF(E594="Oricle Prio",0.6,""))),
 IF(E593="GY",
    IF(E594="Oricle",1,
    IF(E594="Other Brands",1,
    IF(E594="Oricle Prio",0.3,""))),"")))-12</f>
        <v>80.625</v>
      </c>
      <c r="F595" s="204">
        <f>IF(F585&lt;F586,F586,F585) *
IF(F593="AM",
    IF(F594="Oricle",3.5,
    IF(F594="Other Brands",4,
    IF(F594="Oricle Prio",0.6,""))),
 IF(F593="MID",
    IF(F594="Oricle",2.5,
    IF(F594="Other Brands",3,
    IF(F594="Oricle Prio",0.6,""))),
 IF(F593="GY",
    IF(F594="Oricle",1,
    IF(F594="Other Brands",1,
    IF(F594="Oricle Prio",0.3,""))),"")))</f>
        <v>120.03</v>
      </c>
      <c r="G595" s="204">
        <f>IF(G585&lt;G586,G586,G585) *
IF(G593="AM",
    IF(G594="Oricle",3,
    IF(G594="Other Brands",4,
    IF(G594="Oricle Prio",0.6,""))),
 IF(G593="MID",
    IF(G594="Oricle",2.5,
    IF(G594="Other Brands",3,
    IF(G594="Oricle Prio",0.6,""))),
 IF(G593="GY",
    IF(G594="Oricle",1,
    IF(G594="Other Brands",1,
    IF(G594="Oricle Prio",0.3,""))),"")))</f>
        <v>120</v>
      </c>
      <c r="H595" s="204">
        <f t="shared" ref="H595:I595" si="227">IF(H585&lt;H586,H586,H585) *
IF(H593="AM",
    IF(H594="Oricle",3.5,
    IF(H594="Other Brands",4,
    IF(H594="Oricle Prio",0.6,""))),
 IF(H593="MID",
    IF(H594="Oricle",2.5,
    IF(H594="Other Brands",3,
    IF(H594="Oricle Prio",0.6,""))),
 IF(H593="GY",
    IF(H594="Oricle",1,
    IF(H594="Other Brands",1,
    IF(H594="Oricle Prio",0.3,""))),"")))</f>
        <v>100</v>
      </c>
      <c r="I595" s="204">
        <f t="shared" si="227"/>
        <v>100</v>
      </c>
    </row>
    <row r="596" hidden="1" outlineLevel="2">
      <c r="A596" s="64" t="s">
        <v>98</v>
      </c>
      <c r="B596" s="266" t="s">
        <v>814</v>
      </c>
      <c r="C596" s="77" t="s">
        <v>562</v>
      </c>
      <c r="D596" s="77" t="s">
        <v>687</v>
      </c>
      <c r="E596" s="77" t="s">
        <v>815</v>
      </c>
      <c r="F596" s="77" t="s">
        <v>412</v>
      </c>
      <c r="G596" s="77" t="s">
        <v>248</v>
      </c>
      <c r="H596" s="77" t="s">
        <v>745</v>
      </c>
      <c r="I596" s="258" t="s">
        <v>253</v>
      </c>
    </row>
    <row r="597" hidden="1" outlineLevel="2">
      <c r="A597" s="64" t="s">
        <v>107</v>
      </c>
      <c r="B597" s="266" t="s">
        <v>745</v>
      </c>
      <c r="C597" s="77" t="s">
        <v>638</v>
      </c>
      <c r="D597" s="77" t="s">
        <v>479</v>
      </c>
      <c r="E597" s="77" t="s">
        <v>817</v>
      </c>
      <c r="F597" s="77" t="s">
        <v>520</v>
      </c>
      <c r="G597" s="77" t="s">
        <v>248</v>
      </c>
      <c r="H597" s="77" t="s">
        <v>560</v>
      </c>
      <c r="I597" s="258" t="s">
        <v>590</v>
      </c>
    </row>
    <row r="598" hidden="1" outlineLevel="2">
      <c r="A598" s="69" t="s">
        <v>115</v>
      </c>
      <c r="B598" s="108">
        <f t="shared" ref="B598:I598" si="228">IF(B596&gt;0,B597/B596,0)</f>
        <v>0.953125</v>
      </c>
      <c r="C598" s="110">
        <f t="shared" si="228"/>
        <v>0.9583333333</v>
      </c>
      <c r="D598" s="110">
        <f t="shared" si="228"/>
        <v>0.9838709677</v>
      </c>
      <c r="E598" s="110">
        <f t="shared" si="228"/>
        <v>0.962962963</v>
      </c>
      <c r="F598" s="110">
        <f t="shared" si="228"/>
        <v>0.9571428571</v>
      </c>
      <c r="G598" s="110">
        <f t="shared" si="228"/>
        <v>1</v>
      </c>
      <c r="H598" s="110">
        <f t="shared" si="228"/>
        <v>0.9672131148</v>
      </c>
      <c r="I598" s="111">
        <f t="shared" si="228"/>
        <v>0.9868421053</v>
      </c>
    </row>
    <row r="599" hidden="1" outlineLevel="2">
      <c r="A599" s="69" t="s">
        <v>119</v>
      </c>
      <c r="B599" s="108">
        <f t="shared" ref="B599:I599" si="229">IF(B595&gt;0,B597/B595,0)</f>
        <v>0.7625</v>
      </c>
      <c r="C599" s="110">
        <f t="shared" si="229"/>
        <v>0.7602049248</v>
      </c>
      <c r="D599" s="110">
        <f t="shared" si="229"/>
        <v>0.754950495</v>
      </c>
      <c r="E599" s="110">
        <f t="shared" si="229"/>
        <v>0.6449612403</v>
      </c>
      <c r="F599" s="110">
        <f t="shared" si="229"/>
        <v>0.5581937849</v>
      </c>
      <c r="G599" s="110">
        <f t="shared" si="229"/>
        <v>1.15</v>
      </c>
      <c r="H599" s="110">
        <f t="shared" si="229"/>
        <v>0.59</v>
      </c>
      <c r="I599" s="111">
        <f t="shared" si="229"/>
        <v>0.75</v>
      </c>
    </row>
    <row r="600" hidden="1" outlineLevel="2">
      <c r="A600" s="116" t="s">
        <v>82</v>
      </c>
      <c r="B600" s="252">
        <f t="shared" ref="B600:I600" si="230">average(B598:B599)</f>
        <v>0.8578125</v>
      </c>
      <c r="C600" s="253">
        <f t="shared" si="230"/>
        <v>0.8592691291</v>
      </c>
      <c r="D600" s="253">
        <f t="shared" si="230"/>
        <v>0.8694107314</v>
      </c>
      <c r="E600" s="253">
        <f t="shared" si="230"/>
        <v>0.8039621016</v>
      </c>
      <c r="F600" s="253">
        <f t="shared" si="230"/>
        <v>0.757668321</v>
      </c>
      <c r="G600" s="253">
        <f t="shared" si="230"/>
        <v>1.075</v>
      </c>
      <c r="H600" s="253">
        <f t="shared" si="230"/>
        <v>0.7786065574</v>
      </c>
      <c r="I600" s="256">
        <f t="shared" si="230"/>
        <v>0.8684210526</v>
      </c>
    </row>
    <row r="601" hidden="1" outlineLevel="2">
      <c r="A601" s="32" t="s">
        <v>121</v>
      </c>
      <c r="B601" s="316"/>
      <c r="C601" s="2"/>
      <c r="D601" s="2"/>
      <c r="E601" s="2"/>
      <c r="F601" s="2"/>
      <c r="G601" s="2"/>
      <c r="H601" s="2"/>
      <c r="I601" s="3"/>
    </row>
    <row r="602" hidden="1" outlineLevel="2">
      <c r="A602" s="64" t="s">
        <v>122</v>
      </c>
      <c r="B602" s="246">
        <v>9.66</v>
      </c>
      <c r="C602" s="247">
        <v>9.58</v>
      </c>
      <c r="D602" s="247">
        <v>9.62</v>
      </c>
      <c r="E602" s="247">
        <v>9.66</v>
      </c>
      <c r="F602" s="247">
        <v>9.66</v>
      </c>
      <c r="G602" s="247">
        <v>9.72</v>
      </c>
      <c r="H602" s="247">
        <v>8.03</v>
      </c>
      <c r="I602" s="247">
        <v>9.54</v>
      </c>
    </row>
    <row r="603" hidden="1" outlineLevel="2">
      <c r="A603" s="69" t="s">
        <v>128</v>
      </c>
      <c r="B603" s="119">
        <v>10.0</v>
      </c>
      <c r="C603" s="120">
        <v>10.0</v>
      </c>
      <c r="D603" s="120">
        <v>10.0</v>
      </c>
      <c r="E603" s="120">
        <v>10.0</v>
      </c>
      <c r="F603" s="120">
        <v>10.0</v>
      </c>
      <c r="G603" s="120">
        <v>10.0</v>
      </c>
      <c r="H603" s="120">
        <v>10.0</v>
      </c>
      <c r="I603" s="121">
        <v>10.0</v>
      </c>
    </row>
    <row r="604" hidden="1" outlineLevel="2">
      <c r="A604" s="54" t="s">
        <v>130</v>
      </c>
      <c r="B604" s="252">
        <f t="shared" ref="B604:I604" si="231">IF(B602=0,0,B602/B603)</f>
        <v>0.966</v>
      </c>
      <c r="C604" s="253">
        <f t="shared" si="231"/>
        <v>0.958</v>
      </c>
      <c r="D604" s="253">
        <f t="shared" si="231"/>
        <v>0.962</v>
      </c>
      <c r="E604" s="253">
        <f t="shared" si="231"/>
        <v>0.966</v>
      </c>
      <c r="F604" s="253">
        <f t="shared" si="231"/>
        <v>0.966</v>
      </c>
      <c r="G604" s="253">
        <f t="shared" si="231"/>
        <v>0.972</v>
      </c>
      <c r="H604" s="253">
        <f t="shared" si="231"/>
        <v>0.803</v>
      </c>
      <c r="I604" s="256">
        <f t="shared" si="231"/>
        <v>0.954</v>
      </c>
    </row>
    <row r="605" hidden="1" outlineLevel="2">
      <c r="A605" s="32" t="s">
        <v>131</v>
      </c>
      <c r="B605" s="34"/>
      <c r="C605" s="2"/>
      <c r="D605" s="2"/>
      <c r="E605" s="2"/>
      <c r="F605" s="2"/>
      <c r="G605" s="2"/>
      <c r="H605" s="2"/>
      <c r="I605" s="36"/>
    </row>
    <row r="606" hidden="1" outlineLevel="2">
      <c r="A606" s="64" t="s">
        <v>132</v>
      </c>
      <c r="B606" s="312"/>
      <c r="C606" s="313"/>
      <c r="D606" s="332"/>
      <c r="E606" s="313"/>
      <c r="F606" s="313"/>
      <c r="G606" s="313"/>
      <c r="H606" s="313"/>
      <c r="I606" s="314"/>
    </row>
    <row r="607" hidden="1" outlineLevel="2">
      <c r="A607" s="127" t="s">
        <v>134</v>
      </c>
      <c r="B607" s="34"/>
      <c r="C607" s="2"/>
      <c r="D607" s="2"/>
      <c r="E607" s="2"/>
      <c r="F607" s="2"/>
      <c r="G607" s="2"/>
      <c r="H607" s="2"/>
      <c r="I607" s="36"/>
    </row>
    <row r="608" hidden="1" outlineLevel="2">
      <c r="A608" s="69" t="s">
        <v>136</v>
      </c>
      <c r="B608" s="129">
        <f t="shared" ref="B608:I608" si="232">B587*25</f>
        <v>24.61666667</v>
      </c>
      <c r="C608" s="130">
        <f t="shared" si="232"/>
        <v>25.2125</v>
      </c>
      <c r="D608" s="130">
        <f t="shared" si="232"/>
        <v>25.25</v>
      </c>
      <c r="E608" s="130">
        <f t="shared" si="232"/>
        <v>25.03378378</v>
      </c>
      <c r="F608" s="130">
        <f t="shared" si="232"/>
        <v>27.03378378</v>
      </c>
      <c r="G608" s="130">
        <f t="shared" si="232"/>
        <v>24.74375</v>
      </c>
      <c r="H608" s="130">
        <f t="shared" si="232"/>
        <v>22.78125</v>
      </c>
      <c r="I608" s="132">
        <f t="shared" si="232"/>
        <v>23.26875</v>
      </c>
    </row>
    <row r="609" hidden="1" outlineLevel="2">
      <c r="A609" s="69" t="s">
        <v>144</v>
      </c>
      <c r="B609" s="129">
        <f t="shared" ref="B609:I609" si="233">B591*35</f>
        <v>35</v>
      </c>
      <c r="C609" s="130">
        <f t="shared" si="233"/>
        <v>35</v>
      </c>
      <c r="D609" s="130">
        <f t="shared" si="233"/>
        <v>35</v>
      </c>
      <c r="E609" s="130">
        <f t="shared" si="233"/>
        <v>35</v>
      </c>
      <c r="F609" s="130">
        <f t="shared" si="233"/>
        <v>35</v>
      </c>
      <c r="G609" s="130">
        <f t="shared" si="233"/>
        <v>35</v>
      </c>
      <c r="H609" s="130">
        <f t="shared" si="233"/>
        <v>35</v>
      </c>
      <c r="I609" s="132">
        <f t="shared" si="233"/>
        <v>35</v>
      </c>
    </row>
    <row r="610" hidden="1" outlineLevel="2">
      <c r="A610" s="69" t="s">
        <v>146</v>
      </c>
      <c r="B610" s="129">
        <f t="shared" ref="B610:I610" si="234">IF(AND(B591&lt;85%, B600&gt;100%), 25, B600*25)</f>
        <v>21.4453125</v>
      </c>
      <c r="C610" s="130">
        <f t="shared" si="234"/>
        <v>21.48172823</v>
      </c>
      <c r="D610" s="130">
        <f t="shared" si="234"/>
        <v>21.73526828</v>
      </c>
      <c r="E610" s="130">
        <f t="shared" si="234"/>
        <v>20.09905254</v>
      </c>
      <c r="F610" s="130">
        <f t="shared" si="234"/>
        <v>18.94170803</v>
      </c>
      <c r="G610" s="130">
        <f t="shared" si="234"/>
        <v>26.875</v>
      </c>
      <c r="H610" s="130">
        <f t="shared" si="234"/>
        <v>19.46516393</v>
      </c>
      <c r="I610" s="132">
        <f t="shared" si="234"/>
        <v>21.71052632</v>
      </c>
    </row>
    <row r="611" hidden="1" outlineLevel="2">
      <c r="A611" s="69" t="s">
        <v>148</v>
      </c>
      <c r="B611" s="129">
        <f t="shared" ref="B611:I611" si="235">B604*15</f>
        <v>14.49</v>
      </c>
      <c r="C611" s="130">
        <f t="shared" si="235"/>
        <v>14.37</v>
      </c>
      <c r="D611" s="130">
        <f t="shared" si="235"/>
        <v>14.43</v>
      </c>
      <c r="E611" s="130">
        <f t="shared" si="235"/>
        <v>14.49</v>
      </c>
      <c r="F611" s="130">
        <f t="shared" si="235"/>
        <v>14.49</v>
      </c>
      <c r="G611" s="130">
        <f t="shared" si="235"/>
        <v>14.58</v>
      </c>
      <c r="H611" s="130">
        <f t="shared" si="235"/>
        <v>12.045</v>
      </c>
      <c r="I611" s="132">
        <f t="shared" si="235"/>
        <v>14.31</v>
      </c>
    </row>
    <row r="612" hidden="1" outlineLevel="2">
      <c r="A612" s="69" t="s">
        <v>149</v>
      </c>
      <c r="B612" s="129">
        <f t="shared" ref="B612:I612" si="236">B606*-10</f>
        <v>0</v>
      </c>
      <c r="C612" s="130">
        <f t="shared" si="236"/>
        <v>0</v>
      </c>
      <c r="D612" s="130">
        <f t="shared" si="236"/>
        <v>0</v>
      </c>
      <c r="E612" s="130">
        <f t="shared" si="236"/>
        <v>0</v>
      </c>
      <c r="F612" s="130">
        <f t="shared" si="236"/>
        <v>0</v>
      </c>
      <c r="G612" s="130">
        <f t="shared" si="236"/>
        <v>0</v>
      </c>
      <c r="H612" s="130">
        <f t="shared" si="236"/>
        <v>0</v>
      </c>
      <c r="I612" s="132">
        <f t="shared" si="236"/>
        <v>0</v>
      </c>
    </row>
    <row r="613" hidden="1" outlineLevel="2">
      <c r="A613" s="142" t="s">
        <v>150</v>
      </c>
      <c r="B613" s="129">
        <f t="shared" ref="B613:I613" si="237">B608+B609+B610+B611+B612</f>
        <v>95.55197917</v>
      </c>
      <c r="C613" s="130">
        <f t="shared" si="237"/>
        <v>96.06422823</v>
      </c>
      <c r="D613" s="130">
        <f t="shared" si="237"/>
        <v>96.41526828</v>
      </c>
      <c r="E613" s="130">
        <f t="shared" si="237"/>
        <v>94.62283632</v>
      </c>
      <c r="F613" s="130">
        <f t="shared" si="237"/>
        <v>95.46549181</v>
      </c>
      <c r="G613" s="130">
        <f t="shared" si="237"/>
        <v>101.19875</v>
      </c>
      <c r="H613" s="130">
        <f t="shared" si="237"/>
        <v>89.29141393</v>
      </c>
      <c r="I613" s="132">
        <f t="shared" si="237"/>
        <v>94.28927632</v>
      </c>
    </row>
    <row r="614" hidden="1" outlineLevel="2">
      <c r="A614" s="54" t="s">
        <v>152</v>
      </c>
      <c r="B614" s="58">
        <f t="shared" ref="B614:I614" si="238">B613/100</f>
        <v>0.9555197917</v>
      </c>
      <c r="C614" s="61">
        <f t="shared" si="238"/>
        <v>0.9606422823</v>
      </c>
      <c r="D614" s="378">
        <f t="shared" si="238"/>
        <v>0.9641526828</v>
      </c>
      <c r="E614" s="61">
        <f t="shared" si="238"/>
        <v>0.9462283632</v>
      </c>
      <c r="F614" s="61">
        <f t="shared" si="238"/>
        <v>0.9546549181</v>
      </c>
      <c r="G614" s="61">
        <f t="shared" si="238"/>
        <v>1.0119875</v>
      </c>
      <c r="H614" s="61">
        <f t="shared" si="238"/>
        <v>0.8929141393</v>
      </c>
      <c r="I614" s="62">
        <f t="shared" si="238"/>
        <v>0.9428927632</v>
      </c>
    </row>
    <row r="615" hidden="1" outlineLevel="2">
      <c r="A615" s="127" t="s">
        <v>154</v>
      </c>
      <c r="B615" s="349" t="s">
        <v>155</v>
      </c>
      <c r="C615" s="350" t="s">
        <v>155</v>
      </c>
      <c r="D615" s="350" t="s">
        <v>155</v>
      </c>
      <c r="E615" s="350" t="s">
        <v>155</v>
      </c>
      <c r="F615" s="350" t="s">
        <v>155</v>
      </c>
      <c r="G615" s="350" t="s">
        <v>156</v>
      </c>
      <c r="H615" s="350" t="s">
        <v>155</v>
      </c>
      <c r="I615" s="350" t="s">
        <v>155</v>
      </c>
    </row>
    <row r="616" hidden="1" outlineLevel="2">
      <c r="A616" s="127" t="s">
        <v>158</v>
      </c>
      <c r="B616" s="156"/>
      <c r="C616" s="157"/>
      <c r="D616" s="337"/>
      <c r="E616" s="157"/>
      <c r="F616" s="157"/>
      <c r="G616" s="157"/>
      <c r="H616" s="157"/>
      <c r="I616" s="352"/>
    </row>
    <row r="617" hidden="1" outlineLevel="1">
      <c r="A617" s="12"/>
      <c r="B617" s="13" t="s">
        <v>832</v>
      </c>
      <c r="C617" s="14"/>
      <c r="D617" s="14"/>
      <c r="E617" s="14"/>
      <c r="F617" s="14"/>
      <c r="G617" s="14"/>
      <c r="H617" s="14"/>
      <c r="I617" s="15"/>
    </row>
    <row r="618" hidden="1" outlineLevel="2">
      <c r="A618" s="164"/>
      <c r="B618" s="302" t="s">
        <v>29</v>
      </c>
      <c r="C618" s="303" t="s">
        <v>4</v>
      </c>
      <c r="D618" s="303" t="s">
        <v>19</v>
      </c>
      <c r="E618" s="303" t="s">
        <v>30</v>
      </c>
      <c r="F618" s="303" t="s">
        <v>31</v>
      </c>
      <c r="G618" s="304" t="s">
        <v>32</v>
      </c>
      <c r="H618" s="305" t="s">
        <v>13</v>
      </c>
      <c r="I618" s="305" t="s">
        <v>350</v>
      </c>
    </row>
    <row r="619" hidden="1" outlineLevel="2">
      <c r="A619" s="25" t="s">
        <v>36</v>
      </c>
      <c r="B619" s="243" t="s">
        <v>832</v>
      </c>
      <c r="C619" s="244"/>
      <c r="D619" s="244"/>
      <c r="E619" s="244"/>
      <c r="F619" s="244"/>
      <c r="G619" s="244"/>
      <c r="H619" s="244"/>
      <c r="I619" s="245"/>
    </row>
    <row r="620" hidden="1" outlineLevel="2">
      <c r="A620" s="32" t="s">
        <v>45</v>
      </c>
      <c r="B620" s="34"/>
      <c r="C620" s="2"/>
      <c r="D620" s="2"/>
      <c r="E620" s="2"/>
      <c r="F620" s="2"/>
      <c r="G620" s="2"/>
      <c r="H620" s="2"/>
      <c r="I620" s="36"/>
    </row>
    <row r="621" hidden="1" outlineLevel="2">
      <c r="A621" s="38" t="s">
        <v>49</v>
      </c>
      <c r="B621" s="246">
        <v>38.06</v>
      </c>
      <c r="C621" s="247">
        <v>32.29</v>
      </c>
      <c r="D621" s="380">
        <v>40.0</v>
      </c>
      <c r="E621" s="247">
        <v>32.04</v>
      </c>
      <c r="F621" s="247">
        <f>40.06-3</f>
        <v>37.06</v>
      </c>
      <c r="G621" s="247">
        <v>40.56</v>
      </c>
      <c r="H621" s="247">
        <v>40.04</v>
      </c>
      <c r="I621" s="345">
        <v>37.34</v>
      </c>
    </row>
    <row r="622" hidden="1" outlineLevel="2">
      <c r="A622" s="49" t="s">
        <v>53</v>
      </c>
      <c r="B622" s="250">
        <v>37.0</v>
      </c>
      <c r="C622" s="250">
        <v>32.0</v>
      </c>
      <c r="D622" s="51">
        <v>40.0</v>
      </c>
      <c r="E622" s="250">
        <v>32.0</v>
      </c>
      <c r="F622" s="250">
        <v>37.0</v>
      </c>
      <c r="G622" s="250">
        <v>40.0</v>
      </c>
      <c r="H622" s="250">
        <v>40.0</v>
      </c>
      <c r="I622" s="346">
        <v>40.0</v>
      </c>
    </row>
    <row r="623" hidden="1" outlineLevel="2">
      <c r="A623" s="54" t="s">
        <v>57</v>
      </c>
      <c r="B623" s="252">
        <f t="shared" ref="B623:I623" si="239">B621/B622</f>
        <v>1.028648649</v>
      </c>
      <c r="C623" s="253">
        <f t="shared" si="239"/>
        <v>1.0090625</v>
      </c>
      <c r="D623" s="253">
        <f t="shared" si="239"/>
        <v>1</v>
      </c>
      <c r="E623" s="253">
        <f t="shared" si="239"/>
        <v>1.00125</v>
      </c>
      <c r="F623" s="253">
        <f t="shared" si="239"/>
        <v>1.001621622</v>
      </c>
      <c r="G623" s="253">
        <f t="shared" si="239"/>
        <v>1.014</v>
      </c>
      <c r="H623" s="253">
        <f t="shared" si="239"/>
        <v>1.001</v>
      </c>
      <c r="I623" s="256">
        <f t="shared" si="239"/>
        <v>0.9335</v>
      </c>
    </row>
    <row r="624" hidden="1" outlineLevel="2">
      <c r="A624" s="32" t="s">
        <v>66</v>
      </c>
      <c r="B624" s="34"/>
      <c r="C624" s="2"/>
      <c r="D624" s="2"/>
      <c r="E624" s="2"/>
      <c r="F624" s="2"/>
      <c r="G624" s="2"/>
      <c r="H624" s="2"/>
      <c r="I624" s="36"/>
    </row>
    <row r="625" hidden="1" outlineLevel="2">
      <c r="A625" s="64" t="s">
        <v>67</v>
      </c>
      <c r="B625" s="246">
        <v>40.0</v>
      </c>
      <c r="C625" s="247">
        <v>40.0</v>
      </c>
      <c r="D625" s="247">
        <v>40.0</v>
      </c>
      <c r="E625" s="247">
        <v>40.0</v>
      </c>
      <c r="F625" s="247">
        <v>19.0</v>
      </c>
      <c r="G625" s="247">
        <v>40.0</v>
      </c>
      <c r="H625" s="247">
        <v>40.0</v>
      </c>
      <c r="I625" s="248">
        <v>40.0</v>
      </c>
    </row>
    <row r="626" hidden="1" outlineLevel="2">
      <c r="A626" s="69" t="s">
        <v>72</v>
      </c>
      <c r="B626" s="186">
        <v>40.0</v>
      </c>
      <c r="C626" s="187">
        <v>40.0</v>
      </c>
      <c r="D626" s="187">
        <v>40.0</v>
      </c>
      <c r="E626" s="187">
        <v>40.0</v>
      </c>
      <c r="F626" s="187">
        <v>40.0</v>
      </c>
      <c r="G626" s="187">
        <v>40.0</v>
      </c>
      <c r="H626" s="187">
        <v>40.0</v>
      </c>
      <c r="I626" s="188">
        <v>40.0</v>
      </c>
    </row>
    <row r="627" hidden="1" outlineLevel="2">
      <c r="A627" s="54" t="s">
        <v>74</v>
      </c>
      <c r="B627" s="252">
        <f t="shared" ref="B627:I627" si="240">B625/B626</f>
        <v>1</v>
      </c>
      <c r="C627" s="253">
        <f t="shared" si="240"/>
        <v>1</v>
      </c>
      <c r="D627" s="253">
        <f t="shared" si="240"/>
        <v>1</v>
      </c>
      <c r="E627" s="253">
        <f t="shared" si="240"/>
        <v>1</v>
      </c>
      <c r="F627" s="253">
        <f t="shared" si="240"/>
        <v>0.475</v>
      </c>
      <c r="G627" s="253">
        <f t="shared" si="240"/>
        <v>1</v>
      </c>
      <c r="H627" s="253">
        <f t="shared" si="240"/>
        <v>1</v>
      </c>
      <c r="I627" s="256">
        <f t="shared" si="240"/>
        <v>1</v>
      </c>
    </row>
    <row r="628" hidden="1" outlineLevel="2">
      <c r="A628" s="32" t="s">
        <v>75</v>
      </c>
      <c r="B628" s="34"/>
      <c r="C628" s="2"/>
      <c r="D628" s="2"/>
      <c r="E628" s="2"/>
      <c r="F628" s="2"/>
      <c r="G628" s="2"/>
      <c r="H628" s="2"/>
      <c r="I628" s="36"/>
    </row>
    <row r="629" hidden="1" outlineLevel="2">
      <c r="A629" s="64" t="s">
        <v>76</v>
      </c>
      <c r="B629" s="185" t="s">
        <v>79</v>
      </c>
      <c r="C629" s="78" t="s">
        <v>80</v>
      </c>
      <c r="D629" s="78" t="s">
        <v>80</v>
      </c>
      <c r="E629" s="78" t="s">
        <v>79</v>
      </c>
      <c r="F629" s="78" t="s">
        <v>79</v>
      </c>
      <c r="G629" s="77" t="s">
        <v>80</v>
      </c>
      <c r="H629" s="78" t="s">
        <v>79</v>
      </c>
      <c r="I629" s="79" t="s">
        <v>79</v>
      </c>
    </row>
    <row r="630" hidden="1" outlineLevel="2">
      <c r="A630" s="64" t="s">
        <v>81</v>
      </c>
      <c r="B630" s="185" t="s">
        <v>83</v>
      </c>
      <c r="C630" s="78" t="s">
        <v>85</v>
      </c>
      <c r="D630" s="78" t="s">
        <v>83</v>
      </c>
      <c r="E630" s="78" t="s">
        <v>85</v>
      </c>
      <c r="F630" s="78" t="s">
        <v>83</v>
      </c>
      <c r="G630" s="78" t="s">
        <v>85</v>
      </c>
      <c r="H630" s="78" t="s">
        <v>85</v>
      </c>
      <c r="I630" s="79" t="s">
        <v>85</v>
      </c>
    </row>
    <row r="631" hidden="1" outlineLevel="2">
      <c r="A631" s="64" t="s">
        <v>86</v>
      </c>
      <c r="B631" s="194">
        <f>IF(B621&lt;B622,B622,B621) *
IF(B629="AM",
    IF(B630="Oricle",3.5,
    IF(B630="Other Brands",4,
    IF(B630="Oricle Prio",0.6,""))),
 IF(B629="MID",
    IF(B630="Oricle",2.5,
    IF(B630="Other Brands",3,
    IF(B630="Oricle Prio",0.6,""))),
 IF(B629="GY",
    IF(B630="Oricle",1,
    IF(B630="Other Brands",1,
    IF(B630="Oricle Prio",0.3,""))),"")))-10</f>
        <v>104.18</v>
      </c>
      <c r="C631" s="204">
        <f>IF(C621&lt;C622,C622,C621) *
IF(C629="AM",
    IF(C630="Oricle",3,
    IF(C630="Other Brands",4,
    IF(C630="Oricle Prio",0.6,""))),
 IF(C629="MID",
    IF(C630="Oricle",2.5,
    IF(C630="Other Brands",3,
    IF(C630="Oricle Prio",0.6,""))),
 IF(C629="GY",
    IF(C630="Oricle",1,
    IF(C630="Other Brands",1,
    IF(C630="Oricle Prio",0.3,""))),"")))</f>
        <v>96.87</v>
      </c>
      <c r="D631" s="204">
        <f>IF(D621&lt;D622,D622,D621) *
IF(D629="AM",
    IF(D630="Oricle",3.5,
    IF(D630="Other Brands",4,
    IF(D630="Oricle Prio",0.6,""))),
 IF(D629="MID",
    IF(D630="Oricle",2.5,
    IF(D630="Other Brands",3,
    IF(D630="Oricle Prio",0.6,""))),
 IF(D629="GY",
    IF(D630="Oricle",1,
    IF(D630="Other Brands",1,
    IF(D630="Oricle Prio",0.3,""))),"")))</f>
        <v>160</v>
      </c>
      <c r="E631" s="204">
        <f>IF(E621&lt;E622,E622,E621) *
IF(E629="AM",
    IF(E630="Oricle",3.5,
    IF(E630="Other Brands",4,
    IF(E630="Oricle Prio",0.6,""))),
 IF(E629="MID",
    IF(E630="Oricle",2.5,
    IF(E630="Other Brands",3,
    IF(E630="Oricle Prio",0.6,""))),
 IF(E629="GY",
    IF(E630="Oricle",1,
    IF(E630="Other Brands",1,
    IF(E630="Oricle Prio",0.3,""))),"")))-12</f>
        <v>68.1</v>
      </c>
      <c r="F631" s="204">
        <f>IF(F621&lt;F622,F622,F621) *
IF(F629="AM",
    IF(F630="Oricle",3.5,
    IF(F630="Other Brands",4,
    IF(F630="Oricle Prio",0.6,""))),
 IF(F629="MID",
    IF(F630="Oricle",2.5,
    IF(F630="Other Brands",3,
    IF(F630="Oricle Prio",0.6,""))),
 IF(F629="GY",
    IF(F630="Oricle",1,
    IF(F630="Other Brands",1,
    IF(F630="Oricle Prio",0.3,""))),"")))</f>
        <v>111.18</v>
      </c>
      <c r="G631" s="204">
        <f>IF(G621&lt;G622,G622,G621) *
IF(G629="AM",
    IF(G630="Oricle",3,
    IF(G630="Other Brands",4,
    IF(G630="Oricle Prio",0.6,""))),
 IF(G629="MID",
    IF(G630="Oricle",2.5,
    IF(G630="Other Brands",3,
    IF(G630="Oricle Prio",0.6,""))),
 IF(G629="GY",
    IF(G630="Oricle",1,
    IF(G630="Other Brands",1,
    IF(G630="Oricle Prio",0.3,""))),"")))</f>
        <v>121.68</v>
      </c>
      <c r="H631" s="204">
        <f t="shared" ref="H631:I631" si="241">IF(H621&lt;H622,H622,H621) *
IF(H629="AM",
    IF(H630="Oricle",3.5,
    IF(H630="Other Brands",4,
    IF(H630="Oricle Prio",0.6,""))),
 IF(H629="MID",
    IF(H630="Oricle",2.5,
    IF(H630="Other Brands",3,
    IF(H630="Oricle Prio",0.6,""))),
 IF(H629="GY",
    IF(H630="Oricle",1,
    IF(H630="Other Brands",1,
    IF(H630="Oricle Prio",0.3,""))),"")))</f>
        <v>100.1</v>
      </c>
      <c r="I631" s="204">
        <f t="shared" si="241"/>
        <v>100</v>
      </c>
    </row>
    <row r="632" hidden="1" outlineLevel="2">
      <c r="A632" s="64" t="s">
        <v>98</v>
      </c>
      <c r="B632" s="266" t="s">
        <v>815</v>
      </c>
      <c r="C632" s="77" t="s">
        <v>443</v>
      </c>
      <c r="D632" s="77" t="s">
        <v>865</v>
      </c>
      <c r="E632" s="77" t="s">
        <v>866</v>
      </c>
      <c r="F632" s="77" t="s">
        <v>814</v>
      </c>
      <c r="G632" s="77" t="s">
        <v>483</v>
      </c>
      <c r="H632" s="77" t="s">
        <v>203</v>
      </c>
      <c r="I632" s="77" t="s">
        <v>203</v>
      </c>
    </row>
    <row r="633" hidden="1" outlineLevel="2">
      <c r="A633" s="64" t="s">
        <v>107</v>
      </c>
      <c r="B633" s="266" t="s">
        <v>817</v>
      </c>
      <c r="C633" s="77" t="s">
        <v>867</v>
      </c>
      <c r="D633" s="77" t="s">
        <v>865</v>
      </c>
      <c r="E633" s="77" t="s">
        <v>868</v>
      </c>
      <c r="F633" s="77" t="s">
        <v>560</v>
      </c>
      <c r="G633" s="77" t="s">
        <v>869</v>
      </c>
      <c r="H633" s="77" t="s">
        <v>591</v>
      </c>
      <c r="I633" s="77" t="s">
        <v>591</v>
      </c>
    </row>
    <row r="634" hidden="1" outlineLevel="2">
      <c r="A634" s="69" t="s">
        <v>115</v>
      </c>
      <c r="B634" s="108">
        <f t="shared" ref="B634:I634" si="242">IF(B632&gt;0,B633/B632,0)</f>
        <v>0.962962963</v>
      </c>
      <c r="C634" s="110">
        <f t="shared" si="242"/>
        <v>0.9864864865</v>
      </c>
      <c r="D634" s="110">
        <f t="shared" si="242"/>
        <v>1</v>
      </c>
      <c r="E634" s="110">
        <f t="shared" si="242"/>
        <v>0.9649122807</v>
      </c>
      <c r="F634" s="110">
        <f t="shared" si="242"/>
        <v>0.921875</v>
      </c>
      <c r="G634" s="110">
        <f t="shared" si="242"/>
        <v>0.98125</v>
      </c>
      <c r="H634" s="110">
        <f t="shared" si="242"/>
        <v>0.9777777778</v>
      </c>
      <c r="I634" s="111">
        <f t="shared" si="242"/>
        <v>0.9777777778</v>
      </c>
    </row>
    <row r="635" hidden="1" outlineLevel="2">
      <c r="A635" s="69" t="s">
        <v>119</v>
      </c>
      <c r="B635" s="108">
        <f t="shared" ref="B635:I635" si="243">IF(B631&gt;0,B633/B631,0)</f>
        <v>0.4991361106</v>
      </c>
      <c r="C635" s="110">
        <f t="shared" si="243"/>
        <v>0.7535872819</v>
      </c>
      <c r="D635" s="110">
        <f t="shared" si="243"/>
        <v>0.5125</v>
      </c>
      <c r="E635" s="110">
        <f t="shared" si="243"/>
        <v>0.8076358297</v>
      </c>
      <c r="F635" s="110">
        <f t="shared" si="243"/>
        <v>0.530670984</v>
      </c>
      <c r="G635" s="110">
        <f t="shared" si="243"/>
        <v>1.29026956</v>
      </c>
      <c r="H635" s="110">
        <f t="shared" si="243"/>
        <v>0.8791208791</v>
      </c>
      <c r="I635" s="111">
        <f t="shared" si="243"/>
        <v>0.88</v>
      </c>
    </row>
    <row r="636" hidden="1" outlineLevel="2">
      <c r="A636" s="116" t="s">
        <v>82</v>
      </c>
      <c r="B636" s="252">
        <f t="shared" ref="B636:I636" si="244">average(B634:B635)</f>
        <v>0.7310495368</v>
      </c>
      <c r="C636" s="253">
        <f t="shared" si="244"/>
        <v>0.8700368842</v>
      </c>
      <c r="D636" s="253">
        <f t="shared" si="244"/>
        <v>0.75625</v>
      </c>
      <c r="E636" s="253">
        <f t="shared" si="244"/>
        <v>0.8862740552</v>
      </c>
      <c r="F636" s="253">
        <f t="shared" si="244"/>
        <v>0.726272992</v>
      </c>
      <c r="G636" s="253">
        <f t="shared" si="244"/>
        <v>1.13575978</v>
      </c>
      <c r="H636" s="253">
        <f t="shared" si="244"/>
        <v>0.9284493284</v>
      </c>
      <c r="I636" s="256">
        <f t="shared" si="244"/>
        <v>0.9288888889</v>
      </c>
    </row>
    <row r="637" hidden="1" outlineLevel="2">
      <c r="A637" s="32" t="s">
        <v>121</v>
      </c>
      <c r="B637" s="316"/>
      <c r="C637" s="2"/>
      <c r="D637" s="2"/>
      <c r="E637" s="2"/>
      <c r="F637" s="2"/>
      <c r="G637" s="2"/>
      <c r="H637" s="2"/>
      <c r="I637" s="3"/>
    </row>
    <row r="638" hidden="1" outlineLevel="2">
      <c r="A638" s="64" t="s">
        <v>122</v>
      </c>
      <c r="B638" s="246">
        <v>9.0</v>
      </c>
      <c r="C638" s="247">
        <v>10.0</v>
      </c>
      <c r="D638" s="247">
        <v>9.23</v>
      </c>
      <c r="E638" s="247">
        <v>9.66</v>
      </c>
      <c r="F638" s="247">
        <v>9.25</v>
      </c>
      <c r="G638" s="247">
        <v>9.61</v>
      </c>
      <c r="H638" s="247">
        <v>9.34</v>
      </c>
      <c r="I638" s="247">
        <v>9.23</v>
      </c>
    </row>
    <row r="639" hidden="1" outlineLevel="2">
      <c r="A639" s="69" t="s">
        <v>128</v>
      </c>
      <c r="B639" s="119">
        <v>10.0</v>
      </c>
      <c r="C639" s="120">
        <v>10.0</v>
      </c>
      <c r="D639" s="120">
        <v>10.0</v>
      </c>
      <c r="E639" s="120">
        <v>10.0</v>
      </c>
      <c r="F639" s="120">
        <v>10.0</v>
      </c>
      <c r="G639" s="120">
        <v>10.0</v>
      </c>
      <c r="H639" s="120">
        <v>10.0</v>
      </c>
      <c r="I639" s="121">
        <v>10.0</v>
      </c>
    </row>
    <row r="640" hidden="1" outlineLevel="2">
      <c r="A640" s="54" t="s">
        <v>130</v>
      </c>
      <c r="B640" s="252">
        <f t="shared" ref="B640:I640" si="245">IF(B638=0,0,B638/B639)</f>
        <v>0.9</v>
      </c>
      <c r="C640" s="253">
        <f t="shared" si="245"/>
        <v>1</v>
      </c>
      <c r="D640" s="253">
        <f t="shared" si="245"/>
        <v>0.923</v>
      </c>
      <c r="E640" s="253">
        <f t="shared" si="245"/>
        <v>0.966</v>
      </c>
      <c r="F640" s="253">
        <f t="shared" si="245"/>
        <v>0.925</v>
      </c>
      <c r="G640" s="253">
        <f t="shared" si="245"/>
        <v>0.961</v>
      </c>
      <c r="H640" s="253">
        <f t="shared" si="245"/>
        <v>0.934</v>
      </c>
      <c r="I640" s="256">
        <f t="shared" si="245"/>
        <v>0.923</v>
      </c>
    </row>
    <row r="641" hidden="1" outlineLevel="2">
      <c r="A641" s="32" t="s">
        <v>131</v>
      </c>
      <c r="B641" s="34"/>
      <c r="C641" s="2"/>
      <c r="D641" s="2"/>
      <c r="E641" s="2"/>
      <c r="F641" s="2"/>
      <c r="G641" s="2"/>
      <c r="H641" s="2"/>
      <c r="I641" s="36"/>
    </row>
    <row r="642" hidden="1" outlineLevel="2">
      <c r="A642" s="64" t="s">
        <v>132</v>
      </c>
      <c r="B642" s="312"/>
      <c r="C642" s="313"/>
      <c r="D642" s="332"/>
      <c r="E642" s="313"/>
      <c r="F642" s="313"/>
      <c r="G642" s="313"/>
      <c r="H642" s="313"/>
      <c r="I642" s="314"/>
    </row>
    <row r="643" hidden="1" outlineLevel="2">
      <c r="A643" s="127" t="s">
        <v>134</v>
      </c>
      <c r="B643" s="34"/>
      <c r="C643" s="2"/>
      <c r="D643" s="2"/>
      <c r="E643" s="2"/>
      <c r="F643" s="2"/>
      <c r="G643" s="2"/>
      <c r="H643" s="2"/>
      <c r="I643" s="36"/>
    </row>
    <row r="644" hidden="1" outlineLevel="2">
      <c r="A644" s="69" t="s">
        <v>136</v>
      </c>
      <c r="B644" s="129">
        <f t="shared" ref="B644:I644" si="246">B623*25</f>
        <v>25.71621622</v>
      </c>
      <c r="C644" s="130">
        <f t="shared" si="246"/>
        <v>25.2265625</v>
      </c>
      <c r="D644" s="130">
        <f t="shared" si="246"/>
        <v>25</v>
      </c>
      <c r="E644" s="130">
        <f t="shared" si="246"/>
        <v>25.03125</v>
      </c>
      <c r="F644" s="130">
        <f t="shared" si="246"/>
        <v>25.04054054</v>
      </c>
      <c r="G644" s="130">
        <f t="shared" si="246"/>
        <v>25.35</v>
      </c>
      <c r="H644" s="130">
        <f t="shared" si="246"/>
        <v>25.025</v>
      </c>
      <c r="I644" s="132">
        <f t="shared" si="246"/>
        <v>23.3375</v>
      </c>
    </row>
    <row r="645" hidden="1" outlineLevel="2">
      <c r="A645" s="69" t="s">
        <v>144</v>
      </c>
      <c r="B645" s="129">
        <f t="shared" ref="B645:I645" si="247">B627*35</f>
        <v>35</v>
      </c>
      <c r="C645" s="130">
        <f t="shared" si="247"/>
        <v>35</v>
      </c>
      <c r="D645" s="130">
        <f t="shared" si="247"/>
        <v>35</v>
      </c>
      <c r="E645" s="130">
        <f t="shared" si="247"/>
        <v>35</v>
      </c>
      <c r="F645" s="130">
        <f t="shared" si="247"/>
        <v>16.625</v>
      </c>
      <c r="G645" s="130">
        <f t="shared" si="247"/>
        <v>35</v>
      </c>
      <c r="H645" s="130">
        <f t="shared" si="247"/>
        <v>35</v>
      </c>
      <c r="I645" s="132">
        <f t="shared" si="247"/>
        <v>35</v>
      </c>
    </row>
    <row r="646" hidden="1" outlineLevel="2">
      <c r="A646" s="69" t="s">
        <v>146</v>
      </c>
      <c r="B646" s="129">
        <f t="shared" ref="B646:I646" si="248">IF(AND(B627&lt;85%, B636&gt;100%), 25, B636*25)</f>
        <v>18.27623842</v>
      </c>
      <c r="C646" s="130">
        <f t="shared" si="248"/>
        <v>21.75092211</v>
      </c>
      <c r="D646" s="130">
        <f t="shared" si="248"/>
        <v>18.90625</v>
      </c>
      <c r="E646" s="130">
        <f t="shared" si="248"/>
        <v>22.15685138</v>
      </c>
      <c r="F646" s="130">
        <f t="shared" si="248"/>
        <v>18.1568248</v>
      </c>
      <c r="G646" s="130">
        <f t="shared" si="248"/>
        <v>28.39399449</v>
      </c>
      <c r="H646" s="130">
        <f t="shared" si="248"/>
        <v>23.21123321</v>
      </c>
      <c r="I646" s="132">
        <f t="shared" si="248"/>
        <v>23.22222222</v>
      </c>
    </row>
    <row r="647" hidden="1" outlineLevel="2">
      <c r="A647" s="69" t="s">
        <v>148</v>
      </c>
      <c r="B647" s="129">
        <f t="shared" ref="B647:I647" si="249">B640*15</f>
        <v>13.5</v>
      </c>
      <c r="C647" s="130">
        <f t="shared" si="249"/>
        <v>15</v>
      </c>
      <c r="D647" s="130">
        <f t="shared" si="249"/>
        <v>13.845</v>
      </c>
      <c r="E647" s="130">
        <f t="shared" si="249"/>
        <v>14.49</v>
      </c>
      <c r="F647" s="130">
        <f t="shared" si="249"/>
        <v>13.875</v>
      </c>
      <c r="G647" s="130">
        <f t="shared" si="249"/>
        <v>14.415</v>
      </c>
      <c r="H647" s="130">
        <f t="shared" si="249"/>
        <v>14.01</v>
      </c>
      <c r="I647" s="132">
        <f t="shared" si="249"/>
        <v>13.845</v>
      </c>
    </row>
    <row r="648" hidden="1" outlineLevel="2">
      <c r="A648" s="69" t="s">
        <v>149</v>
      </c>
      <c r="B648" s="129">
        <f t="shared" ref="B648:I648" si="250">B642*-10</f>
        <v>0</v>
      </c>
      <c r="C648" s="130">
        <f t="shared" si="250"/>
        <v>0</v>
      </c>
      <c r="D648" s="130">
        <f t="shared" si="250"/>
        <v>0</v>
      </c>
      <c r="E648" s="130">
        <f t="shared" si="250"/>
        <v>0</v>
      </c>
      <c r="F648" s="130">
        <f t="shared" si="250"/>
        <v>0</v>
      </c>
      <c r="G648" s="130">
        <f t="shared" si="250"/>
        <v>0</v>
      </c>
      <c r="H648" s="130">
        <f t="shared" si="250"/>
        <v>0</v>
      </c>
      <c r="I648" s="132">
        <f t="shared" si="250"/>
        <v>0</v>
      </c>
    </row>
    <row r="649" hidden="1" outlineLevel="2">
      <c r="A649" s="142" t="s">
        <v>150</v>
      </c>
      <c r="B649" s="129">
        <f t="shared" ref="B649:I649" si="251">B644+B645+B646+B647+B648</f>
        <v>92.49245464</v>
      </c>
      <c r="C649" s="130">
        <f t="shared" si="251"/>
        <v>96.97748461</v>
      </c>
      <c r="D649" s="130">
        <f t="shared" si="251"/>
        <v>92.75125</v>
      </c>
      <c r="E649" s="130">
        <f t="shared" si="251"/>
        <v>96.67810138</v>
      </c>
      <c r="F649" s="130">
        <f t="shared" si="251"/>
        <v>73.69736534</v>
      </c>
      <c r="G649" s="130">
        <f t="shared" si="251"/>
        <v>103.1589945</v>
      </c>
      <c r="H649" s="130">
        <f t="shared" si="251"/>
        <v>97.24623321</v>
      </c>
      <c r="I649" s="132">
        <f t="shared" si="251"/>
        <v>95.40472222</v>
      </c>
    </row>
    <row r="650" hidden="1" outlineLevel="2">
      <c r="A650" s="54" t="s">
        <v>152</v>
      </c>
      <c r="B650" s="58">
        <f t="shared" ref="B650:I650" si="252">B649/100</f>
        <v>0.9249245464</v>
      </c>
      <c r="C650" s="61">
        <f t="shared" si="252"/>
        <v>0.9697748461</v>
      </c>
      <c r="D650" s="378">
        <f t="shared" si="252"/>
        <v>0.9275125</v>
      </c>
      <c r="E650" s="61">
        <f t="shared" si="252"/>
        <v>0.9667810138</v>
      </c>
      <c r="F650" s="61">
        <f t="shared" si="252"/>
        <v>0.7369736534</v>
      </c>
      <c r="G650" s="61">
        <f t="shared" si="252"/>
        <v>1.031589945</v>
      </c>
      <c r="H650" s="61">
        <f t="shared" si="252"/>
        <v>0.9724623321</v>
      </c>
      <c r="I650" s="62">
        <f t="shared" si="252"/>
        <v>0.9540472222</v>
      </c>
    </row>
    <row r="651" hidden="1" outlineLevel="2">
      <c r="A651" s="127" t="s">
        <v>154</v>
      </c>
      <c r="B651" s="349" t="s">
        <v>155</v>
      </c>
      <c r="C651" s="350" t="s">
        <v>155</v>
      </c>
      <c r="D651" s="350" t="s">
        <v>155</v>
      </c>
      <c r="E651" s="350" t="s">
        <v>155</v>
      </c>
      <c r="F651" s="350" t="s">
        <v>157</v>
      </c>
      <c r="G651" s="350" t="s">
        <v>156</v>
      </c>
      <c r="H651" s="350" t="s">
        <v>155</v>
      </c>
      <c r="I651" s="350" t="s">
        <v>155</v>
      </c>
    </row>
    <row r="652" hidden="1" outlineLevel="2">
      <c r="A652" s="127" t="s">
        <v>158</v>
      </c>
      <c r="B652" s="156"/>
      <c r="C652" s="157"/>
      <c r="D652" s="337"/>
      <c r="E652" s="157"/>
      <c r="F652" s="157"/>
      <c r="G652" s="157"/>
      <c r="H652" s="157"/>
      <c r="I652" s="352"/>
    </row>
    <row r="653" hidden="1" collapsed="1">
      <c r="A653" s="418">
        <v>46174.0</v>
      </c>
      <c r="B653" s="419"/>
      <c r="C653" s="27"/>
      <c r="D653" s="27"/>
      <c r="E653" s="27"/>
      <c r="F653" s="27"/>
      <c r="G653" s="27"/>
      <c r="H653" s="27"/>
      <c r="I653" s="27"/>
    </row>
    <row r="654" hidden="1" outlineLevel="1" collapsed="1">
      <c r="A654" s="12"/>
      <c r="B654" s="13" t="s">
        <v>890</v>
      </c>
      <c r="C654" s="14"/>
      <c r="D654" s="14"/>
      <c r="E654" s="14"/>
      <c r="F654" s="14"/>
      <c r="G654" s="14"/>
      <c r="H654" s="14"/>
      <c r="I654" s="15"/>
    </row>
    <row r="655" hidden="1" outlineLevel="2">
      <c r="A655" s="164"/>
      <c r="B655" s="302" t="s">
        <v>29</v>
      </c>
      <c r="C655" s="303" t="s">
        <v>4</v>
      </c>
      <c r="D655" s="303" t="s">
        <v>19</v>
      </c>
      <c r="E655" s="303" t="s">
        <v>30</v>
      </c>
      <c r="F655" s="303" t="s">
        <v>31</v>
      </c>
      <c r="G655" s="304" t="s">
        <v>32</v>
      </c>
      <c r="H655" s="305" t="s">
        <v>13</v>
      </c>
      <c r="I655" s="305" t="s">
        <v>350</v>
      </c>
    </row>
    <row r="656" hidden="1" outlineLevel="2">
      <c r="A656" s="25" t="s">
        <v>36</v>
      </c>
      <c r="B656" s="243" t="s">
        <v>890</v>
      </c>
      <c r="C656" s="244"/>
      <c r="D656" s="244"/>
      <c r="E656" s="244"/>
      <c r="F656" s="244"/>
      <c r="G656" s="244"/>
      <c r="H656" s="244"/>
      <c r="I656" s="245"/>
    </row>
    <row r="657" hidden="1" outlineLevel="2">
      <c r="A657" s="32" t="s">
        <v>45</v>
      </c>
      <c r="B657" s="34"/>
      <c r="C657" s="2"/>
      <c r="D657" s="2"/>
      <c r="E657" s="2"/>
      <c r="F657" s="2"/>
      <c r="G657" s="2"/>
      <c r="H657" s="2"/>
      <c r="I657" s="36"/>
    </row>
    <row r="658" hidden="1" outlineLevel="2">
      <c r="A658" s="38" t="s">
        <v>49</v>
      </c>
      <c r="B658" s="246">
        <v>40.0</v>
      </c>
      <c r="C658" s="247">
        <v>38.25</v>
      </c>
      <c r="D658" s="380">
        <v>40.58</v>
      </c>
      <c r="E658" s="247">
        <v>40.0</v>
      </c>
      <c r="F658" s="247">
        <v>40.0</v>
      </c>
      <c r="G658" s="247">
        <v>41.06</v>
      </c>
      <c r="H658" s="247">
        <v>40.04</v>
      </c>
      <c r="I658" s="345">
        <v>37.28</v>
      </c>
    </row>
    <row r="659" hidden="1" outlineLevel="2">
      <c r="A659" s="49" t="s">
        <v>53</v>
      </c>
      <c r="B659" s="250">
        <v>37.0</v>
      </c>
      <c r="C659" s="250">
        <v>38.0</v>
      </c>
      <c r="D659" s="51">
        <v>40.0</v>
      </c>
      <c r="E659" s="250">
        <v>37.0</v>
      </c>
      <c r="F659" s="250">
        <v>37.0</v>
      </c>
      <c r="G659" s="250">
        <v>40.0</v>
      </c>
      <c r="H659" s="250">
        <v>40.0</v>
      </c>
      <c r="I659" s="346">
        <v>40.0</v>
      </c>
    </row>
    <row r="660" hidden="1" outlineLevel="2">
      <c r="A660" s="54" t="s">
        <v>57</v>
      </c>
      <c r="B660" s="252">
        <f t="shared" ref="B660:I660" si="253">B658/B659</f>
        <v>1.081081081</v>
      </c>
      <c r="C660" s="253">
        <f t="shared" si="253"/>
        <v>1.006578947</v>
      </c>
      <c r="D660" s="253">
        <f t="shared" si="253"/>
        <v>1.0145</v>
      </c>
      <c r="E660" s="253">
        <f t="shared" si="253"/>
        <v>1.081081081</v>
      </c>
      <c r="F660" s="253">
        <f t="shared" si="253"/>
        <v>1.081081081</v>
      </c>
      <c r="G660" s="253">
        <f t="shared" si="253"/>
        <v>1.0265</v>
      </c>
      <c r="H660" s="253">
        <f t="shared" si="253"/>
        <v>1.001</v>
      </c>
      <c r="I660" s="256">
        <f t="shared" si="253"/>
        <v>0.932</v>
      </c>
    </row>
    <row r="661" hidden="1" outlineLevel="2">
      <c r="A661" s="32" t="s">
        <v>66</v>
      </c>
      <c r="B661" s="34"/>
      <c r="C661" s="2"/>
      <c r="D661" s="2"/>
      <c r="E661" s="2"/>
      <c r="F661" s="2"/>
      <c r="G661" s="2"/>
      <c r="H661" s="2"/>
      <c r="I661" s="36"/>
    </row>
    <row r="662" hidden="1" outlineLevel="2">
      <c r="A662" s="64" t="s">
        <v>67</v>
      </c>
      <c r="B662" s="246">
        <v>40.0</v>
      </c>
      <c r="C662" s="247">
        <v>28.0</v>
      </c>
      <c r="D662" s="247">
        <v>40.0</v>
      </c>
      <c r="E662" s="247">
        <v>40.0</v>
      </c>
      <c r="F662" s="247">
        <v>40.0</v>
      </c>
      <c r="G662" s="247">
        <v>10.0</v>
      </c>
      <c r="H662" s="247">
        <v>40.0</v>
      </c>
      <c r="I662" s="248">
        <v>40.0</v>
      </c>
    </row>
    <row r="663" hidden="1" outlineLevel="2">
      <c r="A663" s="69" t="s">
        <v>72</v>
      </c>
      <c r="B663" s="186">
        <v>40.0</v>
      </c>
      <c r="C663" s="187">
        <v>40.0</v>
      </c>
      <c r="D663" s="187">
        <v>40.0</v>
      </c>
      <c r="E663" s="187">
        <v>40.0</v>
      </c>
      <c r="F663" s="187">
        <v>40.0</v>
      </c>
      <c r="G663" s="187">
        <v>40.0</v>
      </c>
      <c r="H663" s="187">
        <v>40.0</v>
      </c>
      <c r="I663" s="188">
        <v>40.0</v>
      </c>
    </row>
    <row r="664" hidden="1" outlineLevel="2">
      <c r="A664" s="54" t="s">
        <v>74</v>
      </c>
      <c r="B664" s="252">
        <f t="shared" ref="B664:I664" si="254">B662/B663</f>
        <v>1</v>
      </c>
      <c r="C664" s="253">
        <f t="shared" si="254"/>
        <v>0.7</v>
      </c>
      <c r="D664" s="253">
        <f t="shared" si="254"/>
        <v>1</v>
      </c>
      <c r="E664" s="253">
        <f t="shared" si="254"/>
        <v>1</v>
      </c>
      <c r="F664" s="253">
        <f t="shared" si="254"/>
        <v>1</v>
      </c>
      <c r="G664" s="253">
        <f t="shared" si="254"/>
        <v>0.25</v>
      </c>
      <c r="H664" s="253">
        <f t="shared" si="254"/>
        <v>1</v>
      </c>
      <c r="I664" s="256">
        <f t="shared" si="254"/>
        <v>1</v>
      </c>
    </row>
    <row r="665" hidden="1" outlineLevel="2">
      <c r="A665" s="32" t="s">
        <v>75</v>
      </c>
      <c r="B665" s="34"/>
      <c r="C665" s="2"/>
      <c r="D665" s="2"/>
      <c r="E665" s="2"/>
      <c r="F665" s="2"/>
      <c r="G665" s="2"/>
      <c r="H665" s="2"/>
      <c r="I665" s="36"/>
    </row>
    <row r="666" hidden="1" outlineLevel="2">
      <c r="A666" s="64" t="s">
        <v>76</v>
      </c>
      <c r="B666" s="185" t="s">
        <v>79</v>
      </c>
      <c r="C666" s="77" t="s">
        <v>80</v>
      </c>
      <c r="D666" s="77" t="s">
        <v>79</v>
      </c>
      <c r="E666" s="78" t="s">
        <v>79</v>
      </c>
      <c r="F666" s="78" t="s">
        <v>79</v>
      </c>
      <c r="G666" s="77" t="s">
        <v>80</v>
      </c>
      <c r="H666" s="78" t="s">
        <v>79</v>
      </c>
      <c r="I666" s="79" t="s">
        <v>79</v>
      </c>
    </row>
    <row r="667" hidden="1" outlineLevel="2">
      <c r="A667" s="64" t="s">
        <v>81</v>
      </c>
      <c r="B667" s="185" t="s">
        <v>83</v>
      </c>
      <c r="C667" s="78" t="s">
        <v>85</v>
      </c>
      <c r="D667" s="78" t="s">
        <v>83</v>
      </c>
      <c r="E667" s="78" t="s">
        <v>85</v>
      </c>
      <c r="F667" s="78" t="s">
        <v>83</v>
      </c>
      <c r="G667" s="78" t="s">
        <v>85</v>
      </c>
      <c r="H667" s="78" t="s">
        <v>85</v>
      </c>
      <c r="I667" s="79" t="s">
        <v>85</v>
      </c>
    </row>
    <row r="668" hidden="1" outlineLevel="2">
      <c r="A668" s="64" t="s">
        <v>86</v>
      </c>
      <c r="B668" s="194">
        <f>IF(B658&lt;B659,B659,B658) *
IF(B666="AM",
    IF(B667="Oricle",3.5,
    IF(B667="Other Brands",4,
    IF(B667="Oricle Prio",0.6,""))),
 IF(B666="MID",
    IF(B667="Oricle",2.5,
    IF(B667="Other Brands",3,
    IF(B667="Oricle Prio",0.6,""))),
 IF(B666="GY",
    IF(B667="Oricle",1,
    IF(B667="Other Brands",1,
    IF(B667="Oricle Prio",0.3,""))),"")))-10</f>
        <v>110</v>
      </c>
      <c r="C668" s="204">
        <f>IF(C658&lt;C659,C659,C658) *
IF(C666="AM",
    IF(C667="Oricle",3,
    IF(C667="Other Brands",4,
    IF(C667="Oricle Prio",0.6,""))),
 IF(C666="MID",
    IF(C667="Oricle",2.5,
    IF(C667="Other Brands",3,
    IF(C667="Oricle Prio",0.6,""))),
 IF(C666="GY",
    IF(C667="Oricle",1,
    IF(C667="Other Brands",1,
    IF(C667="Oricle Prio",0.3,""))),"")))</f>
        <v>114.75</v>
      </c>
      <c r="D668" s="204">
        <f>IF(D658&lt;D659,D659,D658) *
IF(D666="AM",
    IF(D667="Oricle",3.5,
    IF(D667="Other Brands",4,
    IF(D667="Oricle Prio",0.6,""))),
 IF(D666="MID",
    IF(D667="Oricle",2.5,
    IF(D667="Other Brands",3,
    IF(D667="Oricle Prio",0.6,""))),
 IF(D666="GY",
    IF(D667="Oricle",1,
    IF(D667="Other Brands",1,
    IF(D667="Oricle Prio",0.3,""))),"")))</f>
        <v>121.74</v>
      </c>
      <c r="E668" s="204">
        <f>IF(E658&lt;E659,E659,E658) *
IF(E666="AM",
    IF(E667="Oricle",3.5,
    IF(E667="Other Brands",4,
    IF(E667="Oricle Prio",0.6,""))),
 IF(E666="MID",
    IF(E667="Oricle",2.5,
    IF(E667="Other Brands",3,
    IF(E667="Oricle Prio",0.6,""))),
 IF(E666="GY",
    IF(E667="Oricle",1,
    IF(E667="Other Brands",1,
    IF(E667="Oricle Prio",0.3,""))),"")))-12</f>
        <v>88</v>
      </c>
      <c r="F668" s="204">
        <f>IF(F658&lt;F659,F659,F658) *
IF(F666="AM",
    IF(F667="Oricle",3.5,
    IF(F667="Other Brands",4,
    IF(F667="Oricle Prio",0.6,""))),
 IF(F666="MID",
    IF(F667="Oricle",2.5,
    IF(F667="Other Brands",3,
    IF(F667="Oricle Prio",0.6,""))),
 IF(F666="GY",
    IF(F667="Oricle",1,
    IF(F667="Other Brands",1,
    IF(F667="Oricle Prio",0.3,""))),"")))</f>
        <v>120</v>
      </c>
      <c r="G668" s="204">
        <f t="shared" ref="G668:H668" si="255">IF(G658&lt;G659,G659,G658) *
IF(G666="AM",
    IF(G667="Oricle",3,
    IF(G667="Other Brands",4,
    IF(G667="Oricle Prio",0.6,""))),
 IF(G666="MID",
    IF(G667="Oricle",2.5,
    IF(G667="Other Brands",3,
    IF(G667="Oricle Prio",0.6,""))),
 IF(G666="GY",
    IF(G667="Oricle",1,
    IF(G667="Other Brands",1,
    IF(G667="Oricle Prio",0.3,""))),"")))</f>
        <v>123.18</v>
      </c>
      <c r="H668" s="204">
        <f t="shared" si="255"/>
        <v>100.1</v>
      </c>
      <c r="I668" s="204">
        <f>IF(I658&lt;I659,I659,I658) *
IF(I666="AM",
    IF(I667="Oricle",3.5,
    IF(I667="Other Brands",4,
    IF(I667="Oricle Prio",0.6,""))),
 IF(I666="MID",
    IF(I667="Oricle",2.5,
    IF(I667="Other Brands",3,
    IF(I667="Oricle Prio",0.6,""))),
 IF(I666="GY",
    IF(I667="Oricle",1,
    IF(I667="Other Brands",1,
    IF(I667="Oricle Prio",0.3,""))),"")))</f>
        <v>100</v>
      </c>
    </row>
    <row r="669" hidden="1" outlineLevel="2">
      <c r="A669" s="64" t="s">
        <v>98</v>
      </c>
      <c r="B669" s="266" t="s">
        <v>558</v>
      </c>
      <c r="C669" s="77" t="s">
        <v>445</v>
      </c>
      <c r="D669" s="77" t="s">
        <v>688</v>
      </c>
      <c r="E669" s="77" t="s">
        <v>814</v>
      </c>
      <c r="F669" s="77" t="s">
        <v>773</v>
      </c>
      <c r="G669" s="77" t="s">
        <v>103</v>
      </c>
      <c r="H669" s="77" t="s">
        <v>591</v>
      </c>
      <c r="I669" s="77" t="s">
        <v>913</v>
      </c>
    </row>
    <row r="670" hidden="1" outlineLevel="2">
      <c r="A670" s="64" t="s">
        <v>107</v>
      </c>
      <c r="B670" s="266" t="s">
        <v>814</v>
      </c>
      <c r="C670" s="77" t="s">
        <v>301</v>
      </c>
      <c r="D670" s="77" t="s">
        <v>688</v>
      </c>
      <c r="E670" s="77" t="s">
        <v>557</v>
      </c>
      <c r="F670" s="77" t="s">
        <v>558</v>
      </c>
      <c r="G670" s="77" t="s">
        <v>915</v>
      </c>
      <c r="H670" s="77" t="s">
        <v>448</v>
      </c>
      <c r="I670" s="77" t="s">
        <v>913</v>
      </c>
    </row>
    <row r="671" hidden="1" outlineLevel="2">
      <c r="A671" s="69" t="s">
        <v>115</v>
      </c>
      <c r="B671" s="108">
        <f t="shared" ref="B671:I671" si="256">IF(B669&gt;0,B670/B669,0)</f>
        <v>0.9411764706</v>
      </c>
      <c r="C671" s="110">
        <f t="shared" si="256"/>
        <v>0.9724770642</v>
      </c>
      <c r="D671" s="110">
        <f t="shared" si="256"/>
        <v>1</v>
      </c>
      <c r="E671" s="110">
        <f t="shared" si="256"/>
        <v>0.9375</v>
      </c>
      <c r="F671" s="110">
        <f t="shared" si="256"/>
        <v>0.9577464789</v>
      </c>
      <c r="G671" s="110">
        <f t="shared" si="256"/>
        <v>0.9941520468</v>
      </c>
      <c r="H671" s="110">
        <f t="shared" si="256"/>
        <v>0.9772727273</v>
      </c>
      <c r="I671" s="111">
        <f t="shared" si="256"/>
        <v>1</v>
      </c>
    </row>
    <row r="672" hidden="1" outlineLevel="2">
      <c r="A672" s="69" t="s">
        <v>119</v>
      </c>
      <c r="B672" s="108">
        <f t="shared" ref="B672:I672" si="257">IF(B668&gt;0,B670/B668,0)</f>
        <v>0.5818181818</v>
      </c>
      <c r="C672" s="110">
        <f t="shared" si="257"/>
        <v>0.9237472767</v>
      </c>
      <c r="D672" s="110">
        <f t="shared" si="257"/>
        <v>0.7474946608</v>
      </c>
      <c r="E672" s="110">
        <f t="shared" si="257"/>
        <v>0.6818181818</v>
      </c>
      <c r="F672" s="110">
        <f t="shared" si="257"/>
        <v>0.5666666667</v>
      </c>
      <c r="G672" s="110">
        <f t="shared" si="257"/>
        <v>1.380094171</v>
      </c>
      <c r="H672" s="110">
        <f t="shared" si="257"/>
        <v>0.8591408591</v>
      </c>
      <c r="I672" s="111">
        <f t="shared" si="257"/>
        <v>0.84</v>
      </c>
    </row>
    <row r="673" hidden="1" outlineLevel="2">
      <c r="A673" s="116" t="s">
        <v>82</v>
      </c>
      <c r="B673" s="252">
        <f t="shared" ref="B673:I673" si="258">average(B671:B672)</f>
        <v>0.7614973262</v>
      </c>
      <c r="C673" s="253">
        <f t="shared" si="258"/>
        <v>0.9481121705</v>
      </c>
      <c r="D673" s="253">
        <f t="shared" si="258"/>
        <v>0.8737473304</v>
      </c>
      <c r="E673" s="253">
        <f t="shared" si="258"/>
        <v>0.8096590909</v>
      </c>
      <c r="F673" s="253">
        <f t="shared" si="258"/>
        <v>0.7622065728</v>
      </c>
      <c r="G673" s="253">
        <f t="shared" si="258"/>
        <v>1.187123109</v>
      </c>
      <c r="H673" s="253">
        <f t="shared" si="258"/>
        <v>0.9182067932</v>
      </c>
      <c r="I673" s="256">
        <f t="shared" si="258"/>
        <v>0.92</v>
      </c>
    </row>
    <row r="674" hidden="1" outlineLevel="2">
      <c r="A674" s="32" t="s">
        <v>121</v>
      </c>
      <c r="B674" s="316"/>
      <c r="C674" s="2"/>
      <c r="D674" s="2"/>
      <c r="E674" s="2"/>
      <c r="F674" s="2"/>
      <c r="G674" s="2"/>
      <c r="H674" s="2"/>
      <c r="I674" s="3"/>
    </row>
    <row r="675" hidden="1" outlineLevel="2">
      <c r="A675" s="64" t="s">
        <v>122</v>
      </c>
      <c r="B675" s="246">
        <v>9.33</v>
      </c>
      <c r="C675" s="247">
        <v>8.06</v>
      </c>
      <c r="D675" s="247">
        <v>9.12</v>
      </c>
      <c r="E675" s="247">
        <v>9.62</v>
      </c>
      <c r="F675" s="247">
        <v>9.33</v>
      </c>
      <c r="G675" s="247">
        <v>9.42</v>
      </c>
      <c r="H675" s="247">
        <v>9.66</v>
      </c>
      <c r="I675" s="247">
        <v>9.72</v>
      </c>
    </row>
    <row r="676" hidden="1" outlineLevel="2">
      <c r="A676" s="69" t="s">
        <v>128</v>
      </c>
      <c r="B676" s="119">
        <v>10.0</v>
      </c>
      <c r="C676" s="120">
        <v>10.0</v>
      </c>
      <c r="D676" s="120">
        <v>10.0</v>
      </c>
      <c r="E676" s="120">
        <v>10.0</v>
      </c>
      <c r="F676" s="120">
        <v>10.0</v>
      </c>
      <c r="G676" s="120">
        <v>10.0</v>
      </c>
      <c r="H676" s="120">
        <v>10.0</v>
      </c>
      <c r="I676" s="121">
        <v>10.0</v>
      </c>
    </row>
    <row r="677" hidden="1" outlineLevel="2">
      <c r="A677" s="54" t="s">
        <v>130</v>
      </c>
      <c r="B677" s="252">
        <f t="shared" ref="B677:I677" si="259">IF(B675=0,0,B675/B676)</f>
        <v>0.933</v>
      </c>
      <c r="C677" s="253">
        <f t="shared" si="259"/>
        <v>0.806</v>
      </c>
      <c r="D677" s="253">
        <f t="shared" si="259"/>
        <v>0.912</v>
      </c>
      <c r="E677" s="253">
        <f t="shared" si="259"/>
        <v>0.962</v>
      </c>
      <c r="F677" s="253">
        <f t="shared" si="259"/>
        <v>0.933</v>
      </c>
      <c r="G677" s="253">
        <f t="shared" si="259"/>
        <v>0.942</v>
      </c>
      <c r="H677" s="253">
        <f t="shared" si="259"/>
        <v>0.966</v>
      </c>
      <c r="I677" s="256">
        <f t="shared" si="259"/>
        <v>0.972</v>
      </c>
    </row>
    <row r="678" hidden="1" outlineLevel="2">
      <c r="A678" s="32" t="s">
        <v>131</v>
      </c>
      <c r="B678" s="34"/>
      <c r="C678" s="2"/>
      <c r="D678" s="2"/>
      <c r="E678" s="2"/>
      <c r="F678" s="2"/>
      <c r="G678" s="2"/>
      <c r="H678" s="2"/>
      <c r="I678" s="36"/>
    </row>
    <row r="679" hidden="1" outlineLevel="2">
      <c r="A679" s="64" t="s">
        <v>132</v>
      </c>
      <c r="B679" s="312"/>
      <c r="C679" s="313"/>
      <c r="D679" s="332"/>
      <c r="E679" s="313"/>
      <c r="F679" s="313"/>
      <c r="G679" s="313"/>
      <c r="H679" s="313"/>
      <c r="I679" s="314"/>
    </row>
    <row r="680" hidden="1" outlineLevel="2">
      <c r="A680" s="127" t="s">
        <v>134</v>
      </c>
      <c r="B680" s="34"/>
      <c r="C680" s="2"/>
      <c r="D680" s="2"/>
      <c r="E680" s="2"/>
      <c r="F680" s="2"/>
      <c r="G680" s="2"/>
      <c r="H680" s="2"/>
      <c r="I680" s="36"/>
    </row>
    <row r="681" hidden="1" outlineLevel="2">
      <c r="A681" s="69" t="s">
        <v>136</v>
      </c>
      <c r="B681" s="129">
        <f t="shared" ref="B681:I681" si="260">B660*25</f>
        <v>27.02702703</v>
      </c>
      <c r="C681" s="130">
        <f t="shared" si="260"/>
        <v>25.16447368</v>
      </c>
      <c r="D681" s="130">
        <f t="shared" si="260"/>
        <v>25.3625</v>
      </c>
      <c r="E681" s="130">
        <f t="shared" si="260"/>
        <v>27.02702703</v>
      </c>
      <c r="F681" s="130">
        <f t="shared" si="260"/>
        <v>27.02702703</v>
      </c>
      <c r="G681" s="130">
        <f t="shared" si="260"/>
        <v>25.6625</v>
      </c>
      <c r="H681" s="130">
        <f t="shared" si="260"/>
        <v>25.025</v>
      </c>
      <c r="I681" s="132">
        <f t="shared" si="260"/>
        <v>23.3</v>
      </c>
    </row>
    <row r="682" hidden="1" outlineLevel="2">
      <c r="A682" s="69" t="s">
        <v>144</v>
      </c>
      <c r="B682" s="129">
        <f t="shared" ref="B682:I682" si="261">B664*35</f>
        <v>35</v>
      </c>
      <c r="C682" s="130">
        <f t="shared" si="261"/>
        <v>24.5</v>
      </c>
      <c r="D682" s="130">
        <f t="shared" si="261"/>
        <v>35</v>
      </c>
      <c r="E682" s="130">
        <f t="shared" si="261"/>
        <v>35</v>
      </c>
      <c r="F682" s="130">
        <f t="shared" si="261"/>
        <v>35</v>
      </c>
      <c r="G682" s="130">
        <f t="shared" si="261"/>
        <v>8.75</v>
      </c>
      <c r="H682" s="130">
        <f t="shared" si="261"/>
        <v>35</v>
      </c>
      <c r="I682" s="132">
        <f t="shared" si="261"/>
        <v>35</v>
      </c>
    </row>
    <row r="683" hidden="1" outlineLevel="2">
      <c r="A683" s="69" t="s">
        <v>146</v>
      </c>
      <c r="B683" s="129">
        <f t="shared" ref="B683:I683" si="262">IF(AND(B664&lt;85%, B673&gt;100%), 25, B673*25)</f>
        <v>19.03743316</v>
      </c>
      <c r="C683" s="130">
        <f t="shared" si="262"/>
        <v>23.70280426</v>
      </c>
      <c r="D683" s="130">
        <f t="shared" si="262"/>
        <v>21.84368326</v>
      </c>
      <c r="E683" s="130">
        <f t="shared" si="262"/>
        <v>20.24147727</v>
      </c>
      <c r="F683" s="130">
        <f t="shared" si="262"/>
        <v>19.05516432</v>
      </c>
      <c r="G683" s="130">
        <f t="shared" si="262"/>
        <v>25</v>
      </c>
      <c r="H683" s="130">
        <f t="shared" si="262"/>
        <v>22.95516983</v>
      </c>
      <c r="I683" s="132">
        <f t="shared" si="262"/>
        <v>23</v>
      </c>
    </row>
    <row r="684" hidden="1" outlineLevel="2">
      <c r="A684" s="69" t="s">
        <v>148</v>
      </c>
      <c r="B684" s="129">
        <f t="shared" ref="B684:I684" si="263">B677*15</f>
        <v>13.995</v>
      </c>
      <c r="C684" s="130">
        <f t="shared" si="263"/>
        <v>12.09</v>
      </c>
      <c r="D684" s="130">
        <f t="shared" si="263"/>
        <v>13.68</v>
      </c>
      <c r="E684" s="130">
        <f t="shared" si="263"/>
        <v>14.43</v>
      </c>
      <c r="F684" s="130">
        <f t="shared" si="263"/>
        <v>13.995</v>
      </c>
      <c r="G684" s="130">
        <f t="shared" si="263"/>
        <v>14.13</v>
      </c>
      <c r="H684" s="130">
        <f t="shared" si="263"/>
        <v>14.49</v>
      </c>
      <c r="I684" s="132">
        <f t="shared" si="263"/>
        <v>14.58</v>
      </c>
    </row>
    <row r="685" hidden="1" outlineLevel="2">
      <c r="A685" s="69" t="s">
        <v>149</v>
      </c>
      <c r="B685" s="129">
        <f t="shared" ref="B685:I685" si="264">B679*-10</f>
        <v>0</v>
      </c>
      <c r="C685" s="130">
        <f t="shared" si="264"/>
        <v>0</v>
      </c>
      <c r="D685" s="130">
        <f t="shared" si="264"/>
        <v>0</v>
      </c>
      <c r="E685" s="130">
        <f t="shared" si="264"/>
        <v>0</v>
      </c>
      <c r="F685" s="130">
        <f t="shared" si="264"/>
        <v>0</v>
      </c>
      <c r="G685" s="130">
        <f t="shared" si="264"/>
        <v>0</v>
      </c>
      <c r="H685" s="130">
        <f t="shared" si="264"/>
        <v>0</v>
      </c>
      <c r="I685" s="132">
        <f t="shared" si="264"/>
        <v>0</v>
      </c>
    </row>
    <row r="686" hidden="1" outlineLevel="2">
      <c r="A686" s="142" t="s">
        <v>150</v>
      </c>
      <c r="B686" s="129">
        <f t="shared" ref="B686:I686" si="265">B681+B682+B683+B684+B685</f>
        <v>95.05946018</v>
      </c>
      <c r="C686" s="130">
        <f t="shared" si="265"/>
        <v>85.45727795</v>
      </c>
      <c r="D686" s="130">
        <f t="shared" si="265"/>
        <v>95.88618326</v>
      </c>
      <c r="E686" s="130">
        <f t="shared" si="265"/>
        <v>96.6985043</v>
      </c>
      <c r="F686" s="130">
        <f t="shared" si="265"/>
        <v>95.07719135</v>
      </c>
      <c r="G686" s="130">
        <f t="shared" si="265"/>
        <v>73.5425</v>
      </c>
      <c r="H686" s="130">
        <f t="shared" si="265"/>
        <v>97.47016983</v>
      </c>
      <c r="I686" s="132">
        <f t="shared" si="265"/>
        <v>95.88</v>
      </c>
    </row>
    <row r="687" hidden="1" outlineLevel="2">
      <c r="A687" s="54" t="s">
        <v>152</v>
      </c>
      <c r="B687" s="58">
        <f t="shared" ref="B687:I687" si="266">B686/100</f>
        <v>0.9505946018</v>
      </c>
      <c r="C687" s="61">
        <f t="shared" si="266"/>
        <v>0.8545727795</v>
      </c>
      <c r="D687" s="378">
        <f t="shared" si="266"/>
        <v>0.9588618326</v>
      </c>
      <c r="E687" s="61">
        <f t="shared" si="266"/>
        <v>0.966985043</v>
      </c>
      <c r="F687" s="61">
        <f t="shared" si="266"/>
        <v>0.9507719135</v>
      </c>
      <c r="G687" s="61">
        <f t="shared" si="266"/>
        <v>0.735425</v>
      </c>
      <c r="H687" s="61">
        <f t="shared" si="266"/>
        <v>0.9747016983</v>
      </c>
      <c r="I687" s="62">
        <f t="shared" si="266"/>
        <v>0.9588</v>
      </c>
    </row>
    <row r="688" hidden="1" outlineLevel="2">
      <c r="A688" s="127" t="s">
        <v>154</v>
      </c>
      <c r="B688" s="349" t="s">
        <v>155</v>
      </c>
      <c r="C688" s="350" t="s">
        <v>155</v>
      </c>
      <c r="D688" s="350" t="s">
        <v>155</v>
      </c>
      <c r="E688" s="350" t="s">
        <v>155</v>
      </c>
      <c r="F688" s="350" t="s">
        <v>155</v>
      </c>
      <c r="G688" s="350" t="s">
        <v>157</v>
      </c>
      <c r="H688" s="350" t="s">
        <v>156</v>
      </c>
      <c r="I688" s="350" t="s">
        <v>155</v>
      </c>
    </row>
    <row r="689" hidden="1" outlineLevel="2">
      <c r="A689" s="127" t="s">
        <v>158</v>
      </c>
      <c r="B689" s="156"/>
      <c r="C689" s="157"/>
      <c r="D689" s="337"/>
      <c r="E689" s="157"/>
      <c r="F689" s="157"/>
      <c r="G689" s="157"/>
      <c r="H689" s="157"/>
      <c r="I689" s="352"/>
    </row>
    <row r="690" hidden="1" outlineLevel="1" collapsed="1">
      <c r="A690" s="12"/>
      <c r="B690" s="13" t="s">
        <v>929</v>
      </c>
      <c r="C690" s="14"/>
      <c r="D690" s="14"/>
      <c r="E690" s="14"/>
      <c r="F690" s="14"/>
      <c r="G690" s="14"/>
      <c r="H690" s="14"/>
      <c r="I690" s="15"/>
    </row>
    <row r="691" hidden="1" outlineLevel="2">
      <c r="A691" s="164"/>
      <c r="B691" s="302" t="s">
        <v>29</v>
      </c>
      <c r="C691" s="303" t="s">
        <v>4</v>
      </c>
      <c r="D691" s="303" t="s">
        <v>19</v>
      </c>
      <c r="E691" s="303" t="s">
        <v>30</v>
      </c>
      <c r="F691" s="303" t="s">
        <v>31</v>
      </c>
      <c r="G691" s="304" t="s">
        <v>32</v>
      </c>
      <c r="H691" s="305" t="s">
        <v>13</v>
      </c>
      <c r="I691" s="305" t="s">
        <v>350</v>
      </c>
    </row>
    <row r="692" hidden="1" outlineLevel="2">
      <c r="A692" s="25" t="s">
        <v>36</v>
      </c>
      <c r="B692" s="243" t="s">
        <v>929</v>
      </c>
      <c r="C692" s="244"/>
      <c r="D692" s="244"/>
      <c r="E692" s="244"/>
      <c r="F692" s="244"/>
      <c r="G692" s="244"/>
      <c r="H692" s="244"/>
      <c r="I692" s="245"/>
    </row>
    <row r="693" hidden="1" outlineLevel="2">
      <c r="A693" s="32" t="s">
        <v>45</v>
      </c>
      <c r="B693" s="34"/>
      <c r="C693" s="2"/>
      <c r="D693" s="2"/>
      <c r="E693" s="2"/>
      <c r="F693" s="2"/>
      <c r="G693" s="2"/>
      <c r="H693" s="2"/>
      <c r="I693" s="36"/>
    </row>
    <row r="694" hidden="1" outlineLevel="2">
      <c r="A694" s="38" t="s">
        <v>49</v>
      </c>
      <c r="B694" s="246">
        <v>39.59</v>
      </c>
      <c r="C694" s="247">
        <v>40.43</v>
      </c>
      <c r="D694" s="247">
        <v>40.43</v>
      </c>
      <c r="E694" s="247">
        <v>40.04</v>
      </c>
      <c r="F694" s="247">
        <v>40.05</v>
      </c>
      <c r="G694" s="247">
        <v>40.59</v>
      </c>
      <c r="H694" s="247">
        <v>39.38</v>
      </c>
      <c r="I694" s="345">
        <v>40.01</v>
      </c>
    </row>
    <row r="695" hidden="1" outlineLevel="2">
      <c r="A695" s="49" t="s">
        <v>53</v>
      </c>
      <c r="B695" s="250">
        <v>37.0</v>
      </c>
      <c r="C695" s="250">
        <v>38.0</v>
      </c>
      <c r="D695" s="51">
        <v>40.0</v>
      </c>
      <c r="E695" s="250">
        <v>37.0</v>
      </c>
      <c r="F695" s="250">
        <v>37.0</v>
      </c>
      <c r="G695" s="250">
        <v>40.0</v>
      </c>
      <c r="H695" s="250">
        <v>40.0</v>
      </c>
      <c r="I695" s="346">
        <v>40.0</v>
      </c>
    </row>
    <row r="696" hidden="1" outlineLevel="2">
      <c r="A696" s="54" t="s">
        <v>57</v>
      </c>
      <c r="B696" s="252">
        <f t="shared" ref="B696:I696" si="267">B694/B695</f>
        <v>1.07</v>
      </c>
      <c r="C696" s="253">
        <f t="shared" si="267"/>
        <v>1.063947368</v>
      </c>
      <c r="D696" s="253">
        <f t="shared" si="267"/>
        <v>1.01075</v>
      </c>
      <c r="E696" s="253">
        <f t="shared" si="267"/>
        <v>1.082162162</v>
      </c>
      <c r="F696" s="253">
        <f t="shared" si="267"/>
        <v>1.082432432</v>
      </c>
      <c r="G696" s="253">
        <f t="shared" si="267"/>
        <v>1.01475</v>
      </c>
      <c r="H696" s="253">
        <f t="shared" si="267"/>
        <v>0.9845</v>
      </c>
      <c r="I696" s="256">
        <f t="shared" si="267"/>
        <v>1.00025</v>
      </c>
    </row>
    <row r="697" hidden="1" outlineLevel="2">
      <c r="A697" s="32" t="s">
        <v>66</v>
      </c>
      <c r="B697" s="34"/>
      <c r="C697" s="2"/>
      <c r="D697" s="2"/>
      <c r="E697" s="2"/>
      <c r="F697" s="2"/>
      <c r="G697" s="2"/>
      <c r="H697" s="2"/>
      <c r="I697" s="36"/>
    </row>
    <row r="698" hidden="1" outlineLevel="2">
      <c r="A698" s="64" t="s">
        <v>67</v>
      </c>
      <c r="B698" s="246">
        <v>40.0</v>
      </c>
      <c r="C698" s="247">
        <v>28.0</v>
      </c>
      <c r="D698" s="247">
        <v>37.0</v>
      </c>
      <c r="E698" s="247">
        <v>40.0</v>
      </c>
      <c r="F698" s="247">
        <v>40.0</v>
      </c>
      <c r="G698" s="247">
        <v>40.0</v>
      </c>
      <c r="H698" s="247">
        <v>40.0</v>
      </c>
      <c r="I698" s="248">
        <v>40.0</v>
      </c>
    </row>
    <row r="699" hidden="1" outlineLevel="2">
      <c r="A699" s="69" t="s">
        <v>72</v>
      </c>
      <c r="B699" s="186">
        <v>40.0</v>
      </c>
      <c r="C699" s="187">
        <v>40.0</v>
      </c>
      <c r="D699" s="187">
        <v>40.0</v>
      </c>
      <c r="E699" s="187">
        <v>40.0</v>
      </c>
      <c r="F699" s="187">
        <v>40.0</v>
      </c>
      <c r="G699" s="187">
        <v>40.0</v>
      </c>
      <c r="H699" s="187">
        <v>40.0</v>
      </c>
      <c r="I699" s="188">
        <v>40.0</v>
      </c>
    </row>
    <row r="700" hidden="1" outlineLevel="2">
      <c r="A700" s="54" t="s">
        <v>74</v>
      </c>
      <c r="B700" s="252">
        <f t="shared" ref="B700:I700" si="268">B698/B699</f>
        <v>1</v>
      </c>
      <c r="C700" s="253">
        <f t="shared" si="268"/>
        <v>0.7</v>
      </c>
      <c r="D700" s="253">
        <f t="shared" si="268"/>
        <v>0.925</v>
      </c>
      <c r="E700" s="253">
        <f t="shared" si="268"/>
        <v>1</v>
      </c>
      <c r="F700" s="253">
        <f t="shared" si="268"/>
        <v>1</v>
      </c>
      <c r="G700" s="253">
        <f t="shared" si="268"/>
        <v>1</v>
      </c>
      <c r="H700" s="253">
        <f t="shared" si="268"/>
        <v>1</v>
      </c>
      <c r="I700" s="256">
        <f t="shared" si="268"/>
        <v>1</v>
      </c>
    </row>
    <row r="701" hidden="1" outlineLevel="2">
      <c r="A701" s="32" t="s">
        <v>75</v>
      </c>
      <c r="B701" s="34"/>
      <c r="C701" s="2"/>
      <c r="D701" s="2"/>
      <c r="E701" s="2"/>
      <c r="F701" s="2"/>
      <c r="G701" s="2"/>
      <c r="H701" s="2"/>
      <c r="I701" s="36"/>
    </row>
    <row r="702" hidden="1" outlineLevel="2">
      <c r="A702" s="64" t="s">
        <v>76</v>
      </c>
      <c r="B702" s="185" t="s">
        <v>79</v>
      </c>
      <c r="C702" s="77" t="s">
        <v>80</v>
      </c>
      <c r="D702" s="77" t="s">
        <v>79</v>
      </c>
      <c r="E702" s="78" t="s">
        <v>79</v>
      </c>
      <c r="F702" s="78" t="s">
        <v>79</v>
      </c>
      <c r="G702" s="77" t="s">
        <v>80</v>
      </c>
      <c r="H702" s="78" t="s">
        <v>79</v>
      </c>
      <c r="I702" s="79" t="s">
        <v>79</v>
      </c>
    </row>
    <row r="703" hidden="1" outlineLevel="2">
      <c r="A703" s="64" t="s">
        <v>81</v>
      </c>
      <c r="B703" s="185" t="s">
        <v>83</v>
      </c>
      <c r="C703" s="78" t="s">
        <v>85</v>
      </c>
      <c r="D703" s="78" t="s">
        <v>83</v>
      </c>
      <c r="E703" s="78" t="s">
        <v>85</v>
      </c>
      <c r="F703" s="78" t="s">
        <v>83</v>
      </c>
      <c r="G703" s="78" t="s">
        <v>85</v>
      </c>
      <c r="H703" s="78" t="s">
        <v>85</v>
      </c>
      <c r="I703" s="79" t="s">
        <v>85</v>
      </c>
    </row>
    <row r="704" hidden="1" outlineLevel="2">
      <c r="A704" s="64" t="s">
        <v>86</v>
      </c>
      <c r="B704" s="194">
        <f>IF(B694&lt;B695,B695,B694) *
IF(B702="AM",
    IF(B703="Oricle",3.5,
    IF(B703="Other Brands",4,
    IF(B703="Oricle Prio",0.6,""))),
 IF(B702="MID",
    IF(B703="Oricle",2.5,
    IF(B703="Other Brands",3,
    IF(B703="Oricle Prio",0.6,""))),
 IF(B702="GY",
    IF(B703="Oricle",1,
    IF(B703="Other Brands",1,
    IF(B703="Oricle Prio",0.3,""))),"")))-10</f>
        <v>108.77</v>
      </c>
      <c r="C704" s="204">
        <f>IF(C694&lt;C695,C695,C694) *
IF(C702="AM",
    IF(C703="Oricle",3,
    IF(C703="Other Brands",4,
    IF(C703="Oricle Prio",0.6,""))),
 IF(C702="MID",
    IF(C703="Oricle",2.5,
    IF(C703="Other Brands",3,
    IF(C703="Oricle Prio",0.6,""))),
 IF(C702="GY",
    IF(C703="Oricle",1,
    IF(C703="Other Brands",1,
    IF(C703="Oricle Prio",0.3,""))),"")))</f>
        <v>121.29</v>
      </c>
      <c r="D704" s="204">
        <f>IF(D694&lt;D695,D695,D694) *
IF(D702="AM",
    IF(D703="Oricle",3.5,
    IF(D703="Other Brands",4,
    IF(D703="Oricle Prio",0.6,""))),
 IF(D702="MID",
    IF(D703="Oricle",2.5,
    IF(D703="Other Brands",3,
    IF(D703="Oricle Prio",0.6,""))),
 IF(D702="GY",
    IF(D703="Oricle",1,
    IF(D703="Other Brands",1,
    IF(D703="Oricle Prio",0.3,""))),"")))</f>
        <v>121.29</v>
      </c>
      <c r="E704" s="204">
        <f>IF(E694&lt;E695,E695,E694) *
IF(E702="AM",
    IF(E703="Oricle",3.5,
    IF(E703="Other Brands",4,
    IF(E703="Oricle Prio",0.6,""))),
 IF(E702="MID",
    IF(E703="Oricle",2.5,
    IF(E703="Other Brands",3,
    IF(E703="Oricle Prio",0.6,""))),
 IF(E702="GY",
    IF(E703="Oricle",1,
    IF(E703="Other Brands",1,
    IF(E703="Oricle Prio",0.3,""))),"")))-12</f>
        <v>88.1</v>
      </c>
      <c r="F704" s="204">
        <f>IF(F694&lt;F695,F695,F694) *
IF(F702="AM",
    IF(F703="Oricle",3.5,
    IF(F703="Other Brands",4,
    IF(F703="Oricle Prio",0.6,""))),
 IF(F702="MID",
    IF(F703="Oricle",2.5,
    IF(F703="Other Brands",3,
    IF(F703="Oricle Prio",0.6,""))),
 IF(F702="GY",
    IF(F703="Oricle",1,
    IF(F703="Other Brands",1,
    IF(F703="Oricle Prio",0.3,""))),"")))</f>
        <v>120.15</v>
      </c>
      <c r="G704" s="204">
        <f t="shared" ref="G704:H704" si="269">IF(G694&lt;G695,G695,G694) *
IF(G702="AM",
    IF(G703="Oricle",3,
    IF(G703="Other Brands",4,
    IF(G703="Oricle Prio",0.6,""))),
 IF(G702="MID",
    IF(G703="Oricle",2.5,
    IF(G703="Other Brands",3,
    IF(G703="Oricle Prio",0.6,""))),
 IF(G702="GY",
    IF(G703="Oricle",1,
    IF(G703="Other Brands",1,
    IF(G703="Oricle Prio",0.3,""))),"")))</f>
        <v>121.77</v>
      </c>
      <c r="H704" s="204">
        <f t="shared" si="269"/>
        <v>100</v>
      </c>
      <c r="I704" s="204">
        <f>IF(I694&lt;I695,I695,I694) *
IF(I702="AM",
    IF(I703="Oricle",3.5,
    IF(I703="Other Brands",4,
    IF(I703="Oricle Prio",0.6,""))),
 IF(I702="MID",
    IF(I703="Oricle",2.5,
    IF(I703="Other Brands",3,
    IF(I703="Oricle Prio",0.6,""))),
 IF(I702="GY",
    IF(I703="Oricle",1,
    IF(I703="Other Brands",1,
    IF(I703="Oricle Prio",0.3,""))),"")))</f>
        <v>100.025</v>
      </c>
    </row>
    <row r="705" hidden="1" outlineLevel="2">
      <c r="A705" s="64" t="s">
        <v>98</v>
      </c>
      <c r="B705" s="266" t="s">
        <v>484</v>
      </c>
      <c r="C705" s="77" t="s">
        <v>442</v>
      </c>
      <c r="D705" s="77" t="s">
        <v>300</v>
      </c>
      <c r="E705" s="77" t="s">
        <v>520</v>
      </c>
      <c r="F705" s="77" t="s">
        <v>771</v>
      </c>
      <c r="G705" s="77" t="s">
        <v>255</v>
      </c>
      <c r="H705" s="77" t="s">
        <v>209</v>
      </c>
      <c r="I705" s="77" t="s">
        <v>448</v>
      </c>
    </row>
    <row r="706" hidden="1" outlineLevel="2">
      <c r="A706" s="64" t="s">
        <v>107</v>
      </c>
      <c r="B706" s="266" t="s">
        <v>558</v>
      </c>
      <c r="C706" s="77" t="s">
        <v>518</v>
      </c>
      <c r="D706" s="77" t="s">
        <v>689</v>
      </c>
      <c r="E706" s="77" t="s">
        <v>771</v>
      </c>
      <c r="F706" s="77" t="s">
        <v>771</v>
      </c>
      <c r="G706" s="77" t="s">
        <v>99</v>
      </c>
      <c r="H706" s="77" t="s">
        <v>209</v>
      </c>
      <c r="I706" s="77" t="s">
        <v>639</v>
      </c>
    </row>
    <row r="707" hidden="1" outlineLevel="2">
      <c r="A707" s="69" t="s">
        <v>115</v>
      </c>
      <c r="B707" s="108">
        <f t="shared" ref="B707:I707" si="270">IF(B705&gt;0,B706/B705,0)</f>
        <v>0.9855072464</v>
      </c>
      <c r="C707" s="110">
        <f t="shared" si="270"/>
        <v>0.9545454545</v>
      </c>
      <c r="D707" s="110">
        <f t="shared" si="270"/>
        <v>0.9595959596</v>
      </c>
      <c r="E707" s="110">
        <f t="shared" si="270"/>
        <v>0.9701492537</v>
      </c>
      <c r="F707" s="110">
        <f t="shared" si="270"/>
        <v>1</v>
      </c>
      <c r="G707" s="110">
        <f t="shared" si="270"/>
        <v>0.9795918367</v>
      </c>
      <c r="H707" s="110">
        <f t="shared" si="270"/>
        <v>1</v>
      </c>
      <c r="I707" s="111">
        <f t="shared" si="270"/>
        <v>0.9651162791</v>
      </c>
    </row>
    <row r="708" hidden="1" outlineLevel="2">
      <c r="A708" s="69" t="s">
        <v>119</v>
      </c>
      <c r="B708" s="108">
        <f t="shared" ref="B708:I708" si="271">IF(B704&gt;0,B706/B704,0)</f>
        <v>0.6251723821</v>
      </c>
      <c r="C708" s="110">
        <f t="shared" si="271"/>
        <v>0.8656937917</v>
      </c>
      <c r="D708" s="110">
        <f t="shared" si="271"/>
        <v>0.783246764</v>
      </c>
      <c r="E708" s="110">
        <f t="shared" si="271"/>
        <v>0.7377979569</v>
      </c>
      <c r="F708" s="110">
        <f t="shared" si="271"/>
        <v>0.5409904286</v>
      </c>
      <c r="G708" s="110">
        <f t="shared" si="271"/>
        <v>1.18255728</v>
      </c>
      <c r="H708" s="110">
        <f t="shared" si="271"/>
        <v>0.89</v>
      </c>
      <c r="I708" s="111">
        <f t="shared" si="271"/>
        <v>0.8297925519</v>
      </c>
    </row>
    <row r="709" hidden="1" outlineLevel="2">
      <c r="A709" s="116" t="s">
        <v>82</v>
      </c>
      <c r="B709" s="252">
        <f t="shared" ref="B709:I709" si="272">average(B707:B708)</f>
        <v>0.8053398142</v>
      </c>
      <c r="C709" s="253">
        <f t="shared" si="272"/>
        <v>0.9101196231</v>
      </c>
      <c r="D709" s="253">
        <f t="shared" si="272"/>
        <v>0.8714213618</v>
      </c>
      <c r="E709" s="253">
        <f t="shared" si="272"/>
        <v>0.8539736053</v>
      </c>
      <c r="F709" s="253">
        <f t="shared" si="272"/>
        <v>0.7704952143</v>
      </c>
      <c r="G709" s="253">
        <f t="shared" si="272"/>
        <v>1.081074558</v>
      </c>
      <c r="H709" s="253">
        <f t="shared" si="272"/>
        <v>0.945</v>
      </c>
      <c r="I709" s="256">
        <f t="shared" si="272"/>
        <v>0.8974544155</v>
      </c>
    </row>
    <row r="710" hidden="1" outlineLevel="2">
      <c r="A710" s="32" t="s">
        <v>121</v>
      </c>
      <c r="B710" s="316"/>
      <c r="C710" s="2"/>
      <c r="D710" s="2"/>
      <c r="E710" s="2"/>
      <c r="F710" s="2"/>
      <c r="G710" s="2"/>
      <c r="H710" s="2"/>
      <c r="I710" s="3"/>
    </row>
    <row r="711" hidden="1" outlineLevel="2">
      <c r="A711" s="64" t="s">
        <v>122</v>
      </c>
      <c r="B711" s="246">
        <v>10.0</v>
      </c>
      <c r="C711" s="247">
        <v>8.64</v>
      </c>
      <c r="D711" s="247">
        <v>8.28</v>
      </c>
      <c r="E711" s="247">
        <v>9.0</v>
      </c>
      <c r="F711" s="247">
        <v>10.0</v>
      </c>
      <c r="G711" s="247">
        <v>9.11</v>
      </c>
      <c r="H711" s="247">
        <v>9.44</v>
      </c>
      <c r="I711" s="247">
        <v>8.62</v>
      </c>
    </row>
    <row r="712" hidden="1" outlineLevel="2">
      <c r="A712" s="69" t="s">
        <v>128</v>
      </c>
      <c r="B712" s="119">
        <v>10.0</v>
      </c>
      <c r="C712" s="120">
        <v>10.0</v>
      </c>
      <c r="D712" s="120">
        <v>10.0</v>
      </c>
      <c r="E712" s="120">
        <v>10.0</v>
      </c>
      <c r="F712" s="120">
        <v>10.0</v>
      </c>
      <c r="G712" s="120">
        <v>10.0</v>
      </c>
      <c r="H712" s="120">
        <v>10.0</v>
      </c>
      <c r="I712" s="121">
        <v>10.0</v>
      </c>
    </row>
    <row r="713" hidden="1" outlineLevel="2">
      <c r="A713" s="54" t="s">
        <v>130</v>
      </c>
      <c r="B713" s="252">
        <f t="shared" ref="B713:I713" si="273">IF(B711=0,0,B711/B712)</f>
        <v>1</v>
      </c>
      <c r="C713" s="253">
        <f t="shared" si="273"/>
        <v>0.864</v>
      </c>
      <c r="D713" s="253">
        <f t="shared" si="273"/>
        <v>0.828</v>
      </c>
      <c r="E713" s="253">
        <f t="shared" si="273"/>
        <v>0.9</v>
      </c>
      <c r="F713" s="253">
        <f t="shared" si="273"/>
        <v>1</v>
      </c>
      <c r="G713" s="253">
        <f t="shared" si="273"/>
        <v>0.911</v>
      </c>
      <c r="H713" s="253">
        <f t="shared" si="273"/>
        <v>0.944</v>
      </c>
      <c r="I713" s="256">
        <f t="shared" si="273"/>
        <v>0.862</v>
      </c>
    </row>
    <row r="714" hidden="1" outlineLevel="2">
      <c r="A714" s="32" t="s">
        <v>131</v>
      </c>
      <c r="B714" s="34"/>
      <c r="C714" s="2"/>
      <c r="D714" s="2"/>
      <c r="E714" s="2"/>
      <c r="F714" s="2"/>
      <c r="G714" s="2"/>
      <c r="H714" s="2"/>
      <c r="I714" s="36"/>
    </row>
    <row r="715" hidden="1" outlineLevel="2">
      <c r="A715" s="64" t="s">
        <v>132</v>
      </c>
      <c r="B715" s="312"/>
      <c r="C715" s="313"/>
      <c r="D715" s="332"/>
      <c r="E715" s="313"/>
      <c r="F715" s="313"/>
      <c r="G715" s="313"/>
      <c r="H715" s="313"/>
      <c r="I715" s="314"/>
    </row>
    <row r="716" hidden="1" outlineLevel="2">
      <c r="A716" s="127" t="s">
        <v>134</v>
      </c>
      <c r="B716" s="34"/>
      <c r="C716" s="2"/>
      <c r="D716" s="2"/>
      <c r="E716" s="2"/>
      <c r="F716" s="2"/>
      <c r="G716" s="2"/>
      <c r="H716" s="2"/>
      <c r="I716" s="36"/>
    </row>
    <row r="717" hidden="1" outlineLevel="2">
      <c r="A717" s="69" t="s">
        <v>136</v>
      </c>
      <c r="B717" s="129">
        <f t="shared" ref="B717:I717" si="274">B696*25</f>
        <v>26.75</v>
      </c>
      <c r="C717" s="130">
        <f t="shared" si="274"/>
        <v>26.59868421</v>
      </c>
      <c r="D717" s="130">
        <f t="shared" si="274"/>
        <v>25.26875</v>
      </c>
      <c r="E717" s="130">
        <f t="shared" si="274"/>
        <v>27.05405405</v>
      </c>
      <c r="F717" s="130">
        <f t="shared" si="274"/>
        <v>27.06081081</v>
      </c>
      <c r="G717" s="130">
        <f t="shared" si="274"/>
        <v>25.36875</v>
      </c>
      <c r="H717" s="130">
        <f t="shared" si="274"/>
        <v>24.6125</v>
      </c>
      <c r="I717" s="132">
        <f t="shared" si="274"/>
        <v>25.00625</v>
      </c>
    </row>
    <row r="718" hidden="1" outlineLevel="2">
      <c r="A718" s="69" t="s">
        <v>144</v>
      </c>
      <c r="B718" s="129">
        <f t="shared" ref="B718:I718" si="275">B700*35</f>
        <v>35</v>
      </c>
      <c r="C718" s="130">
        <f t="shared" si="275"/>
        <v>24.5</v>
      </c>
      <c r="D718" s="130">
        <f t="shared" si="275"/>
        <v>32.375</v>
      </c>
      <c r="E718" s="130">
        <f t="shared" si="275"/>
        <v>35</v>
      </c>
      <c r="F718" s="130">
        <f t="shared" si="275"/>
        <v>35</v>
      </c>
      <c r="G718" s="130">
        <f t="shared" si="275"/>
        <v>35</v>
      </c>
      <c r="H718" s="130">
        <f t="shared" si="275"/>
        <v>35</v>
      </c>
      <c r="I718" s="132">
        <f t="shared" si="275"/>
        <v>35</v>
      </c>
    </row>
    <row r="719" hidden="1" outlineLevel="2">
      <c r="A719" s="69" t="s">
        <v>146</v>
      </c>
      <c r="B719" s="129">
        <f t="shared" ref="B719:I719" si="276">IF(AND(B700&lt;85%, B709&gt;100%), 25, B709*25)</f>
        <v>20.13349536</v>
      </c>
      <c r="C719" s="130">
        <f t="shared" si="276"/>
        <v>22.75299058</v>
      </c>
      <c r="D719" s="130">
        <f t="shared" si="276"/>
        <v>21.78553404</v>
      </c>
      <c r="E719" s="130">
        <f t="shared" si="276"/>
        <v>21.34934013</v>
      </c>
      <c r="F719" s="130">
        <f t="shared" si="276"/>
        <v>19.26238036</v>
      </c>
      <c r="G719" s="130">
        <f t="shared" si="276"/>
        <v>27.02686396</v>
      </c>
      <c r="H719" s="130">
        <f t="shared" si="276"/>
        <v>23.625</v>
      </c>
      <c r="I719" s="132">
        <f t="shared" si="276"/>
        <v>22.43636039</v>
      </c>
    </row>
    <row r="720" hidden="1" outlineLevel="2">
      <c r="A720" s="69" t="s">
        <v>148</v>
      </c>
      <c r="B720" s="129">
        <f t="shared" ref="B720:I720" si="277">B713*15</f>
        <v>15</v>
      </c>
      <c r="C720" s="130">
        <f t="shared" si="277"/>
        <v>12.96</v>
      </c>
      <c r="D720" s="130">
        <f t="shared" si="277"/>
        <v>12.42</v>
      </c>
      <c r="E720" s="130">
        <f t="shared" si="277"/>
        <v>13.5</v>
      </c>
      <c r="F720" s="130">
        <f t="shared" si="277"/>
        <v>15</v>
      </c>
      <c r="G720" s="130">
        <f t="shared" si="277"/>
        <v>13.665</v>
      </c>
      <c r="H720" s="130">
        <f t="shared" si="277"/>
        <v>14.16</v>
      </c>
      <c r="I720" s="132">
        <f t="shared" si="277"/>
        <v>12.93</v>
      </c>
    </row>
    <row r="721" hidden="1" outlineLevel="2">
      <c r="A721" s="69" t="s">
        <v>149</v>
      </c>
      <c r="B721" s="129">
        <f t="shared" ref="B721:I721" si="278">B715*-10</f>
        <v>0</v>
      </c>
      <c r="C721" s="130">
        <f t="shared" si="278"/>
        <v>0</v>
      </c>
      <c r="D721" s="130">
        <f t="shared" si="278"/>
        <v>0</v>
      </c>
      <c r="E721" s="130">
        <f t="shared" si="278"/>
        <v>0</v>
      </c>
      <c r="F721" s="130">
        <f t="shared" si="278"/>
        <v>0</v>
      </c>
      <c r="G721" s="130">
        <f t="shared" si="278"/>
        <v>0</v>
      </c>
      <c r="H721" s="130">
        <f t="shared" si="278"/>
        <v>0</v>
      </c>
      <c r="I721" s="132">
        <f t="shared" si="278"/>
        <v>0</v>
      </c>
    </row>
    <row r="722" hidden="1" outlineLevel="2">
      <c r="A722" s="142" t="s">
        <v>150</v>
      </c>
      <c r="B722" s="129">
        <f t="shared" ref="B722:I722" si="279">B717+B718+B719+B720+B721</f>
        <v>96.88349536</v>
      </c>
      <c r="C722" s="130">
        <f t="shared" si="279"/>
        <v>86.81167479</v>
      </c>
      <c r="D722" s="130">
        <f t="shared" si="279"/>
        <v>91.84928404</v>
      </c>
      <c r="E722" s="130">
        <f t="shared" si="279"/>
        <v>96.90339419</v>
      </c>
      <c r="F722" s="130">
        <f t="shared" si="279"/>
        <v>96.32319117</v>
      </c>
      <c r="G722" s="130">
        <f t="shared" si="279"/>
        <v>101.060614</v>
      </c>
      <c r="H722" s="130">
        <f t="shared" si="279"/>
        <v>97.3975</v>
      </c>
      <c r="I722" s="132">
        <f t="shared" si="279"/>
        <v>95.37261039</v>
      </c>
    </row>
    <row r="723" hidden="1" outlineLevel="2">
      <c r="A723" s="54" t="s">
        <v>152</v>
      </c>
      <c r="B723" s="58">
        <f t="shared" ref="B723:I723" si="280">B722/100</f>
        <v>0.9688349536</v>
      </c>
      <c r="C723" s="61">
        <f t="shared" si="280"/>
        <v>0.8681167479</v>
      </c>
      <c r="D723" s="378">
        <f t="shared" si="280"/>
        <v>0.9184928404</v>
      </c>
      <c r="E723" s="61">
        <f t="shared" si="280"/>
        <v>0.9690339419</v>
      </c>
      <c r="F723" s="61">
        <f t="shared" si="280"/>
        <v>0.9632319117</v>
      </c>
      <c r="G723" s="61">
        <f t="shared" si="280"/>
        <v>1.01060614</v>
      </c>
      <c r="H723" s="61">
        <f t="shared" si="280"/>
        <v>0.973975</v>
      </c>
      <c r="I723" s="62">
        <f t="shared" si="280"/>
        <v>0.9537261039</v>
      </c>
    </row>
    <row r="724" hidden="1" outlineLevel="2">
      <c r="A724" s="127" t="s">
        <v>154</v>
      </c>
      <c r="B724" s="349" t="s">
        <v>155</v>
      </c>
      <c r="C724" s="350" t="s">
        <v>155</v>
      </c>
      <c r="D724" s="350" t="s">
        <v>155</v>
      </c>
      <c r="E724" s="350" t="s">
        <v>155</v>
      </c>
      <c r="F724" s="350" t="s">
        <v>155</v>
      </c>
      <c r="G724" s="350" t="s">
        <v>156</v>
      </c>
      <c r="H724" s="350" t="s">
        <v>155</v>
      </c>
      <c r="I724" s="350" t="s">
        <v>155</v>
      </c>
    </row>
    <row r="725" hidden="1" outlineLevel="2">
      <c r="A725" s="127" t="s">
        <v>158</v>
      </c>
      <c r="B725" s="156"/>
      <c r="C725" s="157"/>
      <c r="D725" s="337"/>
      <c r="E725" s="157"/>
      <c r="F725" s="157"/>
      <c r="G725" s="157"/>
      <c r="H725" s="157"/>
      <c r="I725" s="352"/>
    </row>
    <row r="726" hidden="1" outlineLevel="1" collapsed="1">
      <c r="A726" s="12"/>
      <c r="B726" s="13" t="s">
        <v>957</v>
      </c>
      <c r="C726" s="14"/>
      <c r="D726" s="14"/>
      <c r="E726" s="14"/>
      <c r="F726" s="14"/>
      <c r="G726" s="14"/>
      <c r="H726" s="14"/>
      <c r="I726" s="15"/>
    </row>
    <row r="727" hidden="1" outlineLevel="2">
      <c r="A727" s="164"/>
      <c r="B727" s="302" t="s">
        <v>29</v>
      </c>
      <c r="C727" s="303" t="s">
        <v>4</v>
      </c>
      <c r="D727" s="303" t="s">
        <v>19</v>
      </c>
      <c r="E727" s="303" t="s">
        <v>30</v>
      </c>
      <c r="F727" s="303" t="s">
        <v>31</v>
      </c>
      <c r="G727" s="304" t="s">
        <v>32</v>
      </c>
      <c r="H727" s="305" t="s">
        <v>13</v>
      </c>
      <c r="I727" s="305" t="s">
        <v>350</v>
      </c>
    </row>
    <row r="728" hidden="1" outlineLevel="2">
      <c r="A728" s="25" t="s">
        <v>36</v>
      </c>
      <c r="B728" s="243" t="s">
        <v>957</v>
      </c>
      <c r="C728" s="244"/>
      <c r="D728" s="244"/>
      <c r="E728" s="244"/>
      <c r="F728" s="244"/>
      <c r="G728" s="244"/>
      <c r="H728" s="244"/>
      <c r="I728" s="245"/>
    </row>
    <row r="729" hidden="1" outlineLevel="2">
      <c r="A729" s="32" t="s">
        <v>45</v>
      </c>
      <c r="B729" s="34"/>
      <c r="C729" s="2"/>
      <c r="D729" s="2"/>
      <c r="E729" s="2"/>
      <c r="F729" s="2"/>
      <c r="G729" s="2"/>
      <c r="H729" s="2"/>
      <c r="I729" s="36"/>
    </row>
    <row r="730" hidden="1" outlineLevel="2">
      <c r="A730" s="38" t="s">
        <v>49</v>
      </c>
      <c r="B730" s="246">
        <v>40.0</v>
      </c>
      <c r="C730" s="247">
        <v>40.41</v>
      </c>
      <c r="D730" s="247">
        <v>40.42</v>
      </c>
      <c r="E730" s="247">
        <v>40.0</v>
      </c>
      <c r="F730" s="247">
        <v>36.08</v>
      </c>
      <c r="G730" s="247">
        <v>41.21</v>
      </c>
      <c r="H730" s="247">
        <v>20.0</v>
      </c>
      <c r="I730" s="345">
        <v>40.17</v>
      </c>
    </row>
    <row r="731" hidden="1" outlineLevel="2">
      <c r="A731" s="49" t="s">
        <v>53</v>
      </c>
      <c r="B731" s="250">
        <v>35.0</v>
      </c>
      <c r="C731" s="250">
        <v>38.0</v>
      </c>
      <c r="D731" s="51">
        <v>40.0</v>
      </c>
      <c r="E731" s="250">
        <v>32.0</v>
      </c>
      <c r="F731" s="250">
        <v>32.0</v>
      </c>
      <c r="G731" s="250">
        <v>40.0</v>
      </c>
      <c r="H731" s="250">
        <v>40.0</v>
      </c>
      <c r="I731" s="346">
        <v>40.0</v>
      </c>
    </row>
    <row r="732" hidden="1" outlineLevel="2">
      <c r="A732" s="54" t="s">
        <v>57</v>
      </c>
      <c r="B732" s="252">
        <f t="shared" ref="B732:I732" si="281">B730/B731</f>
        <v>1.142857143</v>
      </c>
      <c r="C732" s="253">
        <f t="shared" si="281"/>
        <v>1.063421053</v>
      </c>
      <c r="D732" s="253">
        <f t="shared" si="281"/>
        <v>1.0105</v>
      </c>
      <c r="E732" s="253">
        <f t="shared" si="281"/>
        <v>1.25</v>
      </c>
      <c r="F732" s="253">
        <f t="shared" si="281"/>
        <v>1.1275</v>
      </c>
      <c r="G732" s="253">
        <f t="shared" si="281"/>
        <v>1.03025</v>
      </c>
      <c r="H732" s="253">
        <f t="shared" si="281"/>
        <v>0.5</v>
      </c>
      <c r="I732" s="256">
        <f t="shared" si="281"/>
        <v>1.00425</v>
      </c>
    </row>
    <row r="733" hidden="1" outlineLevel="2">
      <c r="A733" s="32" t="s">
        <v>66</v>
      </c>
      <c r="B733" s="34"/>
      <c r="C733" s="2"/>
      <c r="D733" s="2"/>
      <c r="E733" s="2"/>
      <c r="F733" s="2"/>
      <c r="G733" s="2"/>
      <c r="H733" s="2"/>
      <c r="I733" s="36"/>
    </row>
    <row r="734" hidden="1" outlineLevel="2">
      <c r="A734" s="64" t="s">
        <v>67</v>
      </c>
      <c r="B734" s="246">
        <v>40.0</v>
      </c>
      <c r="C734" s="247">
        <v>40.0</v>
      </c>
      <c r="D734" s="247">
        <v>40.0</v>
      </c>
      <c r="E734" s="247">
        <v>40.0</v>
      </c>
      <c r="F734" s="247">
        <v>40.0</v>
      </c>
      <c r="G734" s="247">
        <v>40.0</v>
      </c>
      <c r="H734" s="247">
        <v>40.0</v>
      </c>
      <c r="I734" s="248">
        <v>34.0</v>
      </c>
    </row>
    <row r="735" hidden="1" outlineLevel="2">
      <c r="A735" s="69" t="s">
        <v>72</v>
      </c>
      <c r="B735" s="186">
        <v>40.0</v>
      </c>
      <c r="C735" s="187">
        <v>40.0</v>
      </c>
      <c r="D735" s="187">
        <v>40.0</v>
      </c>
      <c r="E735" s="187">
        <v>40.0</v>
      </c>
      <c r="F735" s="187">
        <v>40.0</v>
      </c>
      <c r="G735" s="187">
        <v>40.0</v>
      </c>
      <c r="H735" s="187">
        <v>40.0</v>
      </c>
      <c r="I735" s="188">
        <v>40.0</v>
      </c>
    </row>
    <row r="736" hidden="1" outlineLevel="2">
      <c r="A736" s="54" t="s">
        <v>74</v>
      </c>
      <c r="B736" s="252">
        <f t="shared" ref="B736:I736" si="282">B734/B735</f>
        <v>1</v>
      </c>
      <c r="C736" s="253">
        <f t="shared" si="282"/>
        <v>1</v>
      </c>
      <c r="D736" s="253">
        <f t="shared" si="282"/>
        <v>1</v>
      </c>
      <c r="E736" s="253">
        <f t="shared" si="282"/>
        <v>1</v>
      </c>
      <c r="F736" s="253">
        <f t="shared" si="282"/>
        <v>1</v>
      </c>
      <c r="G736" s="253">
        <f t="shared" si="282"/>
        <v>1</v>
      </c>
      <c r="H736" s="253">
        <f t="shared" si="282"/>
        <v>1</v>
      </c>
      <c r="I736" s="256">
        <f t="shared" si="282"/>
        <v>0.85</v>
      </c>
    </row>
    <row r="737" hidden="1" outlineLevel="2">
      <c r="A737" s="32" t="s">
        <v>75</v>
      </c>
      <c r="B737" s="34"/>
      <c r="C737" s="2"/>
      <c r="D737" s="2"/>
      <c r="E737" s="2"/>
      <c r="F737" s="2"/>
      <c r="G737" s="2"/>
      <c r="H737" s="2"/>
      <c r="I737" s="36"/>
    </row>
    <row r="738" hidden="1" outlineLevel="2">
      <c r="A738" s="64" t="s">
        <v>76</v>
      </c>
      <c r="B738" s="185" t="s">
        <v>79</v>
      </c>
      <c r="C738" s="77" t="s">
        <v>80</v>
      </c>
      <c r="D738" s="77" t="s">
        <v>79</v>
      </c>
      <c r="E738" s="78" t="s">
        <v>79</v>
      </c>
      <c r="F738" s="78" t="s">
        <v>79</v>
      </c>
      <c r="G738" s="77" t="s">
        <v>80</v>
      </c>
      <c r="H738" s="78" t="s">
        <v>79</v>
      </c>
      <c r="I738" s="79" t="s">
        <v>79</v>
      </c>
    </row>
    <row r="739" hidden="1" outlineLevel="2">
      <c r="A739" s="64" t="s">
        <v>81</v>
      </c>
      <c r="B739" s="185" t="s">
        <v>83</v>
      </c>
      <c r="C739" s="78" t="s">
        <v>85</v>
      </c>
      <c r="D739" s="78" t="s">
        <v>83</v>
      </c>
      <c r="E739" s="78" t="s">
        <v>85</v>
      </c>
      <c r="F739" s="78" t="s">
        <v>83</v>
      </c>
      <c r="G739" s="78" t="s">
        <v>85</v>
      </c>
      <c r="H739" s="78" t="s">
        <v>85</v>
      </c>
      <c r="I739" s="79" t="s">
        <v>85</v>
      </c>
    </row>
    <row r="740" hidden="1" outlineLevel="2">
      <c r="A740" s="64" t="s">
        <v>86</v>
      </c>
      <c r="B740" s="194">
        <f>IF(B730&lt;B731,B731,B730) *
IF(B738="AM",
    IF(B739="Oricle",3.5,
    IF(B739="Other Brands",4,
    IF(B739="Oricle Prio",0.6,""))),
 IF(B738="MID",
    IF(B739="Oricle",2.5,
    IF(B739="Other Brands",3,
    IF(B739="Oricle Prio",0.6,""))),
 IF(B738="GY",
    IF(B739="Oricle",1,
    IF(B739="Other Brands",1,
    IF(B739="Oricle Prio",0.3,""))),"")))-10</f>
        <v>110</v>
      </c>
      <c r="C740" s="204">
        <f>IF(C730&lt;C731,C731,C730) *
IF(C738="AM",
    IF(C739="Oricle",3,
    IF(C739="Other Brands",4,
    IF(C739="Oricle Prio",0.6,""))),
 IF(C738="MID",
    IF(C739="Oricle",2.5,
    IF(C739="Other Brands",3,
    IF(C739="Oricle Prio",0.6,""))),
 IF(C738="GY",
    IF(C739="Oricle",1,
    IF(C739="Other Brands",1,
    IF(C739="Oricle Prio",0.3,""))),"")))</f>
        <v>121.23</v>
      </c>
      <c r="D740" s="204">
        <f>IF(D730&lt;D731,D731,D730) *
IF(D738="AM",
    IF(D739="Oricle",3.5,
    IF(D739="Other Brands",4,
    IF(D739="Oricle Prio",0.6,""))),
 IF(D738="MID",
    IF(D739="Oricle",2.5,
    IF(D739="Other Brands",3,
    IF(D739="Oricle Prio",0.6,""))),
 IF(D738="GY",
    IF(D739="Oricle",1,
    IF(D739="Other Brands",1,
    IF(D739="Oricle Prio",0.3,""))),"")))</f>
        <v>121.26</v>
      </c>
      <c r="E740" s="204">
        <f>IF(E730&lt;E731,E731,E730) *
IF(E738="AM",
    IF(E739="Oricle",3.5,
    IF(E739="Other Brands",4,
    IF(E739="Oricle Prio",0.6,""))),
 IF(E738="MID",
    IF(E739="Oricle",2.5,
    IF(E739="Other Brands",3,
    IF(E739="Oricle Prio",0.6,""))),
 IF(E738="GY",
    IF(E739="Oricle",1,
    IF(E739="Other Brands",1,
    IF(E739="Oricle Prio",0.3,""))),"")))-15</f>
        <v>85</v>
      </c>
      <c r="F740" s="204">
        <f>IF(F730&lt;F731,F731,F730) *
IF(F738="AM",
    IF(F739="Oricle",3.5,
    IF(F739="Other Brands",4,
    IF(F739="Oricle Prio",0.6,""))),
 IF(F738="MID",
    IF(F739="Oricle",2.5,
    IF(F739="Other Brands",3,
    IF(F739="Oricle Prio",0.6,""))),
 IF(F738="GY",
    IF(F739="Oricle",1,
    IF(F739="Other Brands",1,
    IF(F739="Oricle Prio",0.3,""))),"")))</f>
        <v>108.24</v>
      </c>
      <c r="G740" s="204">
        <f t="shared" ref="G740:H740" si="283">IF(G730&lt;G731,G731,G730) *
IF(G738="AM",
    IF(G739="Oricle",3,
    IF(G739="Other Brands",4,
    IF(G739="Oricle Prio",0.6,""))),
 IF(G738="MID",
    IF(G739="Oricle",2.5,
    IF(G739="Other Brands",3,
    IF(G739="Oricle Prio",0.6,""))),
 IF(G738="GY",
    IF(G739="Oricle",1,
    IF(G739="Other Brands",1,
    IF(G739="Oricle Prio",0.3,""))),"")))</f>
        <v>123.63</v>
      </c>
      <c r="H740" s="204">
        <f t="shared" si="283"/>
        <v>100</v>
      </c>
      <c r="I740" s="204">
        <f>IF(I730&lt;I731,I731,I730) *
IF(I738="AM",
    IF(I739="Oricle",3.5,
    IF(I739="Other Brands",4,
    IF(I739="Oricle Prio",0.6,""))),
 IF(I738="MID",
    IF(I739="Oricle",2.5,
    IF(I739="Other Brands",3,
    IF(I739="Oricle Prio",0.6,""))),
 IF(I738="GY",
    IF(I739="Oricle",1,
    IF(I739="Other Brands",1,
    IF(I739="Oricle Prio",0.3,""))),"")))</f>
        <v>100.425</v>
      </c>
    </row>
    <row r="741" hidden="1" outlineLevel="2">
      <c r="A741" s="64" t="s">
        <v>98</v>
      </c>
      <c r="B741" s="266" t="s">
        <v>408</v>
      </c>
      <c r="C741" s="77" t="s">
        <v>521</v>
      </c>
      <c r="D741" s="77" t="s">
        <v>478</v>
      </c>
      <c r="E741" s="77" t="s">
        <v>560</v>
      </c>
      <c r="F741" s="77" t="s">
        <v>974</v>
      </c>
      <c r="G741" s="77" t="s">
        <v>255</v>
      </c>
      <c r="H741" s="77" t="s">
        <v>975</v>
      </c>
      <c r="I741" s="77" t="s">
        <v>591</v>
      </c>
    </row>
    <row r="742" hidden="1" outlineLevel="2">
      <c r="A742" s="64" t="s">
        <v>107</v>
      </c>
      <c r="B742" s="266" t="s">
        <v>558</v>
      </c>
      <c r="C742" s="77" t="s">
        <v>376</v>
      </c>
      <c r="D742" s="77" t="s">
        <v>444</v>
      </c>
      <c r="E742" s="77" t="s">
        <v>976</v>
      </c>
      <c r="F742" s="77" t="s">
        <v>977</v>
      </c>
      <c r="G742" s="77" t="s">
        <v>328</v>
      </c>
      <c r="H742" s="77" t="s">
        <v>978</v>
      </c>
      <c r="I742" s="77" t="s">
        <v>522</v>
      </c>
    </row>
    <row r="743" hidden="1" outlineLevel="2">
      <c r="A743" s="69" t="s">
        <v>115</v>
      </c>
      <c r="B743" s="108">
        <f t="shared" ref="B743:I743" si="284">IF(B741&gt;0,B742/B741,0)</f>
        <v>0.9444444444</v>
      </c>
      <c r="C743" s="110">
        <f t="shared" si="284"/>
        <v>0.9439252336</v>
      </c>
      <c r="D743" s="110">
        <f t="shared" si="284"/>
        <v>0.9851851852</v>
      </c>
      <c r="E743" s="110">
        <f t="shared" si="284"/>
        <v>0.9830508475</v>
      </c>
      <c r="F743" s="110">
        <f t="shared" si="284"/>
        <v>0.950617284</v>
      </c>
      <c r="G743" s="110">
        <f t="shared" si="284"/>
        <v>0.9863945578</v>
      </c>
      <c r="H743" s="110">
        <f t="shared" si="284"/>
        <v>0.972972973</v>
      </c>
      <c r="I743" s="111">
        <f t="shared" si="284"/>
        <v>0.9659090909</v>
      </c>
    </row>
    <row r="744" hidden="1" outlineLevel="2">
      <c r="A744" s="69" t="s">
        <v>119</v>
      </c>
      <c r="B744" s="108">
        <f t="shared" ref="B744:I744" si="285">IF(B740&gt;0,B742/B740,0)</f>
        <v>0.6181818182</v>
      </c>
      <c r="C744" s="110">
        <f t="shared" si="285"/>
        <v>0.8331271138</v>
      </c>
      <c r="D744" s="110">
        <f t="shared" si="285"/>
        <v>1.096816757</v>
      </c>
      <c r="E744" s="110">
        <f t="shared" si="285"/>
        <v>0.6823529412</v>
      </c>
      <c r="F744" s="110">
        <f t="shared" si="285"/>
        <v>0.7113821138</v>
      </c>
      <c r="G744" s="110">
        <f t="shared" si="285"/>
        <v>1.172854485</v>
      </c>
      <c r="H744" s="110">
        <f t="shared" si="285"/>
        <v>0.36</v>
      </c>
      <c r="I744" s="111">
        <f t="shared" si="285"/>
        <v>0.8464027882</v>
      </c>
    </row>
    <row r="745" hidden="1" outlineLevel="2">
      <c r="A745" s="116" t="s">
        <v>82</v>
      </c>
      <c r="B745" s="252">
        <f t="shared" ref="B745:I745" si="286">average(B743:B744)</f>
        <v>0.7813131313</v>
      </c>
      <c r="C745" s="253">
        <f t="shared" si="286"/>
        <v>0.8885261737</v>
      </c>
      <c r="D745" s="253">
        <f t="shared" si="286"/>
        <v>1.041000971</v>
      </c>
      <c r="E745" s="253">
        <f t="shared" si="286"/>
        <v>0.8327018943</v>
      </c>
      <c r="F745" s="253">
        <f t="shared" si="286"/>
        <v>0.8309996989</v>
      </c>
      <c r="G745" s="253">
        <f t="shared" si="286"/>
        <v>1.079624521</v>
      </c>
      <c r="H745" s="253">
        <f t="shared" si="286"/>
        <v>0.6664864865</v>
      </c>
      <c r="I745" s="256">
        <f t="shared" si="286"/>
        <v>0.9061559395</v>
      </c>
    </row>
    <row r="746" hidden="1" outlineLevel="2">
      <c r="A746" s="32" t="s">
        <v>121</v>
      </c>
      <c r="B746" s="316"/>
      <c r="C746" s="2"/>
      <c r="D746" s="2"/>
      <c r="E746" s="2"/>
      <c r="F746" s="2"/>
      <c r="G746" s="2"/>
      <c r="H746" s="2"/>
      <c r="I746" s="3"/>
    </row>
    <row r="747" hidden="1" outlineLevel="2">
      <c r="A747" s="64" t="s">
        <v>122</v>
      </c>
      <c r="B747" s="246">
        <v>9.33</v>
      </c>
      <c r="C747" s="247">
        <v>8.3</v>
      </c>
      <c r="D747" s="247">
        <v>9.96</v>
      </c>
      <c r="E747" s="247">
        <v>10.0</v>
      </c>
      <c r="F747" s="247">
        <v>9.0</v>
      </c>
      <c r="G747" s="247">
        <v>9.44</v>
      </c>
      <c r="H747" s="247">
        <v>7.0</v>
      </c>
      <c r="I747" s="247">
        <v>9.62</v>
      </c>
    </row>
    <row r="748" hidden="1" outlineLevel="2">
      <c r="A748" s="69" t="s">
        <v>128</v>
      </c>
      <c r="B748" s="119">
        <v>10.0</v>
      </c>
      <c r="C748" s="120">
        <v>10.0</v>
      </c>
      <c r="D748" s="120">
        <v>10.0</v>
      </c>
      <c r="E748" s="120">
        <v>10.0</v>
      </c>
      <c r="F748" s="120">
        <v>10.0</v>
      </c>
      <c r="G748" s="120">
        <v>10.0</v>
      </c>
      <c r="H748" s="120">
        <v>10.0</v>
      </c>
      <c r="I748" s="121">
        <v>10.0</v>
      </c>
    </row>
    <row r="749" hidden="1" outlineLevel="2">
      <c r="A749" s="54" t="s">
        <v>130</v>
      </c>
      <c r="B749" s="252">
        <f t="shared" ref="B749:I749" si="287">IF(B747=0,0,B747/B748)</f>
        <v>0.933</v>
      </c>
      <c r="C749" s="253">
        <f t="shared" si="287"/>
        <v>0.83</v>
      </c>
      <c r="D749" s="253">
        <f t="shared" si="287"/>
        <v>0.996</v>
      </c>
      <c r="E749" s="253">
        <f t="shared" si="287"/>
        <v>1</v>
      </c>
      <c r="F749" s="253">
        <f t="shared" si="287"/>
        <v>0.9</v>
      </c>
      <c r="G749" s="253">
        <f t="shared" si="287"/>
        <v>0.944</v>
      </c>
      <c r="H749" s="253">
        <f t="shared" si="287"/>
        <v>0.7</v>
      </c>
      <c r="I749" s="256">
        <f t="shared" si="287"/>
        <v>0.962</v>
      </c>
    </row>
    <row r="750" hidden="1" outlineLevel="2">
      <c r="A750" s="32" t="s">
        <v>131</v>
      </c>
      <c r="B750" s="34"/>
      <c r="C750" s="2"/>
      <c r="D750" s="2"/>
      <c r="E750" s="2"/>
      <c r="F750" s="2"/>
      <c r="G750" s="2"/>
      <c r="H750" s="2"/>
      <c r="I750" s="36"/>
    </row>
    <row r="751" hidden="1" outlineLevel="2">
      <c r="A751" s="64" t="s">
        <v>132</v>
      </c>
      <c r="B751" s="312"/>
      <c r="C751" s="313"/>
      <c r="D751" s="332"/>
      <c r="E751" s="313"/>
      <c r="F751" s="313"/>
      <c r="G751" s="313"/>
      <c r="H751" s="313"/>
      <c r="I751" s="314"/>
    </row>
    <row r="752" hidden="1" outlineLevel="2">
      <c r="A752" s="127" t="s">
        <v>134</v>
      </c>
      <c r="B752" s="34"/>
      <c r="C752" s="2"/>
      <c r="D752" s="2"/>
      <c r="E752" s="2"/>
      <c r="F752" s="2"/>
      <c r="G752" s="2"/>
      <c r="H752" s="2"/>
      <c r="I752" s="36"/>
    </row>
    <row r="753" hidden="1" outlineLevel="2">
      <c r="A753" s="69" t="s">
        <v>136</v>
      </c>
      <c r="B753" s="129">
        <f t="shared" ref="B753:I753" si="288">B732*25</f>
        <v>28.57142857</v>
      </c>
      <c r="C753" s="130">
        <f t="shared" si="288"/>
        <v>26.58552632</v>
      </c>
      <c r="D753" s="130">
        <f t="shared" si="288"/>
        <v>25.2625</v>
      </c>
      <c r="E753" s="130">
        <f t="shared" si="288"/>
        <v>31.25</v>
      </c>
      <c r="F753" s="130">
        <f t="shared" si="288"/>
        <v>28.1875</v>
      </c>
      <c r="G753" s="130">
        <f t="shared" si="288"/>
        <v>25.75625</v>
      </c>
      <c r="H753" s="130">
        <f t="shared" si="288"/>
        <v>12.5</v>
      </c>
      <c r="I753" s="132">
        <f t="shared" si="288"/>
        <v>25.10625</v>
      </c>
    </row>
    <row r="754" hidden="1" outlineLevel="2">
      <c r="A754" s="69" t="s">
        <v>144</v>
      </c>
      <c r="B754" s="129">
        <f t="shared" ref="B754:I754" si="289">B736*35</f>
        <v>35</v>
      </c>
      <c r="C754" s="130">
        <f t="shared" si="289"/>
        <v>35</v>
      </c>
      <c r="D754" s="130">
        <f t="shared" si="289"/>
        <v>35</v>
      </c>
      <c r="E754" s="130">
        <f t="shared" si="289"/>
        <v>35</v>
      </c>
      <c r="F754" s="130">
        <f t="shared" si="289"/>
        <v>35</v>
      </c>
      <c r="G754" s="130">
        <f t="shared" si="289"/>
        <v>35</v>
      </c>
      <c r="H754" s="130">
        <f t="shared" si="289"/>
        <v>35</v>
      </c>
      <c r="I754" s="132">
        <f t="shared" si="289"/>
        <v>29.75</v>
      </c>
    </row>
    <row r="755" hidden="1" outlineLevel="2">
      <c r="A755" s="69" t="s">
        <v>146</v>
      </c>
      <c r="B755" s="129">
        <f t="shared" ref="B755:I755" si="290">IF(AND(B736&lt;85%, B745&gt;100%), 25, B745*25)</f>
        <v>19.53282828</v>
      </c>
      <c r="C755" s="130">
        <f t="shared" si="290"/>
        <v>22.21315434</v>
      </c>
      <c r="D755" s="130">
        <f t="shared" si="290"/>
        <v>26.02502428</v>
      </c>
      <c r="E755" s="130">
        <f t="shared" si="290"/>
        <v>20.81754736</v>
      </c>
      <c r="F755" s="130">
        <f t="shared" si="290"/>
        <v>20.77499247</v>
      </c>
      <c r="G755" s="130">
        <f t="shared" si="290"/>
        <v>26.99061304</v>
      </c>
      <c r="H755" s="130">
        <f t="shared" si="290"/>
        <v>16.66216216</v>
      </c>
      <c r="I755" s="132">
        <f t="shared" si="290"/>
        <v>22.65389849</v>
      </c>
    </row>
    <row r="756" hidden="1" outlineLevel="2">
      <c r="A756" s="69" t="s">
        <v>148</v>
      </c>
      <c r="B756" s="129">
        <f t="shared" ref="B756:I756" si="291">B749*15</f>
        <v>13.995</v>
      </c>
      <c r="C756" s="130">
        <f t="shared" si="291"/>
        <v>12.45</v>
      </c>
      <c r="D756" s="130">
        <f t="shared" si="291"/>
        <v>14.94</v>
      </c>
      <c r="E756" s="130">
        <f t="shared" si="291"/>
        <v>15</v>
      </c>
      <c r="F756" s="130">
        <f t="shared" si="291"/>
        <v>13.5</v>
      </c>
      <c r="G756" s="130">
        <f t="shared" si="291"/>
        <v>14.16</v>
      </c>
      <c r="H756" s="130">
        <f t="shared" si="291"/>
        <v>10.5</v>
      </c>
      <c r="I756" s="132">
        <f t="shared" si="291"/>
        <v>14.43</v>
      </c>
    </row>
    <row r="757" hidden="1" outlineLevel="2">
      <c r="A757" s="69" t="s">
        <v>149</v>
      </c>
      <c r="B757" s="129">
        <f t="shared" ref="B757:I757" si="292">B751*-10</f>
        <v>0</v>
      </c>
      <c r="C757" s="130">
        <f t="shared" si="292"/>
        <v>0</v>
      </c>
      <c r="D757" s="130">
        <f t="shared" si="292"/>
        <v>0</v>
      </c>
      <c r="E757" s="130">
        <f t="shared" si="292"/>
        <v>0</v>
      </c>
      <c r="F757" s="130">
        <f t="shared" si="292"/>
        <v>0</v>
      </c>
      <c r="G757" s="130">
        <f t="shared" si="292"/>
        <v>0</v>
      </c>
      <c r="H757" s="130">
        <f t="shared" si="292"/>
        <v>0</v>
      </c>
      <c r="I757" s="132">
        <f t="shared" si="292"/>
        <v>0</v>
      </c>
    </row>
    <row r="758" hidden="1" outlineLevel="2">
      <c r="A758" s="142" t="s">
        <v>150</v>
      </c>
      <c r="B758" s="129">
        <f t="shared" ref="B758:I758" si="293">B753+B754+B755+B756+B757</f>
        <v>97.09925685</v>
      </c>
      <c r="C758" s="130">
        <f t="shared" si="293"/>
        <v>96.24868066</v>
      </c>
      <c r="D758" s="130">
        <f t="shared" si="293"/>
        <v>101.2275243</v>
      </c>
      <c r="E758" s="130">
        <f t="shared" si="293"/>
        <v>102.0675474</v>
      </c>
      <c r="F758" s="130">
        <f t="shared" si="293"/>
        <v>97.46249247</v>
      </c>
      <c r="G758" s="130">
        <f t="shared" si="293"/>
        <v>101.906863</v>
      </c>
      <c r="H758" s="130">
        <f t="shared" si="293"/>
        <v>74.66216216</v>
      </c>
      <c r="I758" s="132">
        <f t="shared" si="293"/>
        <v>91.94014849</v>
      </c>
    </row>
    <row r="759" hidden="1" outlineLevel="2">
      <c r="A759" s="54" t="s">
        <v>152</v>
      </c>
      <c r="B759" s="58">
        <f t="shared" ref="B759:I759" si="294">B758/100</f>
        <v>0.9709925685</v>
      </c>
      <c r="C759" s="61">
        <f t="shared" si="294"/>
        <v>0.9624868066</v>
      </c>
      <c r="D759" s="378">
        <f t="shared" si="294"/>
        <v>1.012275243</v>
      </c>
      <c r="E759" s="61">
        <f t="shared" si="294"/>
        <v>1.020675474</v>
      </c>
      <c r="F759" s="61">
        <f t="shared" si="294"/>
        <v>0.9746249247</v>
      </c>
      <c r="G759" s="61">
        <f t="shared" si="294"/>
        <v>1.01906863</v>
      </c>
      <c r="H759" s="61">
        <f t="shared" si="294"/>
        <v>0.7466216216</v>
      </c>
      <c r="I759" s="62">
        <f t="shared" si="294"/>
        <v>0.9194014849</v>
      </c>
    </row>
    <row r="760" hidden="1" outlineLevel="2">
      <c r="A760" s="127" t="s">
        <v>154</v>
      </c>
      <c r="B760" s="349" t="s">
        <v>155</v>
      </c>
      <c r="C760" s="350" t="s">
        <v>155</v>
      </c>
      <c r="D760" s="350" t="s">
        <v>155</v>
      </c>
      <c r="E760" s="350" t="s">
        <v>156</v>
      </c>
      <c r="F760" s="350" t="s">
        <v>155</v>
      </c>
      <c r="G760" s="350" t="s">
        <v>155</v>
      </c>
      <c r="H760" s="350" t="s">
        <v>155</v>
      </c>
      <c r="I760" s="350" t="s">
        <v>155</v>
      </c>
    </row>
    <row r="761" hidden="1" outlineLevel="2">
      <c r="A761" s="127" t="s">
        <v>158</v>
      </c>
      <c r="B761" s="156"/>
      <c r="C761" s="157"/>
      <c r="D761" s="337"/>
      <c r="E761" s="157"/>
      <c r="F761" s="157"/>
      <c r="G761" s="157"/>
      <c r="H761" s="157"/>
      <c r="I761" s="352"/>
    </row>
    <row r="762" hidden="1" outlineLevel="1" collapsed="1">
      <c r="A762" s="12"/>
      <c r="B762" s="13" t="s">
        <v>980</v>
      </c>
      <c r="C762" s="14"/>
      <c r="D762" s="14"/>
      <c r="E762" s="14"/>
      <c r="F762" s="14"/>
      <c r="G762" s="14"/>
      <c r="H762" s="14"/>
      <c r="I762" s="15"/>
    </row>
    <row r="763" hidden="1" outlineLevel="2">
      <c r="A763" s="164"/>
      <c r="B763" s="302" t="s">
        <v>29</v>
      </c>
      <c r="C763" s="303" t="s">
        <v>4</v>
      </c>
      <c r="D763" s="303" t="s">
        <v>19</v>
      </c>
      <c r="E763" s="303" t="s">
        <v>30</v>
      </c>
      <c r="F763" s="303" t="s">
        <v>31</v>
      </c>
      <c r="G763" s="304" t="s">
        <v>32</v>
      </c>
      <c r="H763" s="305" t="s">
        <v>13</v>
      </c>
      <c r="I763" s="305" t="s">
        <v>350</v>
      </c>
    </row>
    <row r="764" hidden="1" outlineLevel="2">
      <c r="A764" s="25" t="s">
        <v>36</v>
      </c>
      <c r="B764" s="243" t="s">
        <v>980</v>
      </c>
      <c r="C764" s="244"/>
      <c r="D764" s="244"/>
      <c r="E764" s="244"/>
      <c r="F764" s="244"/>
      <c r="G764" s="244"/>
      <c r="H764" s="244"/>
      <c r="I764" s="245"/>
    </row>
    <row r="765" hidden="1" outlineLevel="2">
      <c r="A765" s="32" t="s">
        <v>45</v>
      </c>
      <c r="B765" s="34"/>
      <c r="C765" s="2"/>
      <c r="D765" s="2"/>
      <c r="E765" s="2"/>
      <c r="F765" s="2"/>
      <c r="G765" s="2"/>
      <c r="H765" s="2"/>
      <c r="I765" s="36"/>
    </row>
    <row r="766" hidden="1" outlineLevel="2">
      <c r="A766" s="38" t="s">
        <v>49</v>
      </c>
      <c r="B766" s="246">
        <v>36.53</v>
      </c>
      <c r="C766" s="247">
        <v>39.39</v>
      </c>
      <c r="D766" s="247">
        <v>40.36</v>
      </c>
      <c r="E766" s="247">
        <v>39.54</v>
      </c>
      <c r="F766" s="247">
        <v>37.37</v>
      </c>
      <c r="G766" s="247">
        <v>41.07</v>
      </c>
      <c r="H766" s="247">
        <v>40.06</v>
      </c>
      <c r="I766" s="345">
        <v>40.11</v>
      </c>
    </row>
    <row r="767" hidden="1" outlineLevel="2">
      <c r="A767" s="49" t="s">
        <v>53</v>
      </c>
      <c r="B767" s="250">
        <v>37.0</v>
      </c>
      <c r="C767" s="250">
        <v>38.0</v>
      </c>
      <c r="D767" s="51">
        <v>40.0</v>
      </c>
      <c r="E767" s="250">
        <v>37.0</v>
      </c>
      <c r="F767" s="250">
        <v>37.0</v>
      </c>
      <c r="G767" s="250">
        <v>40.0</v>
      </c>
      <c r="H767" s="250">
        <v>40.0</v>
      </c>
      <c r="I767" s="346">
        <v>40.0</v>
      </c>
    </row>
    <row r="768" hidden="1" outlineLevel="2">
      <c r="A768" s="54" t="s">
        <v>57</v>
      </c>
      <c r="B768" s="252">
        <f t="shared" ref="B768:I768" si="295">B766/B767</f>
        <v>0.9872972973</v>
      </c>
      <c r="C768" s="253">
        <f t="shared" si="295"/>
        <v>1.036578947</v>
      </c>
      <c r="D768" s="253">
        <f t="shared" si="295"/>
        <v>1.009</v>
      </c>
      <c r="E768" s="253">
        <f t="shared" si="295"/>
        <v>1.068648649</v>
      </c>
      <c r="F768" s="253">
        <f t="shared" si="295"/>
        <v>1.01</v>
      </c>
      <c r="G768" s="253">
        <f t="shared" si="295"/>
        <v>1.02675</v>
      </c>
      <c r="H768" s="253">
        <f t="shared" si="295"/>
        <v>1.0015</v>
      </c>
      <c r="I768" s="256">
        <f t="shared" si="295"/>
        <v>1.00275</v>
      </c>
    </row>
    <row r="769" hidden="1" outlineLevel="2">
      <c r="A769" s="32" t="s">
        <v>66</v>
      </c>
      <c r="B769" s="34"/>
      <c r="C769" s="2"/>
      <c r="D769" s="2"/>
      <c r="E769" s="2"/>
      <c r="F769" s="2"/>
      <c r="G769" s="2"/>
      <c r="H769" s="2"/>
      <c r="I769" s="36"/>
    </row>
    <row r="770" hidden="1" outlineLevel="2">
      <c r="A770" s="64" t="s">
        <v>67</v>
      </c>
      <c r="B770" s="246">
        <v>40.0</v>
      </c>
      <c r="C770" s="247">
        <v>40.0</v>
      </c>
      <c r="D770" s="247">
        <v>40.0</v>
      </c>
      <c r="E770" s="247">
        <v>40.0</v>
      </c>
      <c r="F770" s="247">
        <v>40.0</v>
      </c>
      <c r="G770" s="247">
        <v>40.0</v>
      </c>
      <c r="H770" s="247">
        <v>40.0</v>
      </c>
      <c r="I770" s="248">
        <v>34.0</v>
      </c>
    </row>
    <row r="771" hidden="1" outlineLevel="2">
      <c r="A771" s="69" t="s">
        <v>72</v>
      </c>
      <c r="B771" s="186">
        <v>40.0</v>
      </c>
      <c r="C771" s="187">
        <v>40.0</v>
      </c>
      <c r="D771" s="187">
        <v>40.0</v>
      </c>
      <c r="E771" s="187">
        <v>40.0</v>
      </c>
      <c r="F771" s="187">
        <v>40.0</v>
      </c>
      <c r="G771" s="187">
        <v>40.0</v>
      </c>
      <c r="H771" s="187">
        <v>40.0</v>
      </c>
      <c r="I771" s="188">
        <v>40.0</v>
      </c>
    </row>
    <row r="772" hidden="1" outlineLevel="2">
      <c r="A772" s="54" t="s">
        <v>74</v>
      </c>
      <c r="B772" s="252">
        <f t="shared" ref="B772:I772" si="296">B770/B771</f>
        <v>1</v>
      </c>
      <c r="C772" s="253">
        <f t="shared" si="296"/>
        <v>1</v>
      </c>
      <c r="D772" s="253">
        <f t="shared" si="296"/>
        <v>1</v>
      </c>
      <c r="E772" s="253">
        <f t="shared" si="296"/>
        <v>1</v>
      </c>
      <c r="F772" s="253">
        <f t="shared" si="296"/>
        <v>1</v>
      </c>
      <c r="G772" s="253">
        <f t="shared" si="296"/>
        <v>1</v>
      </c>
      <c r="H772" s="253">
        <f t="shared" si="296"/>
        <v>1</v>
      </c>
      <c r="I772" s="256">
        <f t="shared" si="296"/>
        <v>0.85</v>
      </c>
    </row>
    <row r="773" hidden="1" outlineLevel="2">
      <c r="A773" s="32" t="s">
        <v>75</v>
      </c>
      <c r="B773" s="34"/>
      <c r="C773" s="2"/>
      <c r="D773" s="2"/>
      <c r="E773" s="2"/>
      <c r="F773" s="2"/>
      <c r="G773" s="2"/>
      <c r="H773" s="2"/>
      <c r="I773" s="36"/>
    </row>
    <row r="774" hidden="1" outlineLevel="2">
      <c r="A774" s="64" t="s">
        <v>76</v>
      </c>
      <c r="B774" s="185" t="s">
        <v>79</v>
      </c>
      <c r="C774" s="77" t="s">
        <v>80</v>
      </c>
      <c r="D774" s="77" t="s">
        <v>79</v>
      </c>
      <c r="E774" s="78" t="s">
        <v>79</v>
      </c>
      <c r="F774" s="78" t="s">
        <v>79</v>
      </c>
      <c r="G774" s="77" t="s">
        <v>80</v>
      </c>
      <c r="H774" s="78" t="s">
        <v>79</v>
      </c>
      <c r="I774" s="79" t="s">
        <v>79</v>
      </c>
    </row>
    <row r="775" hidden="1" outlineLevel="2">
      <c r="A775" s="64" t="s">
        <v>81</v>
      </c>
      <c r="B775" s="185" t="s">
        <v>83</v>
      </c>
      <c r="C775" s="78" t="s">
        <v>85</v>
      </c>
      <c r="D775" s="78" t="s">
        <v>83</v>
      </c>
      <c r="E775" s="78" t="s">
        <v>85</v>
      </c>
      <c r="F775" s="78" t="s">
        <v>83</v>
      </c>
      <c r="G775" s="78" t="s">
        <v>85</v>
      </c>
      <c r="H775" s="78" t="s">
        <v>85</v>
      </c>
      <c r="I775" s="79" t="s">
        <v>85</v>
      </c>
    </row>
    <row r="776" hidden="1" outlineLevel="2">
      <c r="A776" s="64" t="s">
        <v>86</v>
      </c>
      <c r="B776" s="194">
        <f>IF(B766&lt;B767,B767,B766) *
IF(B774="AM",
    IF(B775="Oricle",3.5,
    IF(B775="Other Brands",4,
    IF(B775="Oricle Prio",0.6,""))),
 IF(B774="MID",
    IF(B775="Oricle",2.5,
    IF(B775="Other Brands",3,
    IF(B775="Oricle Prio",0.6,""))),
 IF(B774="GY",
    IF(B775="Oricle",1,
    IF(B775="Other Brands",1,
    IF(B775="Oricle Prio",0.3,""))),"")))-10</f>
        <v>101</v>
      </c>
      <c r="C776" s="204">
        <f>IF(C766&lt;C767,C767,C766) *
IF(C774="AM",
    IF(C775="Oricle",3,
    IF(C775="Other Brands",4,
    IF(C775="Oricle Prio",0.6,""))),
 IF(C774="MID",
    IF(C775="Oricle",2.5,
    IF(C775="Other Brands",3,
    IF(C775="Oricle Prio",0.6,""))),
 IF(C774="GY",
    IF(C775="Oricle",1,
    IF(C775="Other Brands",1,
    IF(C775="Oricle Prio",0.3,""))),"")))</f>
        <v>118.17</v>
      </c>
      <c r="D776" s="204">
        <f>IF(D766&lt;D767,D767,D766) *
IF(D774="AM",
    IF(D775="Oricle",3.5,
    IF(D775="Other Brands",4,
    IF(D775="Oricle Prio",0.6,""))),
 IF(D774="MID",
    IF(D775="Oricle",2.5,
    IF(D775="Other Brands",3,
    IF(D775="Oricle Prio",0.6,""))),
 IF(D774="GY",
    IF(D775="Oricle",1,
    IF(D775="Other Brands",1,
    IF(D775="Oricle Prio",0.3,""))),"")))</f>
        <v>121.08</v>
      </c>
      <c r="E776" s="204">
        <f>IF(E766&lt;E767,E767,E766) *
IF(E774="AM",
    IF(E775="Oricle",3.5,
    IF(E775="Other Brands",4,
    IF(E775="Oricle Prio",0.6,""))),
 IF(E774="MID",
    IF(E775="Oricle",2.5,
    IF(E775="Other Brands",3,
    IF(E775="Oricle Prio",0.6,""))),
 IF(E774="GY",
    IF(E775="Oricle",1,
    IF(E775="Other Brands",1,
    IF(E775="Oricle Prio",0.3,""))),"")))-15</f>
        <v>83.85</v>
      </c>
      <c r="F776" s="204">
        <f>IF(F766&lt;F767,F767,F766) *
IF(F774="AM",
    IF(F775="Oricle",3.5,
    IF(F775="Other Brands",4,
    IF(F775="Oricle Prio",0.6,""))),
 IF(F774="MID",
    IF(F775="Oricle",2.5,
    IF(F775="Other Brands",3,
    IF(F775="Oricle Prio",0.6,""))),
 IF(F774="GY",
    IF(F775="Oricle",1,
    IF(F775="Other Brands",1,
    IF(F775="Oricle Prio",0.3,""))),"")))</f>
        <v>112.11</v>
      </c>
      <c r="G776" s="204">
        <f t="shared" ref="G776:H776" si="297">IF(G766&lt;G767,G767,G766) *
IF(G774="AM",
    IF(G775="Oricle",3,
    IF(G775="Other Brands",4,
    IF(G775="Oricle Prio",0.6,""))),
 IF(G774="MID",
    IF(G775="Oricle",2.5,
    IF(G775="Other Brands",3,
    IF(G775="Oricle Prio",0.6,""))),
 IF(G774="GY",
    IF(G775="Oricle",1,
    IF(G775="Other Brands",1,
    IF(G775="Oricle Prio",0.3,""))),"")))</f>
        <v>123.21</v>
      </c>
      <c r="H776" s="204">
        <f t="shared" si="297"/>
        <v>100.15</v>
      </c>
      <c r="I776" s="204">
        <f>IF(I766&lt;I767,I767,I766) *
IF(I774="AM",
    IF(I775="Oricle",3.5,
    IF(I775="Other Brands",4,
    IF(I775="Oricle Prio",0.6,""))),
 IF(I774="MID",
    IF(I775="Oricle",2.5,
    IF(I775="Other Brands",3,
    IF(I775="Oricle Prio",0.6,""))),
 IF(I774="GY",
    IF(I775="Oricle",1,
    IF(I775="Other Brands",1,
    IF(I775="Oricle Prio",0.3,""))),"")))</f>
        <v>100.275</v>
      </c>
    </row>
    <row r="777" hidden="1" outlineLevel="2">
      <c r="A777" s="64" t="s">
        <v>98</v>
      </c>
      <c r="B777" s="266" t="s">
        <v>203</v>
      </c>
      <c r="C777" s="77" t="s">
        <v>1001</v>
      </c>
      <c r="D777" s="77" t="s">
        <v>105</v>
      </c>
      <c r="E777" s="77" t="s">
        <v>743</v>
      </c>
      <c r="F777" s="77" t="s">
        <v>974</v>
      </c>
      <c r="G777" s="77" t="s">
        <v>561</v>
      </c>
      <c r="H777" s="77" t="s">
        <v>296</v>
      </c>
      <c r="I777" s="77" t="s">
        <v>522</v>
      </c>
    </row>
    <row r="778" hidden="1" outlineLevel="2">
      <c r="A778" s="64" t="s">
        <v>107</v>
      </c>
      <c r="B778" s="266" t="s">
        <v>591</v>
      </c>
      <c r="C778" s="77" t="s">
        <v>372</v>
      </c>
      <c r="D778" s="77" t="s">
        <v>205</v>
      </c>
      <c r="E778" s="77" t="s">
        <v>640</v>
      </c>
      <c r="F778" s="77" t="s">
        <v>1003</v>
      </c>
      <c r="G778" s="77" t="s">
        <v>110</v>
      </c>
      <c r="H778" s="77" t="s">
        <v>518</v>
      </c>
      <c r="I778" s="77" t="s">
        <v>639</v>
      </c>
    </row>
    <row r="779" hidden="1" outlineLevel="2">
      <c r="A779" s="69" t="s">
        <v>115</v>
      </c>
      <c r="B779" s="108">
        <f t="shared" ref="B779:I779" si="298">IF(B777&gt;0,B778/B777,0)</f>
        <v>0.9777777778</v>
      </c>
      <c r="C779" s="110">
        <f t="shared" si="298"/>
        <v>0.982300885</v>
      </c>
      <c r="D779" s="110">
        <f t="shared" si="298"/>
        <v>0.976744186</v>
      </c>
      <c r="E779" s="110">
        <f t="shared" si="298"/>
        <v>0.9841269841</v>
      </c>
      <c r="F779" s="110">
        <f t="shared" si="298"/>
        <v>0.987654321</v>
      </c>
      <c r="G779" s="110">
        <f t="shared" si="298"/>
        <v>0.9776119403</v>
      </c>
      <c r="H779" s="110">
        <f t="shared" si="298"/>
        <v>0.9722222222</v>
      </c>
      <c r="I779" s="111">
        <f t="shared" si="298"/>
        <v>0.9764705882</v>
      </c>
    </row>
    <row r="780" hidden="1" outlineLevel="2">
      <c r="A780" s="69" t="s">
        <v>119</v>
      </c>
      <c r="B780" s="108">
        <f t="shared" ref="B780:I780" si="299">IF(B776&gt;0,B778/B776,0)</f>
        <v>0.8712871287</v>
      </c>
      <c r="C780" s="110">
        <f t="shared" si="299"/>
        <v>0.9393247017</v>
      </c>
      <c r="D780" s="110">
        <f t="shared" si="299"/>
        <v>1.040634291</v>
      </c>
      <c r="E780" s="110">
        <f t="shared" si="299"/>
        <v>0.7394156231</v>
      </c>
      <c r="F780" s="110">
        <f t="shared" si="299"/>
        <v>0.713584872</v>
      </c>
      <c r="G780" s="110">
        <f t="shared" si="299"/>
        <v>1.063225388</v>
      </c>
      <c r="H780" s="110">
        <f t="shared" si="299"/>
        <v>1.048427359</v>
      </c>
      <c r="I780" s="111">
        <f t="shared" si="299"/>
        <v>0.8277237597</v>
      </c>
    </row>
    <row r="781" hidden="1" outlineLevel="2">
      <c r="A781" s="116" t="s">
        <v>82</v>
      </c>
      <c r="B781" s="252">
        <f t="shared" ref="B781:I781" si="300">average(B779:B780)</f>
        <v>0.9245324532</v>
      </c>
      <c r="C781" s="253">
        <f t="shared" si="300"/>
        <v>0.9608127933</v>
      </c>
      <c r="D781" s="253">
        <f t="shared" si="300"/>
        <v>1.008689239</v>
      </c>
      <c r="E781" s="253">
        <f t="shared" si="300"/>
        <v>0.8617713036</v>
      </c>
      <c r="F781" s="253">
        <f t="shared" si="300"/>
        <v>0.8506195965</v>
      </c>
      <c r="G781" s="253">
        <f t="shared" si="300"/>
        <v>1.020418664</v>
      </c>
      <c r="H781" s="253">
        <f t="shared" si="300"/>
        <v>1.010324791</v>
      </c>
      <c r="I781" s="256">
        <f t="shared" si="300"/>
        <v>0.9020971739</v>
      </c>
    </row>
    <row r="782" hidden="1" outlineLevel="2">
      <c r="A782" s="32" t="s">
        <v>121</v>
      </c>
      <c r="B782" s="316"/>
      <c r="C782" s="2"/>
      <c r="D782" s="2"/>
      <c r="E782" s="2"/>
      <c r="F782" s="2"/>
      <c r="G782" s="2"/>
      <c r="H782" s="2"/>
      <c r="I782" s="3"/>
    </row>
    <row r="783" hidden="1" outlineLevel="2">
      <c r="A783" s="64" t="s">
        <v>122</v>
      </c>
      <c r="B783" s="246">
        <v>9.66</v>
      </c>
      <c r="C783" s="247">
        <v>8.42</v>
      </c>
      <c r="D783" s="247">
        <v>9.59</v>
      </c>
      <c r="E783" s="247">
        <v>10.0</v>
      </c>
      <c r="F783" s="247">
        <v>10.0</v>
      </c>
      <c r="G783" s="247">
        <v>9.25</v>
      </c>
      <c r="H783" s="247">
        <v>9.43</v>
      </c>
      <c r="I783" s="247">
        <v>8.58</v>
      </c>
    </row>
    <row r="784" hidden="1" outlineLevel="2">
      <c r="A784" s="69" t="s">
        <v>128</v>
      </c>
      <c r="B784" s="119">
        <v>10.0</v>
      </c>
      <c r="C784" s="120">
        <v>10.0</v>
      </c>
      <c r="D784" s="120">
        <v>10.0</v>
      </c>
      <c r="E784" s="120">
        <v>10.0</v>
      </c>
      <c r="F784" s="120">
        <v>10.0</v>
      </c>
      <c r="G784" s="120">
        <v>10.0</v>
      </c>
      <c r="H784" s="120">
        <v>10.0</v>
      </c>
      <c r="I784" s="121">
        <v>10.0</v>
      </c>
    </row>
    <row r="785" hidden="1" outlineLevel="2">
      <c r="A785" s="54" t="s">
        <v>130</v>
      </c>
      <c r="B785" s="252">
        <f t="shared" ref="B785:I785" si="301">IF(B783=0,0,B783/B784)</f>
        <v>0.966</v>
      </c>
      <c r="C785" s="253">
        <f t="shared" si="301"/>
        <v>0.842</v>
      </c>
      <c r="D785" s="253">
        <f t="shared" si="301"/>
        <v>0.959</v>
      </c>
      <c r="E785" s="253">
        <f t="shared" si="301"/>
        <v>1</v>
      </c>
      <c r="F785" s="253">
        <f t="shared" si="301"/>
        <v>1</v>
      </c>
      <c r="G785" s="253">
        <f t="shared" si="301"/>
        <v>0.925</v>
      </c>
      <c r="H785" s="253">
        <f t="shared" si="301"/>
        <v>0.943</v>
      </c>
      <c r="I785" s="256">
        <f t="shared" si="301"/>
        <v>0.858</v>
      </c>
    </row>
    <row r="786" hidden="1" outlineLevel="2">
      <c r="A786" s="32" t="s">
        <v>131</v>
      </c>
      <c r="B786" s="34"/>
      <c r="C786" s="2"/>
      <c r="D786" s="2"/>
      <c r="E786" s="2"/>
      <c r="F786" s="2"/>
      <c r="G786" s="2"/>
      <c r="H786" s="2"/>
      <c r="I786" s="36"/>
    </row>
    <row r="787" hidden="1" outlineLevel="2">
      <c r="A787" s="64" t="s">
        <v>132</v>
      </c>
      <c r="B787" s="312"/>
      <c r="C787" s="313"/>
      <c r="D787" s="332"/>
      <c r="E787" s="313"/>
      <c r="F787" s="313"/>
      <c r="G787" s="313"/>
      <c r="H787" s="313"/>
      <c r="I787" s="314"/>
    </row>
    <row r="788" hidden="1" outlineLevel="2">
      <c r="A788" s="127" t="s">
        <v>134</v>
      </c>
      <c r="B788" s="34"/>
      <c r="C788" s="2"/>
      <c r="D788" s="2"/>
      <c r="E788" s="2"/>
      <c r="F788" s="2"/>
      <c r="G788" s="2"/>
      <c r="H788" s="2"/>
      <c r="I788" s="36"/>
    </row>
    <row r="789" hidden="1" outlineLevel="2">
      <c r="A789" s="69" t="s">
        <v>136</v>
      </c>
      <c r="B789" s="129">
        <f t="shared" ref="B789:I789" si="302">B768*25</f>
        <v>24.68243243</v>
      </c>
      <c r="C789" s="130">
        <f t="shared" si="302"/>
        <v>25.91447368</v>
      </c>
      <c r="D789" s="130">
        <f t="shared" si="302"/>
        <v>25.225</v>
      </c>
      <c r="E789" s="130">
        <f t="shared" si="302"/>
        <v>26.71621622</v>
      </c>
      <c r="F789" s="130">
        <f t="shared" si="302"/>
        <v>25.25</v>
      </c>
      <c r="G789" s="130">
        <f t="shared" si="302"/>
        <v>25.66875</v>
      </c>
      <c r="H789" s="130">
        <f t="shared" si="302"/>
        <v>25.0375</v>
      </c>
      <c r="I789" s="132">
        <f t="shared" si="302"/>
        <v>25.06875</v>
      </c>
    </row>
    <row r="790" hidden="1" outlineLevel="2">
      <c r="A790" s="69" t="s">
        <v>144</v>
      </c>
      <c r="B790" s="129">
        <f t="shared" ref="B790:I790" si="303">B772*35</f>
        <v>35</v>
      </c>
      <c r="C790" s="130">
        <f t="shared" si="303"/>
        <v>35</v>
      </c>
      <c r="D790" s="130">
        <f t="shared" si="303"/>
        <v>35</v>
      </c>
      <c r="E790" s="130">
        <f t="shared" si="303"/>
        <v>35</v>
      </c>
      <c r="F790" s="130">
        <f t="shared" si="303"/>
        <v>35</v>
      </c>
      <c r="G790" s="130">
        <f t="shared" si="303"/>
        <v>35</v>
      </c>
      <c r="H790" s="130">
        <f t="shared" si="303"/>
        <v>35</v>
      </c>
      <c r="I790" s="132">
        <f t="shared" si="303"/>
        <v>29.75</v>
      </c>
    </row>
    <row r="791" hidden="1" outlineLevel="2">
      <c r="A791" s="69" t="s">
        <v>146</v>
      </c>
      <c r="B791" s="129">
        <f t="shared" ref="B791:I791" si="304">IF(AND(B772&lt;85%, B781&gt;100%), 25, B781*25)</f>
        <v>23.11331133</v>
      </c>
      <c r="C791" s="130">
        <f t="shared" si="304"/>
        <v>24.02031983</v>
      </c>
      <c r="D791" s="130">
        <f t="shared" si="304"/>
        <v>25.21723097</v>
      </c>
      <c r="E791" s="130">
        <f t="shared" si="304"/>
        <v>21.54428259</v>
      </c>
      <c r="F791" s="130">
        <f t="shared" si="304"/>
        <v>21.26548991</v>
      </c>
      <c r="G791" s="130">
        <f t="shared" si="304"/>
        <v>25.5104666</v>
      </c>
      <c r="H791" s="130">
        <f t="shared" si="304"/>
        <v>25.25811976</v>
      </c>
      <c r="I791" s="132">
        <f t="shared" si="304"/>
        <v>22.55242935</v>
      </c>
    </row>
    <row r="792" hidden="1" outlineLevel="2">
      <c r="A792" s="69" t="s">
        <v>148</v>
      </c>
      <c r="B792" s="129">
        <f t="shared" ref="B792:I792" si="305">B785*15</f>
        <v>14.49</v>
      </c>
      <c r="C792" s="130">
        <f t="shared" si="305"/>
        <v>12.63</v>
      </c>
      <c r="D792" s="130">
        <f t="shared" si="305"/>
        <v>14.385</v>
      </c>
      <c r="E792" s="130">
        <f t="shared" si="305"/>
        <v>15</v>
      </c>
      <c r="F792" s="130">
        <f t="shared" si="305"/>
        <v>15</v>
      </c>
      <c r="G792" s="130">
        <f t="shared" si="305"/>
        <v>13.875</v>
      </c>
      <c r="H792" s="130">
        <f t="shared" si="305"/>
        <v>14.145</v>
      </c>
      <c r="I792" s="132">
        <f t="shared" si="305"/>
        <v>12.87</v>
      </c>
    </row>
    <row r="793" hidden="1" outlineLevel="2">
      <c r="A793" s="69" t="s">
        <v>149</v>
      </c>
      <c r="B793" s="129">
        <f t="shared" ref="B793:I793" si="306">B787*-10</f>
        <v>0</v>
      </c>
      <c r="C793" s="130">
        <f t="shared" si="306"/>
        <v>0</v>
      </c>
      <c r="D793" s="130">
        <f t="shared" si="306"/>
        <v>0</v>
      </c>
      <c r="E793" s="130">
        <f t="shared" si="306"/>
        <v>0</v>
      </c>
      <c r="F793" s="130">
        <f t="shared" si="306"/>
        <v>0</v>
      </c>
      <c r="G793" s="130">
        <f t="shared" si="306"/>
        <v>0</v>
      </c>
      <c r="H793" s="130">
        <f t="shared" si="306"/>
        <v>0</v>
      </c>
      <c r="I793" s="132">
        <f t="shared" si="306"/>
        <v>0</v>
      </c>
    </row>
    <row r="794" hidden="1" outlineLevel="2">
      <c r="A794" s="142" t="s">
        <v>150</v>
      </c>
      <c r="B794" s="129">
        <f t="shared" ref="B794:I794" si="307">B789+B790+B791+B792+B793</f>
        <v>97.28574376</v>
      </c>
      <c r="C794" s="130">
        <f t="shared" si="307"/>
        <v>97.56479352</v>
      </c>
      <c r="D794" s="130">
        <f t="shared" si="307"/>
        <v>99.82723097</v>
      </c>
      <c r="E794" s="130">
        <f t="shared" si="307"/>
        <v>98.26049881</v>
      </c>
      <c r="F794" s="130">
        <f t="shared" si="307"/>
        <v>96.51548991</v>
      </c>
      <c r="G794" s="130">
        <f t="shared" si="307"/>
        <v>100.0542166</v>
      </c>
      <c r="H794" s="130">
        <f t="shared" si="307"/>
        <v>99.44061976</v>
      </c>
      <c r="I794" s="132">
        <f t="shared" si="307"/>
        <v>90.24117935</v>
      </c>
    </row>
    <row r="795" hidden="1" outlineLevel="2">
      <c r="A795" s="54" t="s">
        <v>152</v>
      </c>
      <c r="B795" s="58">
        <f t="shared" ref="B795:I795" si="308">B794/100</f>
        <v>0.9728574376</v>
      </c>
      <c r="C795" s="61">
        <f t="shared" si="308"/>
        <v>0.9756479352</v>
      </c>
      <c r="D795" s="378">
        <f t="shared" si="308"/>
        <v>0.9982723097</v>
      </c>
      <c r="E795" s="61">
        <f t="shared" si="308"/>
        <v>0.9826049881</v>
      </c>
      <c r="F795" s="61">
        <f t="shared" si="308"/>
        <v>0.9651548991</v>
      </c>
      <c r="G795" s="61">
        <f t="shared" si="308"/>
        <v>1.000542166</v>
      </c>
      <c r="H795" s="61">
        <f t="shared" si="308"/>
        <v>0.9944061976</v>
      </c>
      <c r="I795" s="62">
        <f t="shared" si="308"/>
        <v>0.9024117935</v>
      </c>
    </row>
    <row r="796" hidden="1" outlineLevel="2">
      <c r="A796" s="127" t="s">
        <v>154</v>
      </c>
      <c r="B796" s="349" t="s">
        <v>155</v>
      </c>
      <c r="C796" s="350" t="s">
        <v>155</v>
      </c>
      <c r="D796" s="350" t="s">
        <v>155</v>
      </c>
      <c r="E796" s="350" t="s">
        <v>155</v>
      </c>
      <c r="F796" s="350" t="s">
        <v>155</v>
      </c>
      <c r="G796" s="350" t="s">
        <v>156</v>
      </c>
      <c r="H796" s="350" t="s">
        <v>155</v>
      </c>
      <c r="I796" s="350" t="s">
        <v>155</v>
      </c>
    </row>
    <row r="797" hidden="1" outlineLevel="2">
      <c r="A797" s="127" t="s">
        <v>158</v>
      </c>
      <c r="B797" s="156"/>
      <c r="C797" s="157"/>
      <c r="D797" s="337"/>
      <c r="E797" s="157"/>
      <c r="F797" s="157"/>
      <c r="G797" s="157"/>
      <c r="H797" s="157"/>
      <c r="I797" s="352"/>
    </row>
    <row r="798" hidden="1" outlineLevel="1">
      <c r="A798" s="12"/>
      <c r="B798" s="13" t="s">
        <v>1020</v>
      </c>
      <c r="C798" s="14"/>
      <c r="D798" s="14"/>
      <c r="E798" s="14"/>
      <c r="F798" s="14"/>
      <c r="G798" s="14"/>
      <c r="H798" s="14"/>
      <c r="I798" s="15"/>
    </row>
    <row r="799" hidden="1" outlineLevel="1">
      <c r="A799" s="164"/>
      <c r="B799" s="302" t="s">
        <v>29</v>
      </c>
      <c r="C799" s="303" t="s">
        <v>4</v>
      </c>
      <c r="D799" s="303" t="s">
        <v>19</v>
      </c>
      <c r="E799" s="303" t="s">
        <v>30</v>
      </c>
      <c r="F799" s="303" t="s">
        <v>31</v>
      </c>
      <c r="G799" s="304" t="s">
        <v>32</v>
      </c>
      <c r="H799" s="305" t="s">
        <v>13</v>
      </c>
      <c r="I799" s="305" t="s">
        <v>350</v>
      </c>
    </row>
    <row r="800" hidden="1" outlineLevel="1">
      <c r="A800" s="25" t="s">
        <v>36</v>
      </c>
      <c r="B800" s="243" t="s">
        <v>1020</v>
      </c>
      <c r="C800" s="244"/>
      <c r="D800" s="244"/>
      <c r="E800" s="244"/>
      <c r="F800" s="244"/>
      <c r="G800" s="244"/>
      <c r="H800" s="244"/>
      <c r="I800" s="245"/>
    </row>
    <row r="801" hidden="1" outlineLevel="1">
      <c r="A801" s="32" t="s">
        <v>45</v>
      </c>
      <c r="B801" s="34"/>
      <c r="C801" s="2"/>
      <c r="D801" s="2"/>
      <c r="E801" s="2"/>
      <c r="F801" s="2"/>
      <c r="G801" s="2"/>
      <c r="H801" s="2"/>
      <c r="I801" s="36"/>
    </row>
    <row r="802" hidden="1" outlineLevel="1">
      <c r="A802" s="38" t="s">
        <v>49</v>
      </c>
      <c r="B802" s="246">
        <v>36.54</v>
      </c>
      <c r="C802" s="247">
        <v>40.4</v>
      </c>
      <c r="D802" s="247">
        <v>41.13</v>
      </c>
      <c r="E802" s="247">
        <v>40.05</v>
      </c>
      <c r="F802" s="247">
        <v>39.33</v>
      </c>
      <c r="G802" s="247">
        <v>41.09</v>
      </c>
      <c r="H802" s="247">
        <v>30.03</v>
      </c>
      <c r="I802" s="345">
        <v>39.55</v>
      </c>
    </row>
    <row r="803" hidden="1" outlineLevel="1">
      <c r="A803" s="49" t="s">
        <v>53</v>
      </c>
      <c r="B803" s="250">
        <v>37.0</v>
      </c>
      <c r="C803" s="250">
        <v>38.0</v>
      </c>
      <c r="D803" s="51">
        <v>40.0</v>
      </c>
      <c r="E803" s="250">
        <v>37.0</v>
      </c>
      <c r="F803" s="250">
        <v>37.0</v>
      </c>
      <c r="G803" s="250">
        <v>40.0</v>
      </c>
      <c r="H803" s="250">
        <v>40.0</v>
      </c>
      <c r="I803" s="346">
        <v>40.0</v>
      </c>
    </row>
    <row r="804" hidden="1" outlineLevel="1">
      <c r="A804" s="54" t="s">
        <v>57</v>
      </c>
      <c r="B804" s="252">
        <f t="shared" ref="B804:I804" si="309">B802/B803</f>
        <v>0.9875675676</v>
      </c>
      <c r="C804" s="253">
        <f t="shared" si="309"/>
        <v>1.063157895</v>
      </c>
      <c r="D804" s="253">
        <f t="shared" si="309"/>
        <v>1.02825</v>
      </c>
      <c r="E804" s="253">
        <f t="shared" si="309"/>
        <v>1.082432432</v>
      </c>
      <c r="F804" s="253">
        <f t="shared" si="309"/>
        <v>1.062972973</v>
      </c>
      <c r="G804" s="253">
        <f t="shared" si="309"/>
        <v>1.02725</v>
      </c>
      <c r="H804" s="253">
        <f t="shared" si="309"/>
        <v>0.75075</v>
      </c>
      <c r="I804" s="256">
        <f t="shared" si="309"/>
        <v>0.98875</v>
      </c>
    </row>
    <row r="805" hidden="1" outlineLevel="1">
      <c r="A805" s="32" t="s">
        <v>66</v>
      </c>
      <c r="B805" s="34"/>
      <c r="C805" s="2"/>
      <c r="D805" s="2"/>
      <c r="E805" s="2"/>
      <c r="F805" s="2"/>
      <c r="G805" s="2"/>
      <c r="H805" s="2"/>
      <c r="I805" s="36"/>
    </row>
    <row r="806" hidden="1" outlineLevel="1">
      <c r="A806" s="64" t="s">
        <v>67</v>
      </c>
      <c r="B806" s="246">
        <v>40.0</v>
      </c>
      <c r="C806" s="247">
        <v>40.0</v>
      </c>
      <c r="D806" s="247">
        <v>25.0</v>
      </c>
      <c r="E806" s="247">
        <v>40.0</v>
      </c>
      <c r="F806" s="247">
        <v>40.0</v>
      </c>
      <c r="G806" s="247">
        <v>39.53</v>
      </c>
      <c r="H806" s="247">
        <v>40.0</v>
      </c>
      <c r="I806" s="248">
        <v>40.0</v>
      </c>
    </row>
    <row r="807" hidden="1" outlineLevel="1">
      <c r="A807" s="69" t="s">
        <v>72</v>
      </c>
      <c r="B807" s="186">
        <v>40.0</v>
      </c>
      <c r="C807" s="187">
        <v>40.0</v>
      </c>
      <c r="D807" s="187">
        <v>40.0</v>
      </c>
      <c r="E807" s="187">
        <v>40.0</v>
      </c>
      <c r="F807" s="187">
        <v>40.0</v>
      </c>
      <c r="G807" s="187">
        <v>40.0</v>
      </c>
      <c r="H807" s="187">
        <v>40.0</v>
      </c>
      <c r="I807" s="188">
        <v>40.0</v>
      </c>
    </row>
    <row r="808" hidden="1" outlineLevel="1">
      <c r="A808" s="54" t="s">
        <v>74</v>
      </c>
      <c r="B808" s="252">
        <f t="shared" ref="B808:I808" si="310">B806/B807</f>
        <v>1</v>
      </c>
      <c r="C808" s="253">
        <f t="shared" si="310"/>
        <v>1</v>
      </c>
      <c r="D808" s="253">
        <f t="shared" si="310"/>
        <v>0.625</v>
      </c>
      <c r="E808" s="253">
        <f t="shared" si="310"/>
        <v>1</v>
      </c>
      <c r="F808" s="253">
        <f t="shared" si="310"/>
        <v>1</v>
      </c>
      <c r="G808" s="253">
        <f t="shared" si="310"/>
        <v>0.98825</v>
      </c>
      <c r="H808" s="253">
        <f t="shared" si="310"/>
        <v>1</v>
      </c>
      <c r="I808" s="256">
        <f t="shared" si="310"/>
        <v>1</v>
      </c>
    </row>
    <row r="809" hidden="1" outlineLevel="1">
      <c r="A809" s="32" t="s">
        <v>75</v>
      </c>
      <c r="B809" s="34"/>
      <c r="C809" s="2"/>
      <c r="D809" s="2"/>
      <c r="E809" s="2"/>
      <c r="F809" s="2"/>
      <c r="G809" s="2"/>
      <c r="H809" s="2"/>
      <c r="I809" s="36"/>
    </row>
    <row r="810" hidden="1" outlineLevel="1">
      <c r="A810" s="64" t="s">
        <v>76</v>
      </c>
      <c r="B810" s="185" t="s">
        <v>79</v>
      </c>
      <c r="C810" s="77" t="s">
        <v>80</v>
      </c>
      <c r="D810" s="77" t="s">
        <v>79</v>
      </c>
      <c r="E810" s="78" t="s">
        <v>79</v>
      </c>
      <c r="F810" s="78" t="s">
        <v>79</v>
      </c>
      <c r="G810" s="77" t="s">
        <v>80</v>
      </c>
      <c r="H810" s="78" t="s">
        <v>79</v>
      </c>
      <c r="I810" s="79" t="s">
        <v>79</v>
      </c>
    </row>
    <row r="811" hidden="1" outlineLevel="1">
      <c r="A811" s="64" t="s">
        <v>81</v>
      </c>
      <c r="B811" s="185" t="s">
        <v>83</v>
      </c>
      <c r="C811" s="78" t="s">
        <v>85</v>
      </c>
      <c r="D811" s="78" t="s">
        <v>83</v>
      </c>
      <c r="E811" s="78" t="s">
        <v>85</v>
      </c>
      <c r="F811" s="78" t="s">
        <v>83</v>
      </c>
      <c r="G811" s="78" t="s">
        <v>85</v>
      </c>
      <c r="H811" s="78" t="s">
        <v>85</v>
      </c>
      <c r="I811" s="79" t="s">
        <v>85</v>
      </c>
    </row>
    <row r="812" hidden="1" outlineLevel="1">
      <c r="A812" s="64" t="s">
        <v>86</v>
      </c>
      <c r="B812" s="194">
        <f>IF(B802&lt;B803,B803,B802) *
IF(B810="AM",
    IF(B811="Oricle",3.5,
    IF(B811="Other Brands",4,
    IF(B811="Oricle Prio",0.6,""))),
 IF(B810="MID",
    IF(B811="Oricle",2.5,
    IF(B811="Other Brands",3,
    IF(B811="Oricle Prio",0.6,""))),
 IF(B810="GY",
    IF(B811="Oricle",1,
    IF(B811="Other Brands",1,
    IF(B811="Oricle Prio",0.3,""))),"")))-10</f>
        <v>101</v>
      </c>
      <c r="C812" s="204">
        <f>IF(C802&lt;C803,C803,C802) *
IF(C810="AM",
    IF(C811="Oricle",3,
    IF(C811="Other Brands",4,
    IF(C811="Oricle Prio",0.6,""))),
 IF(C810="MID",
    IF(C811="Oricle",2.5,
    IF(C811="Other Brands",3,
    IF(C811="Oricle Prio",0.6,""))),
 IF(C810="GY",
    IF(C811="Oricle",1,
    IF(C811="Other Brands",1,
    IF(C811="Oricle Prio",0.3,""))),"")))</f>
        <v>121.2</v>
      </c>
      <c r="D812" s="204">
        <f>IF(D802&lt;D803,D803,D802) *
IF(D810="AM",
    IF(D811="Oricle",3.5,
    IF(D811="Other Brands",4,
    IF(D811="Oricle Prio",0.6,""))),
 IF(D810="MID",
    IF(D811="Oricle",2.5,
    IF(D811="Other Brands",3,
    IF(D811="Oricle Prio",0.6,""))),
 IF(D810="GY",
    IF(D811="Oricle",1,
    IF(D811="Other Brands",1,
    IF(D811="Oricle Prio",0.3,""))),"")))</f>
        <v>123.39</v>
      </c>
      <c r="E812" s="204">
        <f>IF(E802&lt;E803,E803,E802) *
IF(E810="AM",
    IF(E811="Oricle",3.5,
    IF(E811="Other Brands",4,
    IF(E811="Oricle Prio",0.6,""))),
 IF(E810="MID",
    IF(E811="Oricle",2.5,
    IF(E811="Other Brands",3,
    IF(E811="Oricle Prio",0.6,""))),
 IF(E810="GY",
    IF(E811="Oricle",1,
    IF(E811="Other Brands",1,
    IF(E811="Oricle Prio",0.3,""))),"")))-15</f>
        <v>85.125</v>
      </c>
      <c r="F812" s="204">
        <f>IF(F802&lt;F803,F803,F802) *
IF(F810="AM",
    IF(F811="Oricle",3.5,
    IF(F811="Other Brands",4,
    IF(F811="Oricle Prio",0.6,""))),
 IF(F810="MID",
    IF(F811="Oricle",2.5,
    IF(F811="Other Brands",3,
    IF(F811="Oricle Prio",0.6,""))),
 IF(F810="GY",
    IF(F811="Oricle",1,
    IF(F811="Other Brands",1,
    IF(F811="Oricle Prio",0.3,""))),"")))</f>
        <v>117.99</v>
      </c>
      <c r="G812" s="204">
        <f t="shared" ref="G812:H812" si="311">IF(G802&lt;G803,G803,G802) *
IF(G810="AM",
    IF(G811="Oricle",3,
    IF(G811="Other Brands",4,
    IF(G811="Oricle Prio",0.6,""))),
 IF(G810="MID",
    IF(G811="Oricle",2.5,
    IF(G811="Other Brands",3,
    IF(G811="Oricle Prio",0.6,""))),
 IF(G810="GY",
    IF(G811="Oricle",1,
    IF(G811="Other Brands",1,
    IF(G811="Oricle Prio",0.3,""))),"")))</f>
        <v>123.27</v>
      </c>
      <c r="H812" s="204">
        <f t="shared" si="311"/>
        <v>100</v>
      </c>
      <c r="I812" s="204">
        <f>IF(I802&lt;I803,I803,I802) *
IF(I810="AM",
    IF(I811="Oricle",3.5,
    IF(I811="Other Brands",4,
    IF(I811="Oricle Prio",0.6,""))),
 IF(I810="MID",
    IF(I811="Oricle",2.5,
    IF(I811="Other Brands",3,
    IF(I811="Oricle Prio",0.6,""))),
 IF(I810="GY",
    IF(I811="Oricle",1,
    IF(I811="Other Brands",1,
    IF(I811="Oricle Prio",0.3,""))),"")))</f>
        <v>100</v>
      </c>
    </row>
    <row r="813" hidden="1" outlineLevel="1">
      <c r="A813" s="64" t="s">
        <v>98</v>
      </c>
      <c r="B813" s="266" t="s">
        <v>442</v>
      </c>
      <c r="C813" s="77" t="s">
        <v>445</v>
      </c>
      <c r="D813" s="77" t="s">
        <v>327</v>
      </c>
      <c r="E813" s="77" t="s">
        <v>484</v>
      </c>
      <c r="F813" s="77" t="s">
        <v>521</v>
      </c>
      <c r="G813" s="77" t="s">
        <v>99</v>
      </c>
      <c r="H813" s="77" t="s">
        <v>520</v>
      </c>
      <c r="I813" s="77" t="s">
        <v>484</v>
      </c>
    </row>
    <row r="814" hidden="1" outlineLevel="1">
      <c r="A814" s="64" t="s">
        <v>107</v>
      </c>
      <c r="B814" s="266" t="s">
        <v>589</v>
      </c>
      <c r="C814" s="77" t="s">
        <v>445</v>
      </c>
      <c r="D814" s="77" t="s">
        <v>1001</v>
      </c>
      <c r="E814" s="77" t="s">
        <v>520</v>
      </c>
      <c r="F814" s="77" t="s">
        <v>301</v>
      </c>
      <c r="G814" s="77" t="s">
        <v>481</v>
      </c>
      <c r="H814" s="77" t="s">
        <v>771</v>
      </c>
      <c r="I814" s="77" t="s">
        <v>558</v>
      </c>
    </row>
    <row r="815" hidden="1" outlineLevel="1">
      <c r="A815" s="69" t="s">
        <v>115</v>
      </c>
      <c r="B815" s="108">
        <f t="shared" ref="B815:I815" si="312">IF(B813&gt;0,B814/B813,0)</f>
        <v>0.9454545455</v>
      </c>
      <c r="C815" s="110">
        <f t="shared" si="312"/>
        <v>1</v>
      </c>
      <c r="D815" s="110">
        <f t="shared" si="312"/>
        <v>0.974137931</v>
      </c>
      <c r="E815" s="110">
        <f t="shared" si="312"/>
        <v>0.9710144928</v>
      </c>
      <c r="F815" s="110">
        <f t="shared" si="312"/>
        <v>0.9906542056</v>
      </c>
      <c r="G815" s="110">
        <f t="shared" si="312"/>
        <v>0.9930555556</v>
      </c>
      <c r="H815" s="110">
        <f t="shared" si="312"/>
        <v>0.9701492537</v>
      </c>
      <c r="I815" s="111">
        <f t="shared" si="312"/>
        <v>0.9855072464</v>
      </c>
    </row>
    <row r="816" hidden="1" outlineLevel="1">
      <c r="A816" s="69" t="s">
        <v>119</v>
      </c>
      <c r="B816" s="108">
        <f t="shared" ref="B816:I816" si="313">IF(B812&gt;0,B814/B812,0)</f>
        <v>1.02970297</v>
      </c>
      <c r="C816" s="110">
        <f t="shared" si="313"/>
        <v>0.899339934</v>
      </c>
      <c r="D816" s="110">
        <f t="shared" si="313"/>
        <v>0.9157954453</v>
      </c>
      <c r="E816" s="110">
        <f t="shared" si="313"/>
        <v>0.7870778267</v>
      </c>
      <c r="F816" s="110">
        <f t="shared" si="313"/>
        <v>0.8983812187</v>
      </c>
      <c r="G816" s="110">
        <f t="shared" si="313"/>
        <v>1.160055163</v>
      </c>
      <c r="H816" s="110">
        <f t="shared" si="313"/>
        <v>0.65</v>
      </c>
      <c r="I816" s="111">
        <f t="shared" si="313"/>
        <v>0.68</v>
      </c>
    </row>
    <row r="817" hidden="1" outlineLevel="1">
      <c r="A817" s="116" t="s">
        <v>82</v>
      </c>
      <c r="B817" s="252">
        <f t="shared" ref="B817:I817" si="314">average(B815:B816)</f>
        <v>0.9875787579</v>
      </c>
      <c r="C817" s="253">
        <f t="shared" si="314"/>
        <v>0.949669967</v>
      </c>
      <c r="D817" s="253">
        <f t="shared" si="314"/>
        <v>0.9449666882</v>
      </c>
      <c r="E817" s="253">
        <f t="shared" si="314"/>
        <v>0.8790461597</v>
      </c>
      <c r="F817" s="253">
        <f t="shared" si="314"/>
        <v>0.9445177122</v>
      </c>
      <c r="G817" s="253">
        <f t="shared" si="314"/>
        <v>1.07655536</v>
      </c>
      <c r="H817" s="253">
        <f t="shared" si="314"/>
        <v>0.8100746269</v>
      </c>
      <c r="I817" s="256">
        <f t="shared" si="314"/>
        <v>0.8327536232</v>
      </c>
    </row>
    <row r="818" hidden="1" outlineLevel="1">
      <c r="A818" s="32" t="s">
        <v>121</v>
      </c>
      <c r="B818" s="316"/>
      <c r="C818" s="2"/>
      <c r="D818" s="2"/>
      <c r="E818" s="2"/>
      <c r="F818" s="2"/>
      <c r="G818" s="2"/>
      <c r="H818" s="2"/>
      <c r="I818" s="3"/>
    </row>
    <row r="819" hidden="1" outlineLevel="1">
      <c r="A819" s="64" t="s">
        <v>122</v>
      </c>
      <c r="B819" s="246">
        <v>9.33</v>
      </c>
      <c r="C819" s="247">
        <v>8.57</v>
      </c>
      <c r="D819" s="247">
        <v>8.62</v>
      </c>
      <c r="E819" s="247">
        <v>9.0</v>
      </c>
      <c r="F819" s="247">
        <v>10.0</v>
      </c>
      <c r="G819" s="247">
        <v>9.42</v>
      </c>
      <c r="H819" s="247">
        <v>8.27</v>
      </c>
      <c r="I819" s="247">
        <v>9.8</v>
      </c>
    </row>
    <row r="820" hidden="1" outlineLevel="1">
      <c r="A820" s="69" t="s">
        <v>128</v>
      </c>
      <c r="B820" s="119">
        <v>10.0</v>
      </c>
      <c r="C820" s="120">
        <v>10.0</v>
      </c>
      <c r="D820" s="120">
        <v>10.0</v>
      </c>
      <c r="E820" s="120">
        <v>10.0</v>
      </c>
      <c r="F820" s="120">
        <v>10.0</v>
      </c>
      <c r="G820" s="120">
        <v>10.0</v>
      </c>
      <c r="H820" s="120">
        <v>10.0</v>
      </c>
      <c r="I820" s="121">
        <v>10.0</v>
      </c>
    </row>
    <row r="821" hidden="1" outlineLevel="1">
      <c r="A821" s="54" t="s">
        <v>130</v>
      </c>
      <c r="B821" s="252">
        <f t="shared" ref="B821:I821" si="315">IF(B819=0,0,B819/B820)</f>
        <v>0.933</v>
      </c>
      <c r="C821" s="253">
        <f t="shared" si="315"/>
        <v>0.857</v>
      </c>
      <c r="D821" s="253">
        <f t="shared" si="315"/>
        <v>0.862</v>
      </c>
      <c r="E821" s="253">
        <f t="shared" si="315"/>
        <v>0.9</v>
      </c>
      <c r="F821" s="253">
        <f t="shared" si="315"/>
        <v>1</v>
      </c>
      <c r="G821" s="253">
        <f t="shared" si="315"/>
        <v>0.942</v>
      </c>
      <c r="H821" s="253">
        <f t="shared" si="315"/>
        <v>0.827</v>
      </c>
      <c r="I821" s="256">
        <f t="shared" si="315"/>
        <v>0.98</v>
      </c>
    </row>
    <row r="822" hidden="1" outlineLevel="1">
      <c r="A822" s="32" t="s">
        <v>131</v>
      </c>
      <c r="B822" s="34"/>
      <c r="C822" s="2"/>
      <c r="D822" s="2"/>
      <c r="E822" s="2"/>
      <c r="F822" s="2"/>
      <c r="G822" s="2"/>
      <c r="H822" s="2"/>
      <c r="I822" s="36"/>
    </row>
    <row r="823" hidden="1" outlineLevel="1">
      <c r="A823" s="64" t="s">
        <v>132</v>
      </c>
      <c r="B823" s="312"/>
      <c r="C823" s="313"/>
      <c r="D823" s="332"/>
      <c r="E823" s="313"/>
      <c r="F823" s="313"/>
      <c r="G823" s="313"/>
      <c r="H823" s="313"/>
      <c r="I823" s="314"/>
    </row>
    <row r="824" hidden="1" outlineLevel="1">
      <c r="A824" s="127" t="s">
        <v>134</v>
      </c>
      <c r="B824" s="34"/>
      <c r="C824" s="2"/>
      <c r="D824" s="2"/>
      <c r="E824" s="2"/>
      <c r="F824" s="2"/>
      <c r="G824" s="2"/>
      <c r="H824" s="2"/>
      <c r="I824" s="36"/>
    </row>
    <row r="825" hidden="1" outlineLevel="1">
      <c r="A825" s="69" t="s">
        <v>136</v>
      </c>
      <c r="B825" s="129">
        <f t="shared" ref="B825:I825" si="316">B804*25</f>
        <v>24.68918919</v>
      </c>
      <c r="C825" s="130">
        <f t="shared" si="316"/>
        <v>26.57894737</v>
      </c>
      <c r="D825" s="130">
        <f t="shared" si="316"/>
        <v>25.70625</v>
      </c>
      <c r="E825" s="130">
        <f t="shared" si="316"/>
        <v>27.06081081</v>
      </c>
      <c r="F825" s="130">
        <f t="shared" si="316"/>
        <v>26.57432432</v>
      </c>
      <c r="G825" s="130">
        <f t="shared" si="316"/>
        <v>25.68125</v>
      </c>
      <c r="H825" s="130">
        <f t="shared" si="316"/>
        <v>18.76875</v>
      </c>
      <c r="I825" s="132">
        <f t="shared" si="316"/>
        <v>24.71875</v>
      </c>
    </row>
    <row r="826" hidden="1" outlineLevel="1">
      <c r="A826" s="69" t="s">
        <v>144</v>
      </c>
      <c r="B826" s="129">
        <f t="shared" ref="B826:I826" si="317">B808*35</f>
        <v>35</v>
      </c>
      <c r="C826" s="130">
        <f t="shared" si="317"/>
        <v>35</v>
      </c>
      <c r="D826" s="130">
        <f t="shared" si="317"/>
        <v>21.875</v>
      </c>
      <c r="E826" s="130">
        <f t="shared" si="317"/>
        <v>35</v>
      </c>
      <c r="F826" s="130">
        <f t="shared" si="317"/>
        <v>35</v>
      </c>
      <c r="G826" s="130">
        <f t="shared" si="317"/>
        <v>34.58875</v>
      </c>
      <c r="H826" s="130">
        <f t="shared" si="317"/>
        <v>35</v>
      </c>
      <c r="I826" s="132">
        <f t="shared" si="317"/>
        <v>35</v>
      </c>
    </row>
    <row r="827" hidden="1" outlineLevel="1">
      <c r="A827" s="69" t="s">
        <v>146</v>
      </c>
      <c r="B827" s="129">
        <f t="shared" ref="B827:I827" si="318">IF(AND(B808&lt;85%, B817&gt;100%), 25, B817*25)</f>
        <v>24.68946895</v>
      </c>
      <c r="C827" s="130">
        <f t="shared" si="318"/>
        <v>23.74174917</v>
      </c>
      <c r="D827" s="130">
        <f t="shared" si="318"/>
        <v>23.6241672</v>
      </c>
      <c r="E827" s="130">
        <f t="shared" si="318"/>
        <v>21.97615399</v>
      </c>
      <c r="F827" s="130">
        <f t="shared" si="318"/>
        <v>23.6129428</v>
      </c>
      <c r="G827" s="130">
        <f t="shared" si="318"/>
        <v>26.91388399</v>
      </c>
      <c r="H827" s="130">
        <f t="shared" si="318"/>
        <v>20.25186567</v>
      </c>
      <c r="I827" s="132">
        <f t="shared" si="318"/>
        <v>20.81884058</v>
      </c>
    </row>
    <row r="828" hidden="1" outlineLevel="1">
      <c r="A828" s="69" t="s">
        <v>148</v>
      </c>
      <c r="B828" s="129">
        <f t="shared" ref="B828:I828" si="319">B821*15</f>
        <v>13.995</v>
      </c>
      <c r="C828" s="130">
        <f t="shared" si="319"/>
        <v>12.855</v>
      </c>
      <c r="D828" s="130">
        <f t="shared" si="319"/>
        <v>12.93</v>
      </c>
      <c r="E828" s="130">
        <f t="shared" si="319"/>
        <v>13.5</v>
      </c>
      <c r="F828" s="130">
        <f t="shared" si="319"/>
        <v>15</v>
      </c>
      <c r="G828" s="130">
        <f t="shared" si="319"/>
        <v>14.13</v>
      </c>
      <c r="H828" s="130">
        <f t="shared" si="319"/>
        <v>12.405</v>
      </c>
      <c r="I828" s="132">
        <f t="shared" si="319"/>
        <v>14.7</v>
      </c>
    </row>
    <row r="829" hidden="1" outlineLevel="1">
      <c r="A829" s="69" t="s">
        <v>149</v>
      </c>
      <c r="B829" s="129">
        <f t="shared" ref="B829:I829" si="320">B823*-10</f>
        <v>0</v>
      </c>
      <c r="C829" s="130">
        <f t="shared" si="320"/>
        <v>0</v>
      </c>
      <c r="D829" s="130">
        <f t="shared" si="320"/>
        <v>0</v>
      </c>
      <c r="E829" s="130">
        <f t="shared" si="320"/>
        <v>0</v>
      </c>
      <c r="F829" s="130">
        <f t="shared" si="320"/>
        <v>0</v>
      </c>
      <c r="G829" s="130">
        <f t="shared" si="320"/>
        <v>0</v>
      </c>
      <c r="H829" s="130">
        <f t="shared" si="320"/>
        <v>0</v>
      </c>
      <c r="I829" s="132">
        <f t="shared" si="320"/>
        <v>0</v>
      </c>
    </row>
    <row r="830" hidden="1" outlineLevel="1">
      <c r="A830" s="142" t="s">
        <v>150</v>
      </c>
      <c r="B830" s="129">
        <f t="shared" ref="B830:I830" si="321">B825+B826+B827+B828+B829</f>
        <v>98.37365814</v>
      </c>
      <c r="C830" s="130">
        <f t="shared" si="321"/>
        <v>98.17569654</v>
      </c>
      <c r="D830" s="130">
        <f t="shared" si="321"/>
        <v>84.1354172</v>
      </c>
      <c r="E830" s="130">
        <f t="shared" si="321"/>
        <v>97.5369648</v>
      </c>
      <c r="F830" s="130">
        <f t="shared" si="321"/>
        <v>100.1872671</v>
      </c>
      <c r="G830" s="130">
        <f t="shared" si="321"/>
        <v>101.313884</v>
      </c>
      <c r="H830" s="130">
        <f t="shared" si="321"/>
        <v>86.42561567</v>
      </c>
      <c r="I830" s="132">
        <f t="shared" si="321"/>
        <v>95.23759058</v>
      </c>
    </row>
    <row r="831" hidden="1" outlineLevel="1">
      <c r="A831" s="54" t="s">
        <v>152</v>
      </c>
      <c r="B831" s="58">
        <f t="shared" ref="B831:I831" si="322">B830/100</f>
        <v>0.9837365814</v>
      </c>
      <c r="C831" s="61">
        <f t="shared" si="322"/>
        <v>0.9817569654</v>
      </c>
      <c r="D831" s="378">
        <f t="shared" si="322"/>
        <v>0.841354172</v>
      </c>
      <c r="E831" s="61">
        <f t="shared" si="322"/>
        <v>0.975369648</v>
      </c>
      <c r="F831" s="61">
        <f t="shared" si="322"/>
        <v>1.001872671</v>
      </c>
      <c r="G831" s="61">
        <f t="shared" si="322"/>
        <v>1.01313884</v>
      </c>
      <c r="H831" s="61">
        <f t="shared" si="322"/>
        <v>0.8642561567</v>
      </c>
      <c r="I831" s="62">
        <f t="shared" si="322"/>
        <v>0.9523759058</v>
      </c>
    </row>
    <row r="832" hidden="1" outlineLevel="1">
      <c r="A832" s="127" t="s">
        <v>154</v>
      </c>
      <c r="B832" s="349" t="s">
        <v>155</v>
      </c>
      <c r="C832" s="350" t="s">
        <v>155</v>
      </c>
      <c r="D832" s="350" t="s">
        <v>155</v>
      </c>
      <c r="E832" s="350" t="s">
        <v>155</v>
      </c>
      <c r="F832" s="350" t="s">
        <v>155</v>
      </c>
      <c r="G832" s="350" t="s">
        <v>156</v>
      </c>
      <c r="H832" s="350" t="s">
        <v>155</v>
      </c>
      <c r="I832" s="350" t="s">
        <v>155</v>
      </c>
    </row>
    <row r="833" hidden="1" outlineLevel="1">
      <c r="A833" s="127" t="s">
        <v>158</v>
      </c>
      <c r="B833" s="156"/>
      <c r="C833" s="157"/>
      <c r="D833" s="337"/>
      <c r="E833" s="157"/>
      <c r="F833" s="157"/>
      <c r="G833" s="157"/>
      <c r="H833" s="157"/>
      <c r="I833" s="352"/>
    </row>
    <row r="834" collapsed="1">
      <c r="A834" s="439">
        <v>46204.0</v>
      </c>
      <c r="B834" s="419"/>
      <c r="C834" s="27"/>
      <c r="D834" s="27"/>
      <c r="E834" s="27"/>
      <c r="F834" s="27"/>
      <c r="G834" s="27"/>
      <c r="H834" s="27"/>
      <c r="I834" s="27"/>
    </row>
    <row r="835" hidden="1" outlineLevel="1" collapsed="1">
      <c r="A835" s="12"/>
      <c r="B835" s="13" t="s">
        <v>1061</v>
      </c>
      <c r="C835" s="14"/>
      <c r="D835" s="14"/>
      <c r="E835" s="14"/>
      <c r="F835" s="14"/>
      <c r="G835" s="14"/>
      <c r="H835" s="14"/>
      <c r="I835" s="15"/>
    </row>
    <row r="836" hidden="1" outlineLevel="2">
      <c r="A836" s="164"/>
      <c r="B836" s="302" t="s">
        <v>29</v>
      </c>
      <c r="C836" s="303" t="s">
        <v>4</v>
      </c>
      <c r="D836" s="303" t="s">
        <v>19</v>
      </c>
      <c r="E836" s="303" t="s">
        <v>30</v>
      </c>
      <c r="F836" s="303" t="s">
        <v>31</v>
      </c>
      <c r="G836" s="304" t="s">
        <v>32</v>
      </c>
      <c r="H836" s="305" t="s">
        <v>13</v>
      </c>
      <c r="I836" s="305" t="s">
        <v>350</v>
      </c>
    </row>
    <row r="837" hidden="1" outlineLevel="2">
      <c r="A837" s="25" t="s">
        <v>36</v>
      </c>
      <c r="B837" s="243" t="s">
        <v>1061</v>
      </c>
      <c r="C837" s="244"/>
      <c r="D837" s="244"/>
      <c r="E837" s="244"/>
      <c r="F837" s="244"/>
      <c r="G837" s="244"/>
      <c r="H837" s="244"/>
      <c r="I837" s="245"/>
    </row>
    <row r="838" hidden="1" outlineLevel="2">
      <c r="A838" s="32" t="s">
        <v>45</v>
      </c>
      <c r="B838" s="34"/>
      <c r="C838" s="2"/>
      <c r="D838" s="2"/>
      <c r="E838" s="2"/>
      <c r="F838" s="2"/>
      <c r="G838" s="2"/>
      <c r="H838" s="2"/>
      <c r="I838" s="36"/>
    </row>
    <row r="839" hidden="1" outlineLevel="2">
      <c r="A839" s="38" t="s">
        <v>49</v>
      </c>
      <c r="B839" s="246">
        <v>40.03</v>
      </c>
      <c r="C839" s="247">
        <v>38.41</v>
      </c>
      <c r="D839" s="247">
        <v>41.11</v>
      </c>
      <c r="E839" s="247">
        <v>40.05</v>
      </c>
      <c r="F839" s="247">
        <v>36.08</v>
      </c>
      <c r="G839" s="247">
        <v>41.12</v>
      </c>
      <c r="H839" s="247">
        <v>40.51</v>
      </c>
      <c r="I839" s="345">
        <v>41.12</v>
      </c>
    </row>
    <row r="840" hidden="1" outlineLevel="2">
      <c r="A840" s="49" t="s">
        <v>53</v>
      </c>
      <c r="B840" s="250">
        <v>37.0</v>
      </c>
      <c r="C840" s="250">
        <v>38.0</v>
      </c>
      <c r="D840" s="51">
        <v>40.0</v>
      </c>
      <c r="E840" s="250">
        <v>37.0</v>
      </c>
      <c r="F840" s="250">
        <v>37.0</v>
      </c>
      <c r="G840" s="250">
        <v>40.0</v>
      </c>
      <c r="H840" s="250">
        <v>40.0</v>
      </c>
      <c r="I840" s="346">
        <v>40.0</v>
      </c>
    </row>
    <row r="841" hidden="1" outlineLevel="2">
      <c r="A841" s="54" t="s">
        <v>57</v>
      </c>
      <c r="B841" s="252">
        <f t="shared" ref="B841:I841" si="323">B839/B840</f>
        <v>1.081891892</v>
      </c>
      <c r="C841" s="253">
        <f t="shared" si="323"/>
        <v>1.010789474</v>
      </c>
      <c r="D841" s="253">
        <f t="shared" si="323"/>
        <v>1.02775</v>
      </c>
      <c r="E841" s="253">
        <f t="shared" si="323"/>
        <v>1.082432432</v>
      </c>
      <c r="F841" s="253">
        <f t="shared" si="323"/>
        <v>0.9751351351</v>
      </c>
      <c r="G841" s="253">
        <f t="shared" si="323"/>
        <v>1.028</v>
      </c>
      <c r="H841" s="253">
        <f t="shared" si="323"/>
        <v>1.01275</v>
      </c>
      <c r="I841" s="256">
        <f t="shared" si="323"/>
        <v>1.028</v>
      </c>
    </row>
    <row r="842" hidden="1" outlineLevel="2">
      <c r="A842" s="32" t="s">
        <v>66</v>
      </c>
      <c r="B842" s="34"/>
      <c r="C842" s="2"/>
      <c r="D842" s="2"/>
      <c r="E842" s="2"/>
      <c r="F842" s="2"/>
      <c r="G842" s="2"/>
      <c r="H842" s="2"/>
      <c r="I842" s="36"/>
    </row>
    <row r="843" hidden="1" outlineLevel="2">
      <c r="A843" s="64" t="s">
        <v>67</v>
      </c>
      <c r="B843" s="246">
        <v>40.0</v>
      </c>
      <c r="C843" s="247">
        <v>40.0</v>
      </c>
      <c r="D843" s="247">
        <v>40.0</v>
      </c>
      <c r="E843" s="247">
        <v>40.0</v>
      </c>
      <c r="F843" s="247">
        <v>40.0</v>
      </c>
      <c r="G843" s="247">
        <v>40.0</v>
      </c>
      <c r="H843" s="247">
        <v>40.0</v>
      </c>
      <c r="I843" s="248">
        <v>40.0</v>
      </c>
    </row>
    <row r="844" hidden="1" outlineLevel="2">
      <c r="A844" s="69" t="s">
        <v>72</v>
      </c>
      <c r="B844" s="186">
        <v>40.0</v>
      </c>
      <c r="C844" s="187">
        <v>40.0</v>
      </c>
      <c r="D844" s="187">
        <v>40.0</v>
      </c>
      <c r="E844" s="187">
        <v>40.0</v>
      </c>
      <c r="F844" s="187">
        <v>40.0</v>
      </c>
      <c r="G844" s="187">
        <v>40.0</v>
      </c>
      <c r="H844" s="187">
        <v>40.0</v>
      </c>
      <c r="I844" s="188">
        <v>40.0</v>
      </c>
    </row>
    <row r="845" hidden="1" outlineLevel="2">
      <c r="A845" s="54" t="s">
        <v>74</v>
      </c>
      <c r="B845" s="252">
        <f t="shared" ref="B845:I845" si="324">B843/B844</f>
        <v>1</v>
      </c>
      <c r="C845" s="253">
        <f t="shared" si="324"/>
        <v>1</v>
      </c>
      <c r="D845" s="253">
        <f t="shared" si="324"/>
        <v>1</v>
      </c>
      <c r="E845" s="253">
        <f t="shared" si="324"/>
        <v>1</v>
      </c>
      <c r="F845" s="253">
        <f t="shared" si="324"/>
        <v>1</v>
      </c>
      <c r="G845" s="253">
        <f t="shared" si="324"/>
        <v>1</v>
      </c>
      <c r="H845" s="253">
        <f t="shared" si="324"/>
        <v>1</v>
      </c>
      <c r="I845" s="256">
        <f t="shared" si="324"/>
        <v>1</v>
      </c>
    </row>
    <row r="846" hidden="1" outlineLevel="2">
      <c r="A846" s="32" t="s">
        <v>75</v>
      </c>
      <c r="B846" s="34"/>
      <c r="C846" s="2"/>
      <c r="D846" s="2"/>
      <c r="E846" s="2"/>
      <c r="F846" s="2"/>
      <c r="G846" s="2"/>
      <c r="H846" s="2"/>
      <c r="I846" s="36"/>
    </row>
    <row r="847" hidden="1" outlineLevel="2">
      <c r="A847" s="64" t="s">
        <v>76</v>
      </c>
      <c r="B847" s="185" t="s">
        <v>79</v>
      </c>
      <c r="C847" s="77" t="s">
        <v>80</v>
      </c>
      <c r="D847" s="77" t="s">
        <v>79</v>
      </c>
      <c r="E847" s="78" t="s">
        <v>79</v>
      </c>
      <c r="F847" s="78" t="s">
        <v>79</v>
      </c>
      <c r="G847" s="77" t="s">
        <v>80</v>
      </c>
      <c r="H847" s="78" t="s">
        <v>79</v>
      </c>
      <c r="I847" s="79" t="s">
        <v>79</v>
      </c>
    </row>
    <row r="848" hidden="1" outlineLevel="2">
      <c r="A848" s="64" t="s">
        <v>81</v>
      </c>
      <c r="B848" s="185" t="s">
        <v>83</v>
      </c>
      <c r="C848" s="78" t="s">
        <v>85</v>
      </c>
      <c r="D848" s="78" t="s">
        <v>83</v>
      </c>
      <c r="E848" s="78" t="s">
        <v>85</v>
      </c>
      <c r="F848" s="78" t="s">
        <v>83</v>
      </c>
      <c r="G848" s="78" t="s">
        <v>85</v>
      </c>
      <c r="H848" s="78" t="s">
        <v>85</v>
      </c>
      <c r="I848" s="79" t="s">
        <v>85</v>
      </c>
    </row>
    <row r="849" hidden="1" outlineLevel="2">
      <c r="A849" s="64" t="s">
        <v>86</v>
      </c>
      <c r="B849" s="194">
        <f>IF(B839&lt;B840,B840,B839) *
IF(B847="AM",
    IF(B848="Oricle",3.5,
    IF(B848="Other Brands",4,
    IF(B848="Oricle Prio",0.6,""))),
 IF(B847="MID",
    IF(B848="Oricle",2.5,
    IF(B848="Other Brands",3,
    IF(B848="Oricle Prio",0.6,""))),
 IF(B847="GY",
    IF(B848="Oricle",1,
    IF(B848="Other Brands",1,
    IF(B848="Oricle Prio",0.3,""))),"")))-10</f>
        <v>110.09</v>
      </c>
      <c r="C849" s="204">
        <f>IF(C839&lt;C840,C840,C839) *
IF(C847="AM",
    IF(C848="Oricle",3,
    IF(C848="Other Brands",4,
    IF(C848="Oricle Prio",0.6,""))),
 IF(C847="MID",
    IF(C848="Oricle",2.5,
    IF(C848="Other Brands",3,
    IF(C848="Oricle Prio",0.6,""))),
 IF(C847="GY",
    IF(C848="Oricle",1,
    IF(C848="Other Brands",1,
    IF(C848="Oricle Prio",0.3,""))),"")))</f>
        <v>115.23</v>
      </c>
      <c r="D849" s="204">
        <f>IF(D839&lt;D840,D840,D839) *
IF(D847="AM",
    IF(D848="Oricle",3.5,
    IF(D848="Other Brands",4,
    IF(D848="Oricle Prio",0.6,""))),
 IF(D847="MID",
    IF(D848="Oricle",2.5,
    IF(D848="Other Brands",3,
    IF(D848="Oricle Prio",0.6,""))),
 IF(D847="GY",
    IF(D848="Oricle",1,
    IF(D848="Other Brands",1,
    IF(D848="Oricle Prio",0.3,""))),"")))</f>
        <v>123.33</v>
      </c>
      <c r="E849" s="204">
        <f>IF(E839&lt;E840,E840,E839) *
IF(E847="AM",
    IF(E848="Oricle",3.5,
    IF(E848="Other Brands",4,
    IF(E848="Oricle Prio",0.6,""))),
 IF(E847="MID",
    IF(E848="Oricle",2.5,
    IF(E848="Other Brands",3,
    IF(E848="Oricle Prio",0.6,""))),
 IF(E847="GY",
    IF(E848="Oricle",1,
    IF(E848="Other Brands",1,
    IF(E848="Oricle Prio",0.3,""))),"")))-15</f>
        <v>85.125</v>
      </c>
      <c r="F849" s="204">
        <f>IF(F839&lt;F840,F840,F839) *
IF(F847="AM",
    IF(F848="Oricle",3.5,
    IF(F848="Other Brands",4,
    IF(F848="Oricle Prio",0.6,""))),
 IF(F847="MID",
    IF(F848="Oricle",2.5,
    IF(F848="Other Brands",3,
    IF(F848="Oricle Prio",0.6,""))),
 IF(F847="GY",
    IF(F848="Oricle",1,
    IF(F848="Other Brands",1,
    IF(F848="Oricle Prio",0.3,""))),"")))</f>
        <v>111</v>
      </c>
      <c r="G849" s="204">
        <f t="shared" ref="G849:H849" si="325">IF(G839&lt;G840,G840,G839) *
IF(G847="AM",
    IF(G848="Oricle",3,
    IF(G848="Other Brands",4,
    IF(G848="Oricle Prio",0.6,""))),
 IF(G847="MID",
    IF(G848="Oricle",2.5,
    IF(G848="Other Brands",3,
    IF(G848="Oricle Prio",0.6,""))),
 IF(G847="GY",
    IF(G848="Oricle",1,
    IF(G848="Other Brands",1,
    IF(G848="Oricle Prio",0.3,""))),"")))</f>
        <v>123.36</v>
      </c>
      <c r="H849" s="204">
        <f t="shared" si="325"/>
        <v>101.275</v>
      </c>
      <c r="I849" s="204">
        <f>IF(I839&lt;I840,I840,I839) *
IF(I847="AM",
    IF(I848="Oricle",3.5,
    IF(I848="Other Brands",4,
    IF(I848="Oricle Prio",0.6,""))),
 IF(I847="MID",
    IF(I848="Oricle",2.5,
    IF(I848="Other Brands",3,
    IF(I848="Oricle Prio",0.6,""))),
 IF(I847="GY",
    IF(I848="Oricle",1,
    IF(I848="Other Brands",1,
    IF(I848="Oricle Prio",0.3,""))),"")))</f>
        <v>102.8</v>
      </c>
    </row>
    <row r="850" hidden="1" outlineLevel="2">
      <c r="A850" s="64" t="s">
        <v>98</v>
      </c>
      <c r="B850" s="266" t="s">
        <v>688</v>
      </c>
      <c r="C850" s="77" t="s">
        <v>334</v>
      </c>
      <c r="D850" s="77" t="s">
        <v>1083</v>
      </c>
      <c r="E850" s="77" t="s">
        <v>1003</v>
      </c>
      <c r="F850" s="77" t="s">
        <v>688</v>
      </c>
      <c r="G850" s="77" t="s">
        <v>1085</v>
      </c>
      <c r="H850" s="77" t="s">
        <v>638</v>
      </c>
      <c r="I850" s="77" t="s">
        <v>865</v>
      </c>
    </row>
    <row r="851" hidden="1" outlineLevel="2">
      <c r="A851" s="64" t="s">
        <v>107</v>
      </c>
      <c r="B851" s="266" t="s">
        <v>688</v>
      </c>
      <c r="C851" s="77" t="s">
        <v>562</v>
      </c>
      <c r="D851" s="77" t="s">
        <v>254</v>
      </c>
      <c r="E851" s="77" t="s">
        <v>523</v>
      </c>
      <c r="F851" s="77" t="s">
        <v>591</v>
      </c>
      <c r="G851" s="77" t="s">
        <v>481</v>
      </c>
      <c r="H851" s="77" t="s">
        <v>446</v>
      </c>
      <c r="I851" s="77" t="s">
        <v>865</v>
      </c>
    </row>
    <row r="852" hidden="1" outlineLevel="2">
      <c r="A852" s="69" t="s">
        <v>115</v>
      </c>
      <c r="B852" s="108">
        <f t="shared" ref="B852:I852" si="326">IF(B850&gt;0,B851/B850,0)</f>
        <v>1</v>
      </c>
      <c r="C852" s="110">
        <f t="shared" si="326"/>
        <v>0.96</v>
      </c>
      <c r="D852" s="110">
        <f t="shared" si="326"/>
        <v>0.9577464789</v>
      </c>
      <c r="E852" s="110">
        <f t="shared" si="326"/>
        <v>0.9875</v>
      </c>
      <c r="F852" s="110">
        <f t="shared" si="326"/>
        <v>0.967032967</v>
      </c>
      <c r="G852" s="110">
        <f t="shared" si="326"/>
        <v>0.9794520548</v>
      </c>
      <c r="H852" s="110">
        <f t="shared" si="326"/>
        <v>0.9456521739</v>
      </c>
      <c r="I852" s="111">
        <f t="shared" si="326"/>
        <v>1</v>
      </c>
    </row>
    <row r="853" hidden="1" outlineLevel="2">
      <c r="A853" s="69" t="s">
        <v>119</v>
      </c>
      <c r="B853" s="108">
        <f t="shared" ref="B853:I853" si="327">IF(B849&gt;0,B851/B849,0)</f>
        <v>0.8265964211</v>
      </c>
      <c r="C853" s="110">
        <f t="shared" si="327"/>
        <v>0.8331163759</v>
      </c>
      <c r="D853" s="110">
        <f t="shared" si="327"/>
        <v>1.102732506</v>
      </c>
      <c r="E853" s="110">
        <f t="shared" si="327"/>
        <v>0.9280469897</v>
      </c>
      <c r="F853" s="110">
        <f t="shared" si="327"/>
        <v>0.7927927928</v>
      </c>
      <c r="G853" s="110">
        <f t="shared" si="327"/>
        <v>1.15920882</v>
      </c>
      <c r="H853" s="110">
        <f t="shared" si="327"/>
        <v>0.8590471489</v>
      </c>
      <c r="I853" s="111">
        <f t="shared" si="327"/>
        <v>0.7976653696</v>
      </c>
    </row>
    <row r="854" hidden="1" outlineLevel="2">
      <c r="A854" s="116" t="s">
        <v>82</v>
      </c>
      <c r="B854" s="252">
        <f t="shared" ref="B854:I854" si="328">average(B852:B853)</f>
        <v>0.9132982106</v>
      </c>
      <c r="C854" s="253">
        <f t="shared" si="328"/>
        <v>0.896558188</v>
      </c>
      <c r="D854" s="253">
        <f t="shared" si="328"/>
        <v>1.030239493</v>
      </c>
      <c r="E854" s="253">
        <f t="shared" si="328"/>
        <v>0.9577734949</v>
      </c>
      <c r="F854" s="253">
        <f t="shared" si="328"/>
        <v>0.8799128799</v>
      </c>
      <c r="G854" s="253">
        <f t="shared" si="328"/>
        <v>1.069330437</v>
      </c>
      <c r="H854" s="253">
        <f t="shared" si="328"/>
        <v>0.9023496614</v>
      </c>
      <c r="I854" s="256">
        <f t="shared" si="328"/>
        <v>0.8988326848</v>
      </c>
    </row>
    <row r="855" hidden="1" outlineLevel="2">
      <c r="A855" s="32" t="s">
        <v>121</v>
      </c>
      <c r="B855" s="316"/>
      <c r="C855" s="2"/>
      <c r="D855" s="2"/>
      <c r="E855" s="2"/>
      <c r="F855" s="2"/>
      <c r="G855" s="2"/>
      <c r="H855" s="2"/>
      <c r="I855" s="3"/>
    </row>
    <row r="856" hidden="1" outlineLevel="2">
      <c r="A856" s="64" t="s">
        <v>122</v>
      </c>
      <c r="B856" s="246">
        <v>10.0</v>
      </c>
      <c r="C856" s="247">
        <v>8.69</v>
      </c>
      <c r="D856" s="247">
        <v>9.17</v>
      </c>
      <c r="E856" s="247">
        <v>9.33</v>
      </c>
      <c r="F856" s="247">
        <v>9.66</v>
      </c>
      <c r="G856" s="247">
        <v>9.14</v>
      </c>
      <c r="H856" s="247">
        <v>9.14</v>
      </c>
      <c r="I856" s="247">
        <v>9.49</v>
      </c>
    </row>
    <row r="857" hidden="1" outlineLevel="2">
      <c r="A857" s="69" t="s">
        <v>128</v>
      </c>
      <c r="B857" s="119">
        <v>10.0</v>
      </c>
      <c r="C857" s="120">
        <v>10.0</v>
      </c>
      <c r="D857" s="120">
        <v>10.0</v>
      </c>
      <c r="E857" s="120">
        <v>10.0</v>
      </c>
      <c r="F857" s="120">
        <v>10.0</v>
      </c>
      <c r="G857" s="120">
        <v>10.0</v>
      </c>
      <c r="H857" s="120">
        <v>10.0</v>
      </c>
      <c r="I857" s="121">
        <v>10.0</v>
      </c>
    </row>
    <row r="858" hidden="1" outlineLevel="2">
      <c r="A858" s="54" t="s">
        <v>130</v>
      </c>
      <c r="B858" s="252">
        <f t="shared" ref="B858:I858" si="329">IF(B856=0,0,B856/B857)</f>
        <v>1</v>
      </c>
      <c r="C858" s="253">
        <f t="shared" si="329"/>
        <v>0.869</v>
      </c>
      <c r="D858" s="253">
        <f t="shared" si="329"/>
        <v>0.917</v>
      </c>
      <c r="E858" s="253">
        <f t="shared" si="329"/>
        <v>0.933</v>
      </c>
      <c r="F858" s="253">
        <f t="shared" si="329"/>
        <v>0.966</v>
      </c>
      <c r="G858" s="253">
        <f t="shared" si="329"/>
        <v>0.914</v>
      </c>
      <c r="H858" s="253">
        <f t="shared" si="329"/>
        <v>0.914</v>
      </c>
      <c r="I858" s="256">
        <f t="shared" si="329"/>
        <v>0.949</v>
      </c>
    </row>
    <row r="859" hidden="1" outlineLevel="2">
      <c r="A859" s="32" t="s">
        <v>131</v>
      </c>
      <c r="B859" s="34"/>
      <c r="C859" s="2"/>
      <c r="D859" s="2"/>
      <c r="E859" s="2"/>
      <c r="F859" s="2"/>
      <c r="G859" s="2"/>
      <c r="H859" s="2"/>
      <c r="I859" s="36"/>
    </row>
    <row r="860" hidden="1" outlineLevel="2">
      <c r="A860" s="64" t="s">
        <v>132</v>
      </c>
      <c r="B860" s="312"/>
      <c r="C860" s="313"/>
      <c r="D860" s="332"/>
      <c r="E860" s="313"/>
      <c r="F860" s="313"/>
      <c r="G860" s="313"/>
      <c r="H860" s="313"/>
      <c r="I860" s="314"/>
    </row>
    <row r="861" hidden="1" outlineLevel="2">
      <c r="A861" s="127" t="s">
        <v>134</v>
      </c>
      <c r="B861" s="34"/>
      <c r="C861" s="2"/>
      <c r="D861" s="2"/>
      <c r="E861" s="2"/>
      <c r="F861" s="2"/>
      <c r="G861" s="2"/>
      <c r="H861" s="2"/>
      <c r="I861" s="36"/>
    </row>
    <row r="862" hidden="1" outlineLevel="2">
      <c r="A862" s="69" t="s">
        <v>136</v>
      </c>
      <c r="B862" s="129">
        <f t="shared" ref="B862:I862" si="330">B841*25</f>
        <v>27.0472973</v>
      </c>
      <c r="C862" s="130">
        <f t="shared" si="330"/>
        <v>25.26973684</v>
      </c>
      <c r="D862" s="130">
        <f t="shared" si="330"/>
        <v>25.69375</v>
      </c>
      <c r="E862" s="130">
        <f t="shared" si="330"/>
        <v>27.06081081</v>
      </c>
      <c r="F862" s="130">
        <f t="shared" si="330"/>
        <v>24.37837838</v>
      </c>
      <c r="G862" s="130">
        <f t="shared" si="330"/>
        <v>25.7</v>
      </c>
      <c r="H862" s="130">
        <f t="shared" si="330"/>
        <v>25.31875</v>
      </c>
      <c r="I862" s="132">
        <f t="shared" si="330"/>
        <v>25.7</v>
      </c>
    </row>
    <row r="863" hidden="1" outlineLevel="2">
      <c r="A863" s="69" t="s">
        <v>144</v>
      </c>
      <c r="B863" s="129">
        <f t="shared" ref="B863:I863" si="331">B845*35</f>
        <v>35</v>
      </c>
      <c r="C863" s="130">
        <f t="shared" si="331"/>
        <v>35</v>
      </c>
      <c r="D863" s="130">
        <f t="shared" si="331"/>
        <v>35</v>
      </c>
      <c r="E863" s="130">
        <f t="shared" si="331"/>
        <v>35</v>
      </c>
      <c r="F863" s="130">
        <f t="shared" si="331"/>
        <v>35</v>
      </c>
      <c r="G863" s="130">
        <f t="shared" si="331"/>
        <v>35</v>
      </c>
      <c r="H863" s="130">
        <f t="shared" si="331"/>
        <v>35</v>
      </c>
      <c r="I863" s="132">
        <f t="shared" si="331"/>
        <v>35</v>
      </c>
    </row>
    <row r="864" hidden="1" outlineLevel="2">
      <c r="A864" s="69" t="s">
        <v>146</v>
      </c>
      <c r="B864" s="129">
        <f t="shared" ref="B864:I864" si="332">IF(AND(B845&lt;85%, B854&gt;100%), 25, B854*25)</f>
        <v>22.83245526</v>
      </c>
      <c r="C864" s="130">
        <f t="shared" si="332"/>
        <v>22.4139547</v>
      </c>
      <c r="D864" s="130">
        <f t="shared" si="332"/>
        <v>25.75598731</v>
      </c>
      <c r="E864" s="130">
        <f t="shared" si="332"/>
        <v>23.94433737</v>
      </c>
      <c r="F864" s="130">
        <f t="shared" si="332"/>
        <v>21.997822</v>
      </c>
      <c r="G864" s="130">
        <f t="shared" si="332"/>
        <v>26.73326093</v>
      </c>
      <c r="H864" s="130">
        <f t="shared" si="332"/>
        <v>22.55874153</v>
      </c>
      <c r="I864" s="132">
        <f t="shared" si="332"/>
        <v>22.47081712</v>
      </c>
    </row>
    <row r="865" hidden="1" outlineLevel="2">
      <c r="A865" s="69" t="s">
        <v>148</v>
      </c>
      <c r="B865" s="129">
        <f t="shared" ref="B865:I865" si="333">B858*15</f>
        <v>15</v>
      </c>
      <c r="C865" s="130">
        <f t="shared" si="333"/>
        <v>13.035</v>
      </c>
      <c r="D865" s="130">
        <f t="shared" si="333"/>
        <v>13.755</v>
      </c>
      <c r="E865" s="130">
        <f t="shared" si="333"/>
        <v>13.995</v>
      </c>
      <c r="F865" s="130">
        <f t="shared" si="333"/>
        <v>14.49</v>
      </c>
      <c r="G865" s="130">
        <f t="shared" si="333"/>
        <v>13.71</v>
      </c>
      <c r="H865" s="130">
        <f t="shared" si="333"/>
        <v>13.71</v>
      </c>
      <c r="I865" s="132">
        <f t="shared" si="333"/>
        <v>14.235</v>
      </c>
    </row>
    <row r="866" hidden="1" outlineLevel="2">
      <c r="A866" s="69" t="s">
        <v>149</v>
      </c>
      <c r="B866" s="129">
        <f t="shared" ref="B866:I866" si="334">B860*-10</f>
        <v>0</v>
      </c>
      <c r="C866" s="130">
        <f t="shared" si="334"/>
        <v>0</v>
      </c>
      <c r="D866" s="130">
        <f t="shared" si="334"/>
        <v>0</v>
      </c>
      <c r="E866" s="130">
        <f t="shared" si="334"/>
        <v>0</v>
      </c>
      <c r="F866" s="130">
        <f t="shared" si="334"/>
        <v>0</v>
      </c>
      <c r="G866" s="130">
        <f t="shared" si="334"/>
        <v>0</v>
      </c>
      <c r="H866" s="130">
        <f t="shared" si="334"/>
        <v>0</v>
      </c>
      <c r="I866" s="132">
        <f t="shared" si="334"/>
        <v>0</v>
      </c>
    </row>
    <row r="867" hidden="1" outlineLevel="2">
      <c r="A867" s="142" t="s">
        <v>150</v>
      </c>
      <c r="B867" s="129">
        <f t="shared" ref="B867:I867" si="335">B862+B863+B864+B865+B866</f>
        <v>99.87975256</v>
      </c>
      <c r="C867" s="130">
        <f t="shared" si="335"/>
        <v>95.71869154</v>
      </c>
      <c r="D867" s="130">
        <f t="shared" si="335"/>
        <v>100.2047373</v>
      </c>
      <c r="E867" s="130">
        <f t="shared" si="335"/>
        <v>100.0001482</v>
      </c>
      <c r="F867" s="130">
        <f t="shared" si="335"/>
        <v>95.86620038</v>
      </c>
      <c r="G867" s="130">
        <f t="shared" si="335"/>
        <v>101.1432609</v>
      </c>
      <c r="H867" s="130">
        <f t="shared" si="335"/>
        <v>96.58749153</v>
      </c>
      <c r="I867" s="132">
        <f t="shared" si="335"/>
        <v>97.40581712</v>
      </c>
    </row>
    <row r="868" hidden="1" outlineLevel="2">
      <c r="A868" s="54" t="s">
        <v>152</v>
      </c>
      <c r="B868" s="58">
        <f t="shared" ref="B868:I868" si="336">B867/100</f>
        <v>0.9987975256</v>
      </c>
      <c r="C868" s="61">
        <f t="shared" si="336"/>
        <v>0.9571869154</v>
      </c>
      <c r="D868" s="378">
        <f t="shared" si="336"/>
        <v>1.002047373</v>
      </c>
      <c r="E868" s="61">
        <f t="shared" si="336"/>
        <v>1.000001482</v>
      </c>
      <c r="F868" s="61">
        <f t="shared" si="336"/>
        <v>0.9586620038</v>
      </c>
      <c r="G868" s="61">
        <f t="shared" si="336"/>
        <v>1.011432609</v>
      </c>
      <c r="H868" s="61">
        <f t="shared" si="336"/>
        <v>0.9658749153</v>
      </c>
      <c r="I868" s="62">
        <f t="shared" si="336"/>
        <v>0.9740581712</v>
      </c>
    </row>
    <row r="869" hidden="1" outlineLevel="2">
      <c r="A869" s="127" t="s">
        <v>154</v>
      </c>
      <c r="B869" s="349" t="s">
        <v>155</v>
      </c>
      <c r="C869" s="350" t="s">
        <v>155</v>
      </c>
      <c r="D869" s="350" t="s">
        <v>155</v>
      </c>
      <c r="E869" s="350" t="s">
        <v>155</v>
      </c>
      <c r="F869" s="350" t="s">
        <v>155</v>
      </c>
      <c r="G869" s="350" t="s">
        <v>156</v>
      </c>
      <c r="H869" s="350" t="s">
        <v>155</v>
      </c>
      <c r="I869" s="350" t="s">
        <v>155</v>
      </c>
    </row>
    <row r="870" hidden="1" outlineLevel="2">
      <c r="A870" s="127" t="s">
        <v>158</v>
      </c>
      <c r="B870" s="156"/>
      <c r="C870" s="157"/>
      <c r="D870" s="337"/>
      <c r="E870" s="157"/>
      <c r="F870" s="157"/>
      <c r="G870" s="157"/>
      <c r="H870" s="157"/>
      <c r="I870" s="352"/>
    </row>
    <row r="871" hidden="1" outlineLevel="1" collapsed="1">
      <c r="A871" s="12"/>
      <c r="B871" s="13" t="s">
        <v>1103</v>
      </c>
      <c r="C871" s="14"/>
      <c r="D871" s="14"/>
      <c r="E871" s="14"/>
      <c r="F871" s="14"/>
      <c r="G871" s="14"/>
      <c r="H871" s="14"/>
      <c r="I871" s="15"/>
    </row>
    <row r="872" hidden="1" outlineLevel="2">
      <c r="A872" s="164"/>
      <c r="B872" s="302" t="s">
        <v>29</v>
      </c>
      <c r="C872" s="303" t="s">
        <v>4</v>
      </c>
      <c r="D872" s="303" t="s">
        <v>19</v>
      </c>
      <c r="E872" s="303" t="s">
        <v>30</v>
      </c>
      <c r="F872" s="303" t="s">
        <v>31</v>
      </c>
      <c r="G872" s="304" t="s">
        <v>32</v>
      </c>
      <c r="H872" s="305" t="s">
        <v>13</v>
      </c>
      <c r="I872" s="305" t="s">
        <v>350</v>
      </c>
    </row>
    <row r="873" hidden="1" outlineLevel="2">
      <c r="A873" s="25" t="s">
        <v>36</v>
      </c>
      <c r="B873" s="243" t="s">
        <v>1103</v>
      </c>
      <c r="C873" s="244"/>
      <c r="D873" s="244"/>
      <c r="E873" s="244"/>
      <c r="F873" s="244"/>
      <c r="G873" s="244"/>
      <c r="H873" s="244"/>
      <c r="I873" s="245"/>
    </row>
    <row r="874" hidden="1" outlineLevel="2">
      <c r="A874" s="32" t="s">
        <v>45</v>
      </c>
      <c r="B874" s="34"/>
      <c r="C874" s="2"/>
      <c r="D874" s="2"/>
      <c r="E874" s="2"/>
      <c r="F874" s="2"/>
      <c r="G874" s="2"/>
      <c r="H874" s="2"/>
      <c r="I874" s="36"/>
    </row>
    <row r="875" hidden="1" outlineLevel="2">
      <c r="A875" s="38" t="s">
        <v>49</v>
      </c>
      <c r="B875" s="246">
        <v>37.49</v>
      </c>
      <c r="C875" s="247">
        <v>38.48</v>
      </c>
      <c r="D875" s="247">
        <v>45.27</v>
      </c>
      <c r="E875" s="247">
        <v>44.04</v>
      </c>
      <c r="F875" s="247">
        <v>43.55</v>
      </c>
      <c r="G875" s="247">
        <v>32.41</v>
      </c>
      <c r="H875" s="247">
        <v>28.28</v>
      </c>
      <c r="I875" s="345">
        <v>42.28</v>
      </c>
    </row>
    <row r="876" hidden="1" outlineLevel="2">
      <c r="A876" s="49" t="s">
        <v>53</v>
      </c>
      <c r="B876" s="250">
        <v>37.0</v>
      </c>
      <c r="C876" s="250">
        <v>38.0</v>
      </c>
      <c r="D876" s="51">
        <v>40.0</v>
      </c>
      <c r="E876" s="250">
        <v>37.0</v>
      </c>
      <c r="F876" s="250">
        <v>37.0</v>
      </c>
      <c r="G876" s="250">
        <v>32.0</v>
      </c>
      <c r="H876" s="250">
        <v>40.0</v>
      </c>
      <c r="I876" s="346">
        <v>40.0</v>
      </c>
    </row>
    <row r="877" hidden="1" outlineLevel="2">
      <c r="A877" s="54" t="s">
        <v>57</v>
      </c>
      <c r="B877" s="252">
        <f t="shared" ref="B877:I877" si="337">B875/B876</f>
        <v>1.013243243</v>
      </c>
      <c r="C877" s="253">
        <f t="shared" si="337"/>
        <v>1.012631579</v>
      </c>
      <c r="D877" s="253">
        <f t="shared" si="337"/>
        <v>1.13175</v>
      </c>
      <c r="E877" s="253">
        <f t="shared" si="337"/>
        <v>1.19027027</v>
      </c>
      <c r="F877" s="253">
        <f t="shared" si="337"/>
        <v>1.177027027</v>
      </c>
      <c r="G877" s="253">
        <f t="shared" si="337"/>
        <v>1.0128125</v>
      </c>
      <c r="H877" s="253">
        <f t="shared" si="337"/>
        <v>0.707</v>
      </c>
      <c r="I877" s="256">
        <f t="shared" si="337"/>
        <v>1.057</v>
      </c>
    </row>
    <row r="878" hidden="1" outlineLevel="2">
      <c r="A878" s="32" t="s">
        <v>66</v>
      </c>
      <c r="B878" s="34"/>
      <c r="C878" s="2"/>
      <c r="D878" s="2"/>
      <c r="E878" s="2"/>
      <c r="F878" s="2"/>
      <c r="G878" s="2"/>
      <c r="H878" s="2"/>
      <c r="I878" s="36"/>
    </row>
    <row r="879" hidden="1" outlineLevel="2">
      <c r="A879" s="64" t="s">
        <v>67</v>
      </c>
      <c r="B879" s="246">
        <v>40.0</v>
      </c>
      <c r="C879" s="247">
        <v>40.0</v>
      </c>
      <c r="D879" s="247">
        <v>34.0</v>
      </c>
      <c r="E879" s="247">
        <v>40.0</v>
      </c>
      <c r="F879" s="247">
        <v>40.0</v>
      </c>
      <c r="G879" s="247">
        <v>40.0</v>
      </c>
      <c r="H879" s="247">
        <v>40.0</v>
      </c>
      <c r="I879" s="248">
        <v>40.0</v>
      </c>
    </row>
    <row r="880" hidden="1" outlineLevel="2">
      <c r="A880" s="69" t="s">
        <v>72</v>
      </c>
      <c r="B880" s="186">
        <v>40.0</v>
      </c>
      <c r="C880" s="187">
        <v>40.0</v>
      </c>
      <c r="D880" s="187">
        <v>40.0</v>
      </c>
      <c r="E880" s="187">
        <v>40.0</v>
      </c>
      <c r="F880" s="187">
        <v>40.0</v>
      </c>
      <c r="G880" s="187">
        <v>40.0</v>
      </c>
      <c r="H880" s="187">
        <v>40.0</v>
      </c>
      <c r="I880" s="188">
        <v>40.0</v>
      </c>
    </row>
    <row r="881" hidden="1" outlineLevel="2">
      <c r="A881" s="54" t="s">
        <v>74</v>
      </c>
      <c r="B881" s="252">
        <f t="shared" ref="B881:I881" si="338">B879/B880</f>
        <v>1</v>
      </c>
      <c r="C881" s="253">
        <f t="shared" si="338"/>
        <v>1</v>
      </c>
      <c r="D881" s="253">
        <f t="shared" si="338"/>
        <v>0.85</v>
      </c>
      <c r="E881" s="253">
        <f t="shared" si="338"/>
        <v>1</v>
      </c>
      <c r="F881" s="253">
        <f t="shared" si="338"/>
        <v>1</v>
      </c>
      <c r="G881" s="253">
        <f t="shared" si="338"/>
        <v>1</v>
      </c>
      <c r="H881" s="253">
        <f t="shared" si="338"/>
        <v>1</v>
      </c>
      <c r="I881" s="256">
        <f t="shared" si="338"/>
        <v>1</v>
      </c>
    </row>
    <row r="882" hidden="1" outlineLevel="2">
      <c r="A882" s="32" t="s">
        <v>75</v>
      </c>
      <c r="B882" s="34"/>
      <c r="C882" s="2"/>
      <c r="D882" s="2"/>
      <c r="E882" s="2"/>
      <c r="F882" s="2"/>
      <c r="G882" s="2"/>
      <c r="H882" s="2"/>
      <c r="I882" s="36"/>
    </row>
    <row r="883" hidden="1" outlineLevel="2">
      <c r="A883" s="64" t="s">
        <v>76</v>
      </c>
      <c r="B883" s="185" t="s">
        <v>79</v>
      </c>
      <c r="C883" s="77" t="s">
        <v>80</v>
      </c>
      <c r="D883" s="77" t="s">
        <v>79</v>
      </c>
      <c r="E883" s="78" t="s">
        <v>79</v>
      </c>
      <c r="F883" s="78" t="s">
        <v>79</v>
      </c>
      <c r="G883" s="77" t="s">
        <v>80</v>
      </c>
      <c r="H883" s="78" t="s">
        <v>79</v>
      </c>
      <c r="I883" s="79" t="s">
        <v>79</v>
      </c>
    </row>
    <row r="884" hidden="1" outlineLevel="2">
      <c r="A884" s="64" t="s">
        <v>81</v>
      </c>
      <c r="B884" s="185" t="s">
        <v>83</v>
      </c>
      <c r="C884" s="78" t="s">
        <v>85</v>
      </c>
      <c r="D884" s="78" t="s">
        <v>83</v>
      </c>
      <c r="E884" s="78" t="s">
        <v>85</v>
      </c>
      <c r="F884" s="78" t="s">
        <v>83</v>
      </c>
      <c r="G884" s="78" t="s">
        <v>85</v>
      </c>
      <c r="H884" s="78" t="s">
        <v>85</v>
      </c>
      <c r="I884" s="79" t="s">
        <v>85</v>
      </c>
    </row>
    <row r="885" hidden="1" outlineLevel="2">
      <c r="A885" s="64" t="s">
        <v>86</v>
      </c>
      <c r="B885" s="194">
        <f>IF(B875&lt;B876,B876,B875) *
IF(B883="AM",
    IF(B884="Oricle",3.5,
    IF(B884="Other Brands",4,
    IF(B884="Oricle Prio",0.6,""))),
 IF(B883="MID",
    IF(B884="Oricle",2.5,
    IF(B884="Other Brands",3,
    IF(B884="Oricle Prio",0.6,""))),
 IF(B883="GY",
    IF(B884="Oricle",1,
    IF(B884="Other Brands",1,
    IF(B884="Oricle Prio",0.3,""))),"")))-10</f>
        <v>102.47</v>
      </c>
      <c r="C885" s="204">
        <f>IF(C875&lt;C876,C876,C875) *
IF(C883="AM",
    IF(C884="Oricle",3,
    IF(C884="Other Brands",4,
    IF(C884="Oricle Prio",0.6,""))),
 IF(C883="MID",
    IF(C884="Oricle",2.5,
    IF(C884="Other Brands",3,
    IF(C884="Oricle Prio",0.6,""))),
 IF(C883="GY",
    IF(C884="Oricle",1,
    IF(C884="Other Brands",1,
    IF(C884="Oricle Prio",0.3,""))),"")))</f>
        <v>115.44</v>
      </c>
      <c r="D885" s="204">
        <f>IF(D875&lt;D876,D876,D875) *
IF(D883="AM",
    IF(D884="Oricle",3.5,
    IF(D884="Other Brands",4,
    IF(D884="Oricle Prio",0.6,""))),
 IF(D883="MID",
    IF(D884="Oricle",2.5,
    IF(D884="Other Brands",3,
    IF(D884="Oricle Prio",0.6,""))),
 IF(D883="GY",
    IF(D884="Oricle",1,
    IF(D884="Other Brands",1,
    IF(D884="Oricle Prio",0.3,""))),"")))</f>
        <v>135.81</v>
      </c>
      <c r="E885" s="204">
        <f>IF(E875&lt;E876,E876,E875) *
IF(E883="AM",
    IF(E884="Oricle",3.5,
    IF(E884="Other Brands",4,
    IF(E884="Oricle Prio",0.6,""))),
 IF(E883="MID",
    IF(E884="Oricle",2.5,
    IF(E884="Other Brands",3,
    IF(E884="Oricle Prio",0.6,""))),
 IF(E883="GY",
    IF(E884="Oricle",1,
    IF(E884="Other Brands",1,
    IF(E884="Oricle Prio",0.3,""))),"")))-15</f>
        <v>95.1</v>
      </c>
      <c r="F885" s="204">
        <f>IF(F875&lt;F876,F876,F875) *
IF(F883="AM",
    IF(F884="Oricle",3.5,
    IF(F884="Other Brands",4,
    IF(F884="Oricle Prio",0.6,""))),
 IF(F883="MID",
    IF(F884="Oricle",2.5,
    IF(F884="Other Brands",3,
    IF(F884="Oricle Prio",0.6,""))),
 IF(F883="GY",
    IF(F884="Oricle",1,
    IF(F884="Other Brands",1,
    IF(F884="Oricle Prio",0.3,""))),"")))</f>
        <v>130.65</v>
      </c>
      <c r="G885" s="204">
        <f t="shared" ref="G885:H885" si="339">IF(G875&lt;G876,G876,G875) *
IF(G883="AM",
    IF(G884="Oricle",3,
    IF(G884="Other Brands",4,
    IF(G884="Oricle Prio",0.6,""))),
 IF(G883="MID",
    IF(G884="Oricle",2.5,
    IF(G884="Other Brands",3,
    IF(G884="Oricle Prio",0.6,""))),
 IF(G883="GY",
    IF(G884="Oricle",1,
    IF(G884="Other Brands",1,
    IF(G884="Oricle Prio",0.3,""))),"")))</f>
        <v>97.23</v>
      </c>
      <c r="H885" s="204">
        <f t="shared" si="339"/>
        <v>100</v>
      </c>
      <c r="I885" s="204">
        <f>IF(I875&lt;I876,I876,I875) *
IF(I883="AM",
    IF(I884="Oricle",3.5,
    IF(I884="Other Brands",4,
    IF(I884="Oricle Prio",0.6,""))),
 IF(I883="MID",
    IF(I884="Oricle",2.5,
    IF(I884="Other Brands",3,
    IF(I884="Oricle Prio",0.6,""))),
 IF(I883="GY",
    IF(I884="Oricle",1,
    IF(I884="Other Brands",1,
    IF(I884="Oricle Prio",0.3,""))),"")))</f>
        <v>105.7</v>
      </c>
    </row>
    <row r="886" hidden="1" outlineLevel="2">
      <c r="A886" s="64" t="s">
        <v>98</v>
      </c>
      <c r="B886" s="266" t="s">
        <v>521</v>
      </c>
      <c r="C886" s="77" t="s">
        <v>299</v>
      </c>
      <c r="D886" s="77" t="s">
        <v>250</v>
      </c>
      <c r="E886" s="77" t="s">
        <v>562</v>
      </c>
      <c r="F886" s="77" t="s">
        <v>1130</v>
      </c>
      <c r="G886" s="77" t="s">
        <v>108</v>
      </c>
      <c r="H886" s="77" t="s">
        <v>976</v>
      </c>
      <c r="I886" s="77" t="s">
        <v>376</v>
      </c>
    </row>
    <row r="887" hidden="1" outlineLevel="2">
      <c r="A887" s="64" t="s">
        <v>107</v>
      </c>
      <c r="B887" s="266" t="s">
        <v>301</v>
      </c>
      <c r="C887" s="77" t="s">
        <v>1131</v>
      </c>
      <c r="D887" s="77" t="s">
        <v>201</v>
      </c>
      <c r="E887" s="77" t="s">
        <v>203</v>
      </c>
      <c r="F887" s="77" t="s">
        <v>479</v>
      </c>
      <c r="G887" s="77" t="s">
        <v>105</v>
      </c>
      <c r="H887" s="77" t="s">
        <v>866</v>
      </c>
      <c r="I887" s="77" t="s">
        <v>334</v>
      </c>
    </row>
    <row r="888" hidden="1" outlineLevel="2">
      <c r="A888" s="69" t="s">
        <v>115</v>
      </c>
      <c r="B888" s="108">
        <f t="shared" ref="B888:I888" si="340">IF(B886&gt;0,B887/B886,0)</f>
        <v>0.9906542056</v>
      </c>
      <c r="C888" s="110">
        <f t="shared" si="340"/>
        <v>0.9583333333</v>
      </c>
      <c r="D888" s="110">
        <f t="shared" si="340"/>
        <v>0.9509202454</v>
      </c>
      <c r="E888" s="110">
        <f t="shared" si="340"/>
        <v>0.9375</v>
      </c>
      <c r="F888" s="110">
        <f t="shared" si="340"/>
        <v>0.976</v>
      </c>
      <c r="G888" s="110">
        <f t="shared" si="340"/>
        <v>0.914893617</v>
      </c>
      <c r="H888" s="110">
        <f t="shared" si="340"/>
        <v>0.9827586207</v>
      </c>
      <c r="I888" s="111">
        <f t="shared" si="340"/>
        <v>0.9900990099</v>
      </c>
    </row>
    <row r="889" hidden="1" outlineLevel="2">
      <c r="A889" s="69" t="s">
        <v>119</v>
      </c>
      <c r="B889" s="108">
        <f t="shared" ref="B889:I889" si="341">IF(B885&gt;0,B887/B885,0)</f>
        <v>1.034449107</v>
      </c>
      <c r="C889" s="110">
        <f t="shared" si="341"/>
        <v>0.9961884962</v>
      </c>
      <c r="D889" s="110">
        <f t="shared" si="341"/>
        <v>1.141300346</v>
      </c>
      <c r="E889" s="110">
        <f t="shared" si="341"/>
        <v>0.9463722397</v>
      </c>
      <c r="F889" s="110">
        <f t="shared" si="341"/>
        <v>0.9337925756</v>
      </c>
      <c r="G889" s="110">
        <f t="shared" si="341"/>
        <v>1.326751003</v>
      </c>
      <c r="H889" s="110">
        <f t="shared" si="341"/>
        <v>0.57</v>
      </c>
      <c r="I889" s="111">
        <f t="shared" si="341"/>
        <v>0.9460737938</v>
      </c>
    </row>
    <row r="890" hidden="1" outlineLevel="2">
      <c r="A890" s="116" t="s">
        <v>82</v>
      </c>
      <c r="B890" s="252">
        <f t="shared" ref="B890:I890" si="342">average(B888:B889)</f>
        <v>1.012551656</v>
      </c>
      <c r="C890" s="253">
        <f t="shared" si="342"/>
        <v>0.9772609148</v>
      </c>
      <c r="D890" s="253">
        <f t="shared" si="342"/>
        <v>1.046110296</v>
      </c>
      <c r="E890" s="253">
        <f t="shared" si="342"/>
        <v>0.9419361199</v>
      </c>
      <c r="F890" s="253">
        <f t="shared" si="342"/>
        <v>0.9548962878</v>
      </c>
      <c r="G890" s="253">
        <f t="shared" si="342"/>
        <v>1.12082231</v>
      </c>
      <c r="H890" s="253">
        <f t="shared" si="342"/>
        <v>0.7763793103</v>
      </c>
      <c r="I890" s="256">
        <f t="shared" si="342"/>
        <v>0.9680864018</v>
      </c>
    </row>
    <row r="891" hidden="1" outlineLevel="2">
      <c r="A891" s="32" t="s">
        <v>121</v>
      </c>
      <c r="B891" s="316"/>
      <c r="C891" s="2"/>
      <c r="D891" s="2"/>
      <c r="E891" s="2"/>
      <c r="F891" s="2"/>
      <c r="G891" s="2"/>
      <c r="H891" s="2"/>
      <c r="I891" s="3"/>
    </row>
    <row r="892" hidden="1" outlineLevel="2">
      <c r="A892" s="64" t="s">
        <v>122</v>
      </c>
      <c r="B892" s="246">
        <v>10.0</v>
      </c>
      <c r="C892" s="247">
        <v>8.85</v>
      </c>
      <c r="D892" s="247">
        <v>9.26</v>
      </c>
      <c r="E892" s="247">
        <v>8.58</v>
      </c>
      <c r="F892" s="247">
        <v>9.66</v>
      </c>
      <c r="G892" s="247">
        <v>8.99</v>
      </c>
      <c r="H892" s="247">
        <v>7.33</v>
      </c>
      <c r="I892" s="247">
        <v>9.54</v>
      </c>
    </row>
    <row r="893" hidden="1" outlineLevel="2">
      <c r="A893" s="69" t="s">
        <v>128</v>
      </c>
      <c r="B893" s="119">
        <v>10.0</v>
      </c>
      <c r="C893" s="120">
        <v>10.0</v>
      </c>
      <c r="D893" s="120">
        <v>10.0</v>
      </c>
      <c r="E893" s="120">
        <v>10.0</v>
      </c>
      <c r="F893" s="120">
        <v>10.0</v>
      </c>
      <c r="G893" s="120">
        <v>10.0</v>
      </c>
      <c r="H893" s="120">
        <v>10.0</v>
      </c>
      <c r="I893" s="121">
        <v>10.0</v>
      </c>
    </row>
    <row r="894" hidden="1" outlineLevel="2">
      <c r="A894" s="54" t="s">
        <v>130</v>
      </c>
      <c r="B894" s="252">
        <f t="shared" ref="B894:I894" si="343">IF(B892=0,0,B892/B893)</f>
        <v>1</v>
      </c>
      <c r="C894" s="253">
        <f t="shared" si="343"/>
        <v>0.885</v>
      </c>
      <c r="D894" s="253">
        <f t="shared" si="343"/>
        <v>0.926</v>
      </c>
      <c r="E894" s="253">
        <f t="shared" si="343"/>
        <v>0.858</v>
      </c>
      <c r="F894" s="253">
        <f t="shared" si="343"/>
        <v>0.966</v>
      </c>
      <c r="G894" s="253">
        <f t="shared" si="343"/>
        <v>0.899</v>
      </c>
      <c r="H894" s="253">
        <f t="shared" si="343"/>
        <v>0.733</v>
      </c>
      <c r="I894" s="256">
        <f t="shared" si="343"/>
        <v>0.954</v>
      </c>
    </row>
    <row r="895" hidden="1" outlineLevel="2">
      <c r="A895" s="32" t="s">
        <v>131</v>
      </c>
      <c r="B895" s="34"/>
      <c r="C895" s="2"/>
      <c r="D895" s="2"/>
      <c r="E895" s="2"/>
      <c r="F895" s="2"/>
      <c r="G895" s="2"/>
      <c r="H895" s="2"/>
      <c r="I895" s="36"/>
    </row>
    <row r="896" hidden="1" outlineLevel="2">
      <c r="A896" s="64" t="s">
        <v>132</v>
      </c>
      <c r="B896" s="312"/>
      <c r="C896" s="313"/>
      <c r="D896" s="332"/>
      <c r="E896" s="313"/>
      <c r="F896" s="313"/>
      <c r="G896" s="313"/>
      <c r="H896" s="313"/>
      <c r="I896" s="314"/>
    </row>
    <row r="897" hidden="1" outlineLevel="2">
      <c r="A897" s="127" t="s">
        <v>134</v>
      </c>
      <c r="B897" s="34"/>
      <c r="C897" s="2"/>
      <c r="D897" s="2"/>
      <c r="E897" s="2"/>
      <c r="F897" s="2"/>
      <c r="G897" s="2"/>
      <c r="H897" s="2"/>
      <c r="I897" s="36"/>
    </row>
    <row r="898" hidden="1" outlineLevel="2">
      <c r="A898" s="69" t="s">
        <v>136</v>
      </c>
      <c r="B898" s="129">
        <f t="shared" ref="B898:I898" si="344">B877*25</f>
        <v>25.33108108</v>
      </c>
      <c r="C898" s="130">
        <f t="shared" si="344"/>
        <v>25.31578947</v>
      </c>
      <c r="D898" s="130">
        <f t="shared" si="344"/>
        <v>28.29375</v>
      </c>
      <c r="E898" s="130">
        <f t="shared" si="344"/>
        <v>29.75675676</v>
      </c>
      <c r="F898" s="130">
        <f t="shared" si="344"/>
        <v>29.42567568</v>
      </c>
      <c r="G898" s="130">
        <f t="shared" si="344"/>
        <v>25.3203125</v>
      </c>
      <c r="H898" s="130">
        <f t="shared" si="344"/>
        <v>17.675</v>
      </c>
      <c r="I898" s="132">
        <f t="shared" si="344"/>
        <v>26.425</v>
      </c>
    </row>
    <row r="899" hidden="1" outlineLevel="2">
      <c r="A899" s="69" t="s">
        <v>144</v>
      </c>
      <c r="B899" s="129">
        <f t="shared" ref="B899:I899" si="345">B881*35</f>
        <v>35</v>
      </c>
      <c r="C899" s="130">
        <f t="shared" si="345"/>
        <v>35</v>
      </c>
      <c r="D899" s="130">
        <f t="shared" si="345"/>
        <v>29.75</v>
      </c>
      <c r="E899" s="130">
        <f t="shared" si="345"/>
        <v>35</v>
      </c>
      <c r="F899" s="130">
        <f t="shared" si="345"/>
        <v>35</v>
      </c>
      <c r="G899" s="130">
        <f t="shared" si="345"/>
        <v>35</v>
      </c>
      <c r="H899" s="130">
        <f t="shared" si="345"/>
        <v>35</v>
      </c>
      <c r="I899" s="132">
        <f t="shared" si="345"/>
        <v>35</v>
      </c>
    </row>
    <row r="900" hidden="1" outlineLevel="2">
      <c r="A900" s="69" t="s">
        <v>146</v>
      </c>
      <c r="B900" s="129">
        <f t="shared" ref="B900:I900" si="346">IF(AND(B881&lt;85%, B890&gt;100%), 25, B890*25)</f>
        <v>25.31379141</v>
      </c>
      <c r="C900" s="130">
        <f t="shared" si="346"/>
        <v>24.43152287</v>
      </c>
      <c r="D900" s="130">
        <f t="shared" si="346"/>
        <v>26.15275739</v>
      </c>
      <c r="E900" s="130">
        <f t="shared" si="346"/>
        <v>23.548403</v>
      </c>
      <c r="F900" s="130">
        <f t="shared" si="346"/>
        <v>23.87240719</v>
      </c>
      <c r="G900" s="130">
        <f t="shared" si="346"/>
        <v>28.02055775</v>
      </c>
      <c r="H900" s="130">
        <f t="shared" si="346"/>
        <v>19.40948276</v>
      </c>
      <c r="I900" s="132">
        <f t="shared" si="346"/>
        <v>24.20216005</v>
      </c>
    </row>
    <row r="901" hidden="1" outlineLevel="2">
      <c r="A901" s="69" t="s">
        <v>148</v>
      </c>
      <c r="B901" s="129">
        <f t="shared" ref="B901:I901" si="347">B894*15</f>
        <v>15</v>
      </c>
      <c r="C901" s="130">
        <f t="shared" si="347"/>
        <v>13.275</v>
      </c>
      <c r="D901" s="130">
        <f t="shared" si="347"/>
        <v>13.89</v>
      </c>
      <c r="E901" s="130">
        <f t="shared" si="347"/>
        <v>12.87</v>
      </c>
      <c r="F901" s="130">
        <f t="shared" si="347"/>
        <v>14.49</v>
      </c>
      <c r="G901" s="130">
        <f t="shared" si="347"/>
        <v>13.485</v>
      </c>
      <c r="H901" s="130">
        <f t="shared" si="347"/>
        <v>10.995</v>
      </c>
      <c r="I901" s="132">
        <f t="shared" si="347"/>
        <v>14.31</v>
      </c>
    </row>
    <row r="902" hidden="1" outlineLevel="2">
      <c r="A902" s="69" t="s">
        <v>149</v>
      </c>
      <c r="B902" s="129">
        <f t="shared" ref="B902:I902" si="348">B896*-10</f>
        <v>0</v>
      </c>
      <c r="C902" s="130">
        <f t="shared" si="348"/>
        <v>0</v>
      </c>
      <c r="D902" s="130">
        <f t="shared" si="348"/>
        <v>0</v>
      </c>
      <c r="E902" s="130">
        <f t="shared" si="348"/>
        <v>0</v>
      </c>
      <c r="F902" s="130">
        <f t="shared" si="348"/>
        <v>0</v>
      </c>
      <c r="G902" s="130">
        <f t="shared" si="348"/>
        <v>0</v>
      </c>
      <c r="H902" s="130">
        <f t="shared" si="348"/>
        <v>0</v>
      </c>
      <c r="I902" s="132">
        <f t="shared" si="348"/>
        <v>0</v>
      </c>
    </row>
    <row r="903" hidden="1" outlineLevel="2">
      <c r="A903" s="142" t="s">
        <v>150</v>
      </c>
      <c r="B903" s="129">
        <f t="shared" ref="B903:I903" si="349">B898+B899+B900+B901+B902</f>
        <v>100.6448725</v>
      </c>
      <c r="C903" s="130">
        <f t="shared" si="349"/>
        <v>98.02231234</v>
      </c>
      <c r="D903" s="130">
        <f t="shared" si="349"/>
        <v>98.08650739</v>
      </c>
      <c r="E903" s="130">
        <f t="shared" si="349"/>
        <v>101.1751598</v>
      </c>
      <c r="F903" s="130">
        <f t="shared" si="349"/>
        <v>102.7880829</v>
      </c>
      <c r="G903" s="130">
        <f t="shared" si="349"/>
        <v>101.8258702</v>
      </c>
      <c r="H903" s="130">
        <f t="shared" si="349"/>
        <v>83.07948276</v>
      </c>
      <c r="I903" s="132">
        <f t="shared" si="349"/>
        <v>99.93716005</v>
      </c>
    </row>
    <row r="904" hidden="1" outlineLevel="2">
      <c r="A904" s="54" t="s">
        <v>152</v>
      </c>
      <c r="B904" s="58">
        <f t="shared" ref="B904:I904" si="350">B903/100</f>
        <v>1.006448725</v>
      </c>
      <c r="C904" s="61">
        <f t="shared" si="350"/>
        <v>0.9802231234</v>
      </c>
      <c r="D904" s="378">
        <f t="shared" si="350"/>
        <v>0.9808650739</v>
      </c>
      <c r="E904" s="61">
        <f t="shared" si="350"/>
        <v>1.011751598</v>
      </c>
      <c r="F904" s="61">
        <f t="shared" si="350"/>
        <v>1.027880829</v>
      </c>
      <c r="G904" s="61">
        <f t="shared" si="350"/>
        <v>1.018258702</v>
      </c>
      <c r="H904" s="61">
        <f t="shared" si="350"/>
        <v>0.8307948276</v>
      </c>
      <c r="I904" s="62">
        <f t="shared" si="350"/>
        <v>0.9993716005</v>
      </c>
    </row>
    <row r="905" hidden="1" outlineLevel="2">
      <c r="A905" s="127" t="s">
        <v>154</v>
      </c>
      <c r="B905" s="349" t="s">
        <v>155</v>
      </c>
      <c r="C905" s="350" t="s">
        <v>155</v>
      </c>
      <c r="D905" s="350" t="s">
        <v>155</v>
      </c>
      <c r="E905" s="350" t="s">
        <v>155</v>
      </c>
      <c r="F905" s="350" t="s">
        <v>156</v>
      </c>
      <c r="G905" s="350" t="s">
        <v>155</v>
      </c>
      <c r="H905" s="350" t="s">
        <v>155</v>
      </c>
      <c r="I905" s="350" t="s">
        <v>155</v>
      </c>
    </row>
    <row r="906" hidden="1" outlineLevel="2">
      <c r="A906" s="127" t="s">
        <v>158</v>
      </c>
      <c r="B906" s="156"/>
      <c r="C906" s="157"/>
      <c r="D906" s="337"/>
      <c r="E906" s="157"/>
      <c r="F906" s="440"/>
      <c r="G906" s="157"/>
      <c r="H906" s="157"/>
      <c r="I906" s="352"/>
    </row>
    <row r="907" hidden="1" outlineLevel="1" collapsed="1">
      <c r="A907" s="12"/>
      <c r="B907" s="13" t="s">
        <v>1153</v>
      </c>
      <c r="C907" s="14"/>
      <c r="D907" s="14"/>
      <c r="E907" s="14"/>
      <c r="F907" s="14"/>
      <c r="G907" s="14"/>
      <c r="H907" s="14"/>
      <c r="I907" s="15"/>
    </row>
    <row r="908" hidden="1" outlineLevel="2">
      <c r="A908" s="164"/>
      <c r="B908" s="302" t="s">
        <v>29</v>
      </c>
      <c r="C908" s="303" t="s">
        <v>4</v>
      </c>
      <c r="D908" s="303" t="s">
        <v>19</v>
      </c>
      <c r="E908" s="303" t="s">
        <v>30</v>
      </c>
      <c r="F908" s="303" t="s">
        <v>31</v>
      </c>
      <c r="G908" s="304" t="s">
        <v>32</v>
      </c>
      <c r="H908" s="305" t="s">
        <v>13</v>
      </c>
      <c r="I908" s="305" t="s">
        <v>350</v>
      </c>
    </row>
    <row r="909" hidden="1" outlineLevel="2">
      <c r="A909" s="25" t="s">
        <v>36</v>
      </c>
      <c r="B909" s="243" t="s">
        <v>1153</v>
      </c>
      <c r="C909" s="244"/>
      <c r="D909" s="244"/>
      <c r="E909" s="244"/>
      <c r="F909" s="244"/>
      <c r="G909" s="244"/>
      <c r="H909" s="244"/>
      <c r="I909" s="245"/>
    </row>
    <row r="910" hidden="1" outlineLevel="2">
      <c r="A910" s="32" t="s">
        <v>45</v>
      </c>
      <c r="B910" s="34"/>
      <c r="C910" s="2"/>
      <c r="D910" s="2"/>
      <c r="E910" s="2"/>
      <c r="F910" s="2"/>
      <c r="G910" s="2"/>
      <c r="H910" s="2"/>
      <c r="I910" s="36"/>
    </row>
    <row r="911" hidden="1" outlineLevel="2">
      <c r="A911" s="38" t="s">
        <v>49</v>
      </c>
      <c r="B911" s="246">
        <v>44.18</v>
      </c>
      <c r="C911" s="247">
        <v>40.45</v>
      </c>
      <c r="D911" s="247">
        <v>47.17</v>
      </c>
      <c r="E911" s="247">
        <v>44.04</v>
      </c>
      <c r="F911" s="247">
        <v>42.08</v>
      </c>
      <c r="G911" s="247">
        <v>43.25</v>
      </c>
      <c r="H911" s="247">
        <v>44.26</v>
      </c>
      <c r="I911" s="345">
        <v>44.17</v>
      </c>
    </row>
    <row r="912" hidden="1" outlineLevel="2">
      <c r="A912" s="49" t="s">
        <v>53</v>
      </c>
      <c r="B912" s="250">
        <v>40.0</v>
      </c>
      <c r="C912" s="250">
        <v>40.0</v>
      </c>
      <c r="D912" s="51">
        <v>40.0</v>
      </c>
      <c r="E912" s="250">
        <v>37.0</v>
      </c>
      <c r="F912" s="250">
        <v>37.0</v>
      </c>
      <c r="G912" s="250">
        <v>40.0</v>
      </c>
      <c r="H912" s="250">
        <v>40.0</v>
      </c>
      <c r="I912" s="346">
        <v>40.0</v>
      </c>
    </row>
    <row r="913" hidden="1" outlineLevel="2">
      <c r="A913" s="54" t="s">
        <v>57</v>
      </c>
      <c r="B913" s="252">
        <f t="shared" ref="B913:I913" si="351">B911/B912</f>
        <v>1.1045</v>
      </c>
      <c r="C913" s="253">
        <f t="shared" si="351"/>
        <v>1.01125</v>
      </c>
      <c r="D913" s="253">
        <f t="shared" si="351"/>
        <v>1.17925</v>
      </c>
      <c r="E913" s="253">
        <f t="shared" si="351"/>
        <v>1.19027027</v>
      </c>
      <c r="F913" s="253">
        <f t="shared" si="351"/>
        <v>1.137297297</v>
      </c>
      <c r="G913" s="253">
        <f t="shared" si="351"/>
        <v>1.08125</v>
      </c>
      <c r="H913" s="253">
        <f t="shared" si="351"/>
        <v>1.1065</v>
      </c>
      <c r="I913" s="256">
        <f t="shared" si="351"/>
        <v>1.10425</v>
      </c>
    </row>
    <row r="914" hidden="1" outlineLevel="2">
      <c r="A914" s="32" t="s">
        <v>66</v>
      </c>
      <c r="B914" s="34"/>
      <c r="C914" s="2"/>
      <c r="D914" s="2"/>
      <c r="E914" s="2"/>
      <c r="F914" s="2"/>
      <c r="G914" s="2"/>
      <c r="H914" s="2"/>
      <c r="I914" s="36"/>
    </row>
    <row r="915" hidden="1" outlineLevel="2">
      <c r="A915" s="64" t="s">
        <v>67</v>
      </c>
      <c r="B915" s="246">
        <v>40.0</v>
      </c>
      <c r="C915" s="247">
        <v>40.0</v>
      </c>
      <c r="D915" s="247">
        <v>35.5</v>
      </c>
      <c r="E915" s="247">
        <v>40.0</v>
      </c>
      <c r="F915" s="247">
        <v>31.0</v>
      </c>
      <c r="G915" s="247">
        <v>40.0</v>
      </c>
      <c r="H915" s="247">
        <v>40.0</v>
      </c>
      <c r="I915" s="248">
        <v>40.0</v>
      </c>
    </row>
    <row r="916" hidden="1" outlineLevel="2">
      <c r="A916" s="69" t="s">
        <v>72</v>
      </c>
      <c r="B916" s="186">
        <v>40.0</v>
      </c>
      <c r="C916" s="187">
        <v>40.0</v>
      </c>
      <c r="D916" s="187">
        <v>40.0</v>
      </c>
      <c r="E916" s="187">
        <v>40.0</v>
      </c>
      <c r="F916" s="187">
        <v>40.0</v>
      </c>
      <c r="G916" s="187">
        <v>40.0</v>
      </c>
      <c r="H916" s="187">
        <v>40.0</v>
      </c>
      <c r="I916" s="188">
        <v>40.0</v>
      </c>
    </row>
    <row r="917" hidden="1" outlineLevel="2">
      <c r="A917" s="54" t="s">
        <v>74</v>
      </c>
      <c r="B917" s="252">
        <f t="shared" ref="B917:I917" si="352">B915/B916</f>
        <v>1</v>
      </c>
      <c r="C917" s="253">
        <f t="shared" si="352"/>
        <v>1</v>
      </c>
      <c r="D917" s="253">
        <f t="shared" si="352"/>
        <v>0.8875</v>
      </c>
      <c r="E917" s="253">
        <f t="shared" si="352"/>
        <v>1</v>
      </c>
      <c r="F917" s="253">
        <f t="shared" si="352"/>
        <v>0.775</v>
      </c>
      <c r="G917" s="253">
        <f t="shared" si="352"/>
        <v>1</v>
      </c>
      <c r="H917" s="253">
        <f t="shared" si="352"/>
        <v>1</v>
      </c>
      <c r="I917" s="256">
        <f t="shared" si="352"/>
        <v>1</v>
      </c>
    </row>
    <row r="918" hidden="1" outlineLevel="2">
      <c r="A918" s="32" t="s">
        <v>75</v>
      </c>
      <c r="B918" s="34"/>
      <c r="C918" s="2"/>
      <c r="D918" s="2"/>
      <c r="E918" s="2"/>
      <c r="F918" s="2"/>
      <c r="G918" s="2"/>
      <c r="H918" s="2"/>
      <c r="I918" s="36"/>
    </row>
    <row r="919" hidden="1" outlineLevel="2">
      <c r="A919" s="64" t="s">
        <v>76</v>
      </c>
      <c r="B919" s="185" t="s">
        <v>79</v>
      </c>
      <c r="C919" s="77" t="s">
        <v>80</v>
      </c>
      <c r="D919" s="77" t="s">
        <v>80</v>
      </c>
      <c r="E919" s="78" t="s">
        <v>79</v>
      </c>
      <c r="F919" s="78" t="s">
        <v>79</v>
      </c>
      <c r="G919" s="77" t="s">
        <v>80</v>
      </c>
      <c r="H919" s="77" t="s">
        <v>80</v>
      </c>
      <c r="I919" s="79" t="s">
        <v>79</v>
      </c>
    </row>
    <row r="920" hidden="1" outlineLevel="2">
      <c r="A920" s="64" t="s">
        <v>81</v>
      </c>
      <c r="B920" s="185" t="s">
        <v>83</v>
      </c>
      <c r="C920" s="78" t="s">
        <v>85</v>
      </c>
      <c r="D920" s="78" t="s">
        <v>83</v>
      </c>
      <c r="E920" s="78" t="s">
        <v>85</v>
      </c>
      <c r="F920" s="78" t="s">
        <v>83</v>
      </c>
      <c r="G920" s="78" t="s">
        <v>85</v>
      </c>
      <c r="H920" s="78" t="s">
        <v>85</v>
      </c>
      <c r="I920" s="79" t="s">
        <v>85</v>
      </c>
    </row>
    <row r="921" hidden="1" outlineLevel="2">
      <c r="A921" s="64" t="s">
        <v>86</v>
      </c>
      <c r="B921" s="194">
        <f>IF(B911&lt;B912,B912,B911) *
IF(B919="AM",
    IF(B920="Oricle",3.5,
    IF(B920="Other Brands",4,
    IF(B920="Oricle Prio",0.6,""))),
 IF(B919="MID",
    IF(B920="Oricle",2.5,
    IF(B920="Other Brands",3,
    IF(B920="Oricle Prio",0.6,""))),
 IF(B919="GY",
    IF(B920="Oricle",1,
    IF(B920="Other Brands",1,
    IF(B920="Oricle Prio",0.3,""))),"")))-10</f>
        <v>122.54</v>
      </c>
      <c r="C921" s="204">
        <f>IF(C911&lt;C912,C912,C911) *
IF(C919="AM",
    IF(C920="Oricle",3,
    IF(C920="Other Brands",4,
    IF(C920="Oricle Prio",0.6,""))),
 IF(C919="MID",
    IF(C920="Oricle",2.5,
    IF(C920="Other Brands",3,
    IF(C920="Oricle Prio",0.6,""))),
 IF(C919="GY",
    IF(C920="Oricle",1,
    IF(C920="Other Brands",1,
    IF(C920="Oricle Prio",0.3,""))),"")))</f>
        <v>121.35</v>
      </c>
      <c r="D921" s="204">
        <f>IF(D911&lt;D912,D912,D911) *
IF(D919="AM",
    IF(D920="Oricle",3.5,
    IF(D920="Other Brands",4,
    IF(D920="Oricle Prio",0.6,""))),
 IF(D919="MID",
    IF(D920="Oricle",2.5,
    IF(D920="Other Brands",3,
    IF(D920="Oricle Prio",0.6,""))),
 IF(D919="GY",
    IF(D920="Oricle",1,
    IF(D920="Other Brands",1,
    IF(D920="Oricle Prio",0.3,""))),"")))</f>
        <v>188.68</v>
      </c>
      <c r="E921" s="204">
        <f>IF(E911&lt;E912,E912,E911) *
IF(E919="AM",
    IF(E920="Oricle",3.5,
    IF(E920="Other Brands",4,
    IF(E920="Oricle Prio",0.6,""))),
 IF(E919="MID",
    IF(E920="Oricle",2.5,
    IF(E920="Other Brands",3,
    IF(E920="Oricle Prio",0.6,""))),
 IF(E919="GY",
    IF(E920="Oricle",1,
    IF(E920="Other Brands",1,
    IF(E920="Oricle Prio",0.3,""))),"")))-15</f>
        <v>95.1</v>
      </c>
      <c r="F921" s="204">
        <f>IF(F911&lt;F912,F912,F911) *
IF(F919="AM",
    IF(F920="Oricle",3.5,
    IF(F920="Other Brands",4,
    IF(F920="Oricle Prio",0.6,""))),
 IF(F919="MID",
    IF(F920="Oricle",2.5,
    IF(F920="Other Brands",3,
    IF(F920="Oricle Prio",0.6,""))),
 IF(F919="GY",
    IF(F920="Oricle",1,
    IF(F920="Other Brands",1,
    IF(F920="Oricle Prio",0.3,""))),"")))</f>
        <v>126.24</v>
      </c>
      <c r="G921" s="204">
        <f t="shared" ref="G921:H921" si="353">IF(G911&lt;G912,G912,G911) *
IF(G919="AM",
    IF(G920="Oricle",3,
    IF(G920="Other Brands",4,
    IF(G920="Oricle Prio",0.6,""))),
 IF(G919="MID",
    IF(G920="Oricle",2.5,
    IF(G920="Other Brands",3,
    IF(G920="Oricle Prio",0.6,""))),
 IF(G919="GY",
    IF(G920="Oricle",1,
    IF(G920="Other Brands",1,
    IF(G920="Oricle Prio",0.3,""))),"")))</f>
        <v>129.75</v>
      </c>
      <c r="H921" s="204">
        <f t="shared" si="353"/>
        <v>132.78</v>
      </c>
      <c r="I921" s="204">
        <f>IF(I911&lt;I912,I912,I911) *
IF(I919="AM",
    IF(I920="Oricle",3.5,
    IF(I920="Other Brands",4,
    IF(I920="Oricle Prio",0.6,""))),
 IF(I919="MID",
    IF(I920="Oricle",2.5,
    IF(I920="Other Brands",3,
    IF(I920="Oricle Prio",0.6,""))),
 IF(I919="GY",
    IF(I920="Oricle",1,
    IF(I920="Other Brands",1,
    IF(I920="Oricle Prio",0.3,""))),"")))</f>
        <v>110.425</v>
      </c>
    </row>
    <row r="922" hidden="1" outlineLevel="2">
      <c r="A922" s="64" t="s">
        <v>98</v>
      </c>
      <c r="B922" s="266" t="s">
        <v>330</v>
      </c>
      <c r="C922" s="77" t="s">
        <v>374</v>
      </c>
      <c r="D922" s="77" t="s">
        <v>1169</v>
      </c>
      <c r="E922" s="77" t="s">
        <v>638</v>
      </c>
      <c r="F922" s="77" t="s">
        <v>100</v>
      </c>
      <c r="G922" s="77" t="s">
        <v>257</v>
      </c>
      <c r="H922" s="77" t="s">
        <v>101</v>
      </c>
      <c r="I922" s="77" t="s">
        <v>303</v>
      </c>
    </row>
    <row r="923" hidden="1" outlineLevel="2">
      <c r="A923" s="64" t="s">
        <v>107</v>
      </c>
      <c r="B923" s="266" t="s">
        <v>481</v>
      </c>
      <c r="C923" s="77" t="s">
        <v>374</v>
      </c>
      <c r="D923" s="77" t="s">
        <v>915</v>
      </c>
      <c r="E923" s="77" t="s">
        <v>591</v>
      </c>
      <c r="F923" s="77" t="s">
        <v>327</v>
      </c>
      <c r="G923" s="77" t="s">
        <v>1170</v>
      </c>
      <c r="H923" s="77" t="s">
        <v>561</v>
      </c>
      <c r="I923" s="77" t="s">
        <v>1171</v>
      </c>
    </row>
    <row r="924" hidden="1" outlineLevel="2">
      <c r="A924" s="69" t="s">
        <v>115</v>
      </c>
      <c r="B924" s="108">
        <f t="shared" ref="B924:I924" si="354">IF(B922&gt;0,B923/B922,0)</f>
        <v>0.9533333333</v>
      </c>
      <c r="C924" s="110">
        <f t="shared" si="354"/>
        <v>1</v>
      </c>
      <c r="D924" s="110">
        <f t="shared" si="354"/>
        <v>0.9714285714</v>
      </c>
      <c r="E924" s="110">
        <f t="shared" si="354"/>
        <v>0.9565217391</v>
      </c>
      <c r="F924" s="110">
        <f t="shared" si="354"/>
        <v>0.974789916</v>
      </c>
      <c r="G924" s="110">
        <f t="shared" si="354"/>
        <v>0.9813664596</v>
      </c>
      <c r="H924" s="110">
        <f t="shared" si="354"/>
        <v>0.9781021898</v>
      </c>
      <c r="I924" s="111">
        <f t="shared" si="354"/>
        <v>0.9897959184</v>
      </c>
    </row>
    <row r="925" hidden="1" outlineLevel="2">
      <c r="A925" s="69" t="s">
        <v>119</v>
      </c>
      <c r="B925" s="108">
        <f t="shared" ref="B925:I925" si="355">IF(B921&gt;0,B923/B921,0)</f>
        <v>1.166965889</v>
      </c>
      <c r="C925" s="110">
        <f t="shared" si="355"/>
        <v>0.9229501442</v>
      </c>
      <c r="D925" s="110">
        <f t="shared" si="355"/>
        <v>0.900996396</v>
      </c>
      <c r="E925" s="110">
        <f t="shared" si="355"/>
        <v>0.9253417455</v>
      </c>
      <c r="F925" s="110">
        <f t="shared" si="355"/>
        <v>0.9188846641</v>
      </c>
      <c r="G925" s="110">
        <f t="shared" si="355"/>
        <v>1.217726397</v>
      </c>
      <c r="H925" s="110">
        <f t="shared" si="355"/>
        <v>1.009188131</v>
      </c>
      <c r="I925" s="111">
        <f t="shared" si="355"/>
        <v>0.8784242699</v>
      </c>
    </row>
    <row r="926" hidden="1" outlineLevel="2">
      <c r="A926" s="116" t="s">
        <v>82</v>
      </c>
      <c r="B926" s="252">
        <f t="shared" ref="B926:I926" si="356">average(B924:B925)</f>
        <v>1.060149611</v>
      </c>
      <c r="C926" s="253">
        <f t="shared" si="356"/>
        <v>0.9614750721</v>
      </c>
      <c r="D926" s="253">
        <f t="shared" si="356"/>
        <v>0.9362124837</v>
      </c>
      <c r="E926" s="253">
        <f t="shared" si="356"/>
        <v>0.9409317423</v>
      </c>
      <c r="F926" s="253">
        <f t="shared" si="356"/>
        <v>0.94683729</v>
      </c>
      <c r="G926" s="253">
        <f t="shared" si="356"/>
        <v>1.099546428</v>
      </c>
      <c r="H926" s="253">
        <f t="shared" si="356"/>
        <v>0.9936451603</v>
      </c>
      <c r="I926" s="256">
        <f t="shared" si="356"/>
        <v>0.9341100941</v>
      </c>
    </row>
    <row r="927" hidden="1" outlineLevel="2">
      <c r="A927" s="32" t="s">
        <v>121</v>
      </c>
      <c r="B927" s="316"/>
      <c r="C927" s="2"/>
      <c r="D927" s="2"/>
      <c r="E927" s="2"/>
      <c r="F927" s="2"/>
      <c r="G927" s="2"/>
      <c r="H927" s="2"/>
      <c r="I927" s="3"/>
    </row>
    <row r="928" hidden="1" outlineLevel="2">
      <c r="A928" s="64" t="s">
        <v>122</v>
      </c>
      <c r="B928" s="246">
        <v>9.66</v>
      </c>
      <c r="C928" s="247">
        <v>7.84</v>
      </c>
      <c r="D928" s="247">
        <v>8.54</v>
      </c>
      <c r="E928" s="247">
        <v>9.0</v>
      </c>
      <c r="F928" s="247">
        <v>9.0</v>
      </c>
      <c r="G928" s="247">
        <v>8.77</v>
      </c>
      <c r="H928" s="247">
        <v>8.95</v>
      </c>
      <c r="I928" s="247">
        <v>8.28</v>
      </c>
    </row>
    <row r="929" hidden="1" outlineLevel="2">
      <c r="A929" s="69" t="s">
        <v>128</v>
      </c>
      <c r="B929" s="119">
        <v>10.0</v>
      </c>
      <c r="C929" s="120">
        <v>10.0</v>
      </c>
      <c r="D929" s="120">
        <v>10.0</v>
      </c>
      <c r="E929" s="120">
        <v>10.0</v>
      </c>
      <c r="F929" s="120">
        <v>10.0</v>
      </c>
      <c r="G929" s="120">
        <v>10.0</v>
      </c>
      <c r="H929" s="120">
        <v>10.0</v>
      </c>
      <c r="I929" s="121">
        <v>10.0</v>
      </c>
    </row>
    <row r="930" hidden="1" outlineLevel="2">
      <c r="A930" s="54" t="s">
        <v>130</v>
      </c>
      <c r="B930" s="252">
        <f t="shared" ref="B930:I930" si="357">IF(B928=0,0,B928/B929)</f>
        <v>0.966</v>
      </c>
      <c r="C930" s="253">
        <f t="shared" si="357"/>
        <v>0.784</v>
      </c>
      <c r="D930" s="253">
        <f t="shared" si="357"/>
        <v>0.854</v>
      </c>
      <c r="E930" s="253">
        <f t="shared" si="357"/>
        <v>0.9</v>
      </c>
      <c r="F930" s="253">
        <f t="shared" si="357"/>
        <v>0.9</v>
      </c>
      <c r="G930" s="253">
        <f t="shared" si="357"/>
        <v>0.877</v>
      </c>
      <c r="H930" s="253">
        <f t="shared" si="357"/>
        <v>0.895</v>
      </c>
      <c r="I930" s="256">
        <f t="shared" si="357"/>
        <v>0.828</v>
      </c>
    </row>
    <row r="931" hidden="1" outlineLevel="2">
      <c r="A931" s="32" t="s">
        <v>131</v>
      </c>
      <c r="B931" s="34"/>
      <c r="C931" s="2"/>
      <c r="D931" s="2"/>
      <c r="E931" s="2"/>
      <c r="F931" s="2"/>
      <c r="G931" s="2"/>
      <c r="H931" s="2"/>
      <c r="I931" s="36"/>
    </row>
    <row r="932" hidden="1" outlineLevel="2">
      <c r="A932" s="64" t="s">
        <v>132</v>
      </c>
      <c r="B932" s="312"/>
      <c r="C932" s="313"/>
      <c r="D932" s="332"/>
      <c r="E932" s="313"/>
      <c r="F932" s="313"/>
      <c r="G932" s="313"/>
      <c r="H932" s="313"/>
      <c r="I932" s="314"/>
    </row>
    <row r="933" hidden="1" outlineLevel="2">
      <c r="A933" s="127" t="s">
        <v>134</v>
      </c>
      <c r="B933" s="34"/>
      <c r="C933" s="2"/>
      <c r="D933" s="2"/>
      <c r="E933" s="2"/>
      <c r="F933" s="2"/>
      <c r="G933" s="2"/>
      <c r="H933" s="2"/>
      <c r="I933" s="36"/>
    </row>
    <row r="934" hidden="1" outlineLevel="2">
      <c r="A934" s="69" t="s">
        <v>136</v>
      </c>
      <c r="B934" s="129">
        <f t="shared" ref="B934:I934" si="358">B913*25</f>
        <v>27.6125</v>
      </c>
      <c r="C934" s="130">
        <f t="shared" si="358"/>
        <v>25.28125</v>
      </c>
      <c r="D934" s="130">
        <f t="shared" si="358"/>
        <v>29.48125</v>
      </c>
      <c r="E934" s="130">
        <f t="shared" si="358"/>
        <v>29.75675676</v>
      </c>
      <c r="F934" s="130">
        <f t="shared" si="358"/>
        <v>28.43243243</v>
      </c>
      <c r="G934" s="130">
        <f t="shared" si="358"/>
        <v>27.03125</v>
      </c>
      <c r="H934" s="130">
        <f t="shared" si="358"/>
        <v>27.6625</v>
      </c>
      <c r="I934" s="132">
        <f t="shared" si="358"/>
        <v>27.60625</v>
      </c>
    </row>
    <row r="935" hidden="1" outlineLevel="2">
      <c r="A935" s="69" t="s">
        <v>144</v>
      </c>
      <c r="B935" s="129">
        <f t="shared" ref="B935:I935" si="359">B917*35</f>
        <v>35</v>
      </c>
      <c r="C935" s="130">
        <f t="shared" si="359"/>
        <v>35</v>
      </c>
      <c r="D935" s="130">
        <f t="shared" si="359"/>
        <v>31.0625</v>
      </c>
      <c r="E935" s="130">
        <f t="shared" si="359"/>
        <v>35</v>
      </c>
      <c r="F935" s="130">
        <f t="shared" si="359"/>
        <v>27.125</v>
      </c>
      <c r="G935" s="130">
        <f t="shared" si="359"/>
        <v>35</v>
      </c>
      <c r="H935" s="130">
        <f t="shared" si="359"/>
        <v>35</v>
      </c>
      <c r="I935" s="132">
        <f t="shared" si="359"/>
        <v>35</v>
      </c>
    </row>
    <row r="936" hidden="1" outlineLevel="2">
      <c r="A936" s="69" t="s">
        <v>146</v>
      </c>
      <c r="B936" s="129">
        <f t="shared" ref="B936:I936" si="360">IF(AND(B917&lt;85%, B926&gt;100%), 25, B926*25)</f>
        <v>26.50374028</v>
      </c>
      <c r="C936" s="130">
        <f t="shared" si="360"/>
        <v>24.0368768</v>
      </c>
      <c r="D936" s="130">
        <f t="shared" si="360"/>
        <v>23.40531209</v>
      </c>
      <c r="E936" s="130">
        <f t="shared" si="360"/>
        <v>23.52329356</v>
      </c>
      <c r="F936" s="130">
        <f t="shared" si="360"/>
        <v>23.67093225</v>
      </c>
      <c r="G936" s="130">
        <f t="shared" si="360"/>
        <v>27.48866071</v>
      </c>
      <c r="H936" s="130">
        <f t="shared" si="360"/>
        <v>24.84112901</v>
      </c>
      <c r="I936" s="132">
        <f t="shared" si="360"/>
        <v>23.35275235</v>
      </c>
    </row>
    <row r="937" hidden="1" outlineLevel="2">
      <c r="A937" s="69" t="s">
        <v>148</v>
      </c>
      <c r="B937" s="129">
        <f t="shared" ref="B937:I937" si="361">B930*15</f>
        <v>14.49</v>
      </c>
      <c r="C937" s="130">
        <f t="shared" si="361"/>
        <v>11.76</v>
      </c>
      <c r="D937" s="130">
        <f t="shared" si="361"/>
        <v>12.81</v>
      </c>
      <c r="E937" s="130">
        <f t="shared" si="361"/>
        <v>13.5</v>
      </c>
      <c r="F937" s="130">
        <f t="shared" si="361"/>
        <v>13.5</v>
      </c>
      <c r="G937" s="130">
        <f t="shared" si="361"/>
        <v>13.155</v>
      </c>
      <c r="H937" s="130">
        <f t="shared" si="361"/>
        <v>13.425</v>
      </c>
      <c r="I937" s="132">
        <f t="shared" si="361"/>
        <v>12.42</v>
      </c>
    </row>
    <row r="938" hidden="1" outlineLevel="2">
      <c r="A938" s="69" t="s">
        <v>149</v>
      </c>
      <c r="B938" s="129">
        <f t="shared" ref="B938:I938" si="362">B932*-10</f>
        <v>0</v>
      </c>
      <c r="C938" s="130">
        <f t="shared" si="362"/>
        <v>0</v>
      </c>
      <c r="D938" s="130">
        <f t="shared" si="362"/>
        <v>0</v>
      </c>
      <c r="E938" s="130">
        <f t="shared" si="362"/>
        <v>0</v>
      </c>
      <c r="F938" s="130">
        <f t="shared" si="362"/>
        <v>0</v>
      </c>
      <c r="G938" s="130">
        <f t="shared" si="362"/>
        <v>0</v>
      </c>
      <c r="H938" s="130">
        <f t="shared" si="362"/>
        <v>0</v>
      </c>
      <c r="I938" s="132">
        <f t="shared" si="362"/>
        <v>0</v>
      </c>
    </row>
    <row r="939" hidden="1" outlineLevel="2">
      <c r="A939" s="142" t="s">
        <v>150</v>
      </c>
      <c r="B939" s="129">
        <f t="shared" ref="B939:I939" si="363">B934+B935+B936+B937+B938</f>
        <v>103.6062403</v>
      </c>
      <c r="C939" s="130">
        <f t="shared" si="363"/>
        <v>96.0781268</v>
      </c>
      <c r="D939" s="130">
        <f t="shared" si="363"/>
        <v>96.75906209</v>
      </c>
      <c r="E939" s="130">
        <f t="shared" si="363"/>
        <v>101.7800503</v>
      </c>
      <c r="F939" s="130">
        <f t="shared" si="363"/>
        <v>92.72836468</v>
      </c>
      <c r="G939" s="130">
        <f t="shared" si="363"/>
        <v>102.6749107</v>
      </c>
      <c r="H939" s="130">
        <f t="shared" si="363"/>
        <v>100.928629</v>
      </c>
      <c r="I939" s="132">
        <f t="shared" si="363"/>
        <v>98.37900235</v>
      </c>
    </row>
    <row r="940" hidden="1" outlineLevel="2">
      <c r="A940" s="54" t="s">
        <v>152</v>
      </c>
      <c r="B940" s="58">
        <f t="shared" ref="B940:I940" si="364">B939/100</f>
        <v>1.036062403</v>
      </c>
      <c r="C940" s="61">
        <f t="shared" si="364"/>
        <v>0.960781268</v>
      </c>
      <c r="D940" s="378">
        <f t="shared" si="364"/>
        <v>0.9675906209</v>
      </c>
      <c r="E940" s="61">
        <f t="shared" si="364"/>
        <v>1.017800503</v>
      </c>
      <c r="F940" s="61">
        <f t="shared" si="364"/>
        <v>0.9272836468</v>
      </c>
      <c r="G940" s="61">
        <f t="shared" si="364"/>
        <v>1.026749107</v>
      </c>
      <c r="H940" s="61">
        <f t="shared" si="364"/>
        <v>1.00928629</v>
      </c>
      <c r="I940" s="62">
        <f t="shared" si="364"/>
        <v>0.9837900235</v>
      </c>
    </row>
    <row r="941" hidden="1" outlineLevel="2">
      <c r="A941" s="127" t="s">
        <v>154</v>
      </c>
      <c r="B941" s="349" t="s">
        <v>156</v>
      </c>
      <c r="C941" s="350" t="s">
        <v>155</v>
      </c>
      <c r="D941" s="350" t="s">
        <v>155</v>
      </c>
      <c r="E941" s="350" t="s">
        <v>155</v>
      </c>
      <c r="F941" s="350" t="s">
        <v>155</v>
      </c>
      <c r="G941" s="350" t="s">
        <v>155</v>
      </c>
      <c r="H941" s="350" t="s">
        <v>155</v>
      </c>
      <c r="I941" s="350" t="s">
        <v>155</v>
      </c>
    </row>
    <row r="942" hidden="1" outlineLevel="2">
      <c r="A942" s="127" t="s">
        <v>158</v>
      </c>
      <c r="B942" s="156"/>
      <c r="C942" s="157"/>
      <c r="D942" s="337"/>
      <c r="E942" s="157"/>
      <c r="F942" s="440"/>
      <c r="G942" s="157"/>
      <c r="H942" s="157"/>
      <c r="I942" s="352"/>
    </row>
    <row r="943" hidden="1" outlineLevel="1">
      <c r="A943" s="12"/>
      <c r="B943" s="13" t="s">
        <v>1186</v>
      </c>
      <c r="C943" s="14"/>
      <c r="D943" s="14"/>
      <c r="E943" s="14"/>
      <c r="F943" s="14"/>
      <c r="G943" s="14"/>
      <c r="H943" s="14"/>
      <c r="I943" s="15"/>
    </row>
    <row r="944" hidden="1" outlineLevel="1">
      <c r="A944" s="164"/>
      <c r="B944" s="302" t="s">
        <v>29</v>
      </c>
      <c r="C944" s="303" t="s">
        <v>4</v>
      </c>
      <c r="D944" s="303" t="s">
        <v>19</v>
      </c>
      <c r="E944" s="303" t="s">
        <v>30</v>
      </c>
      <c r="F944" s="303" t="s">
        <v>31</v>
      </c>
      <c r="G944" s="304" t="s">
        <v>32</v>
      </c>
      <c r="H944" s="305" t="s">
        <v>13</v>
      </c>
      <c r="I944" s="305" t="s">
        <v>350</v>
      </c>
    </row>
    <row r="945" hidden="1" outlineLevel="1">
      <c r="A945" s="25" t="s">
        <v>36</v>
      </c>
      <c r="B945" s="243" t="s">
        <v>1186</v>
      </c>
      <c r="C945" s="244"/>
      <c r="D945" s="244"/>
      <c r="E945" s="244"/>
      <c r="F945" s="244"/>
      <c r="G945" s="244"/>
      <c r="H945" s="244"/>
      <c r="I945" s="245"/>
    </row>
    <row r="946" hidden="1" outlineLevel="1">
      <c r="A946" s="32" t="s">
        <v>45</v>
      </c>
      <c r="B946" s="34"/>
      <c r="C946" s="2"/>
      <c r="D946" s="2"/>
      <c r="E946" s="2"/>
      <c r="F946" s="2"/>
      <c r="G946" s="2"/>
      <c r="H946" s="2"/>
      <c r="I946" s="36"/>
    </row>
    <row r="947" hidden="1" outlineLevel="1">
      <c r="A947" s="38" t="s">
        <v>49</v>
      </c>
      <c r="B947" s="246">
        <v>42.44</v>
      </c>
      <c r="C947" s="247">
        <v>31.59</v>
      </c>
      <c r="D947" s="247">
        <v>49.02</v>
      </c>
      <c r="E947" s="247">
        <v>44.05</v>
      </c>
      <c r="F947" s="247">
        <v>44.08</v>
      </c>
      <c r="G947" s="247">
        <v>45.04</v>
      </c>
      <c r="H947" s="247">
        <v>39.22</v>
      </c>
      <c r="I947" s="345">
        <v>44.06</v>
      </c>
    </row>
    <row r="948" hidden="1" outlineLevel="1">
      <c r="A948" s="49" t="s">
        <v>53</v>
      </c>
      <c r="B948" s="250">
        <v>40.0</v>
      </c>
      <c r="C948" s="250">
        <v>34.0</v>
      </c>
      <c r="D948" s="51">
        <v>40.0</v>
      </c>
      <c r="E948" s="250">
        <v>37.0</v>
      </c>
      <c r="F948" s="250">
        <v>37.0</v>
      </c>
      <c r="G948" s="250">
        <v>40.0</v>
      </c>
      <c r="H948" s="250">
        <v>40.0</v>
      </c>
      <c r="I948" s="346">
        <v>40.0</v>
      </c>
    </row>
    <row r="949" hidden="1" outlineLevel="1">
      <c r="A949" s="54" t="s">
        <v>57</v>
      </c>
      <c r="B949" s="252">
        <f t="shared" ref="B949:I949" si="365">B947/B948</f>
        <v>1.061</v>
      </c>
      <c r="C949" s="253">
        <f t="shared" si="365"/>
        <v>0.9291176471</v>
      </c>
      <c r="D949" s="253">
        <f t="shared" si="365"/>
        <v>1.2255</v>
      </c>
      <c r="E949" s="253">
        <f t="shared" si="365"/>
        <v>1.190540541</v>
      </c>
      <c r="F949" s="253">
        <f t="shared" si="365"/>
        <v>1.191351351</v>
      </c>
      <c r="G949" s="253">
        <f t="shared" si="365"/>
        <v>1.126</v>
      </c>
      <c r="H949" s="253">
        <f t="shared" si="365"/>
        <v>0.9805</v>
      </c>
      <c r="I949" s="256">
        <f t="shared" si="365"/>
        <v>1.1015</v>
      </c>
    </row>
    <row r="950" hidden="1" outlineLevel="1">
      <c r="A950" s="32" t="s">
        <v>66</v>
      </c>
      <c r="B950" s="34"/>
      <c r="C950" s="2"/>
      <c r="D950" s="2"/>
      <c r="E950" s="2"/>
      <c r="F950" s="2"/>
      <c r="G950" s="2"/>
      <c r="H950" s="2"/>
      <c r="I950" s="36"/>
    </row>
    <row r="951" hidden="1" outlineLevel="1">
      <c r="A951" s="64" t="s">
        <v>67</v>
      </c>
      <c r="B951" s="246">
        <v>40.0</v>
      </c>
      <c r="C951" s="247">
        <v>40.0</v>
      </c>
      <c r="D951" s="247">
        <v>40.0</v>
      </c>
      <c r="E951" s="247">
        <v>39.63</v>
      </c>
      <c r="F951" s="247">
        <v>31.0</v>
      </c>
      <c r="G951" s="247">
        <v>40.0</v>
      </c>
      <c r="H951" s="247">
        <v>40.0</v>
      </c>
      <c r="I951" s="248">
        <v>40.0</v>
      </c>
    </row>
    <row r="952" hidden="1" outlineLevel="1">
      <c r="A952" s="69" t="s">
        <v>72</v>
      </c>
      <c r="B952" s="186">
        <v>40.0</v>
      </c>
      <c r="C952" s="187">
        <v>40.0</v>
      </c>
      <c r="D952" s="187">
        <v>40.0</v>
      </c>
      <c r="E952" s="187">
        <v>40.0</v>
      </c>
      <c r="F952" s="187">
        <v>40.0</v>
      </c>
      <c r="G952" s="187">
        <v>40.0</v>
      </c>
      <c r="H952" s="187">
        <v>40.0</v>
      </c>
      <c r="I952" s="188">
        <v>40.0</v>
      </c>
    </row>
    <row r="953" hidden="1" outlineLevel="1">
      <c r="A953" s="54" t="s">
        <v>74</v>
      </c>
      <c r="B953" s="252">
        <f t="shared" ref="B953:I953" si="366">B951/B952</f>
        <v>1</v>
      </c>
      <c r="C953" s="253">
        <f t="shared" si="366"/>
        <v>1</v>
      </c>
      <c r="D953" s="253">
        <f t="shared" si="366"/>
        <v>1</v>
      </c>
      <c r="E953" s="253">
        <f t="shared" si="366"/>
        <v>0.99075</v>
      </c>
      <c r="F953" s="253">
        <f t="shared" si="366"/>
        <v>0.775</v>
      </c>
      <c r="G953" s="253">
        <f t="shared" si="366"/>
        <v>1</v>
      </c>
      <c r="H953" s="253">
        <f t="shared" si="366"/>
        <v>1</v>
      </c>
      <c r="I953" s="256">
        <f t="shared" si="366"/>
        <v>1</v>
      </c>
    </row>
    <row r="954" hidden="1" outlineLevel="1">
      <c r="A954" s="32" t="s">
        <v>75</v>
      </c>
      <c r="B954" s="34"/>
      <c r="C954" s="2"/>
      <c r="D954" s="2"/>
      <c r="E954" s="2"/>
      <c r="F954" s="2"/>
      <c r="G954" s="2"/>
      <c r="H954" s="2"/>
      <c r="I954" s="36"/>
    </row>
    <row r="955" hidden="1" outlineLevel="1">
      <c r="A955" s="64" t="s">
        <v>76</v>
      </c>
      <c r="B955" s="185" t="s">
        <v>79</v>
      </c>
      <c r="C955" s="77" t="s">
        <v>80</v>
      </c>
      <c r="D955" s="77" t="s">
        <v>80</v>
      </c>
      <c r="E955" s="78" t="s">
        <v>79</v>
      </c>
      <c r="F955" s="78" t="s">
        <v>79</v>
      </c>
      <c r="G955" s="77" t="s">
        <v>80</v>
      </c>
      <c r="H955" s="77" t="s">
        <v>80</v>
      </c>
      <c r="I955" s="79" t="s">
        <v>79</v>
      </c>
    </row>
    <row r="956" hidden="1" outlineLevel="1">
      <c r="A956" s="64" t="s">
        <v>81</v>
      </c>
      <c r="B956" s="185" t="s">
        <v>83</v>
      </c>
      <c r="C956" s="78" t="s">
        <v>85</v>
      </c>
      <c r="D956" s="78" t="s">
        <v>83</v>
      </c>
      <c r="E956" s="78" t="s">
        <v>85</v>
      </c>
      <c r="F956" s="78" t="s">
        <v>83</v>
      </c>
      <c r="G956" s="78" t="s">
        <v>85</v>
      </c>
      <c r="H956" s="78" t="s">
        <v>85</v>
      </c>
      <c r="I956" s="79" t="s">
        <v>85</v>
      </c>
    </row>
    <row r="957" hidden="1" outlineLevel="1">
      <c r="A957" s="64" t="s">
        <v>86</v>
      </c>
      <c r="B957" s="194">
        <f>IF(B947&lt;B948,B948,B947) *
IF(B955="AM",
    IF(B956="Oricle",3.5,
    IF(B956="Other Brands",4,
    IF(B956="Oricle Prio",0.6,""))),
 IF(B955="MID",
    IF(B956="Oricle",2.5,
    IF(B956="Other Brands",3,
    IF(B956="Oricle Prio",0.6,""))),
 IF(B955="GY",
    IF(B956="Oricle",1,
    IF(B956="Other Brands",1,
    IF(B956="Oricle Prio",0.3,""))),"")))-10</f>
        <v>117.32</v>
      </c>
      <c r="C957" s="204">
        <f>IF(C947&lt;C948,C948,C947) *
IF(C955="AM",
    IF(C956="Oricle",3,
    IF(C956="Other Brands",4,
    IF(C956="Oricle Prio",0.6,""))),
 IF(C955="MID",
    IF(C956="Oricle",2.5,
    IF(C956="Other Brands",3,
    IF(C956="Oricle Prio",0.6,""))),
 IF(C955="GY",
    IF(C956="Oricle",1,
    IF(C956="Other Brands",1,
    IF(C956="Oricle Prio",0.3,""))),"")))</f>
        <v>102</v>
      </c>
      <c r="D957" s="204">
        <f>IF(D947&lt;D948,D948,D947) *
IF(D955="AM",
    IF(D956="Oricle",3.5,
    IF(D956="Other Brands",4,
    IF(D956="Oricle Prio",0.6,""))),
 IF(D955="MID",
    IF(D956="Oricle",2.5,
    IF(D956="Other Brands",3,
    IF(D956="Oricle Prio",0.6,""))),
 IF(D955="GY",
    IF(D956="Oricle",1,
    IF(D956="Other Brands",1,
    IF(D956="Oricle Prio",0.3,""))),"")))</f>
        <v>196.08</v>
      </c>
      <c r="E957" s="204">
        <f>IF(E947&lt;E948,E948,E947) *
IF(E955="AM",
    IF(E956="Oricle",3.5,
    IF(E956="Other Brands",4,
    IF(E956="Oricle Prio",0.6,""))),
 IF(E955="MID",
    IF(E956="Oricle",2.5,
    IF(E956="Other Brands",3,
    IF(E956="Oricle Prio",0.6,""))),
 IF(E955="GY",
    IF(E956="Oricle",1,
    IF(E956="Other Brands",1,
    IF(E956="Oricle Prio",0.3,""))),"")))-15</f>
        <v>95.125</v>
      </c>
      <c r="F957" s="204">
        <f>IF(F947&lt;F948,F948,F947) *
IF(F955="AM",
    IF(F956="Oricle",3.5,
    IF(F956="Other Brands",4,
    IF(F956="Oricle Prio",0.6,""))),
 IF(F955="MID",
    IF(F956="Oricle",2.5,
    IF(F956="Other Brands",3,
    IF(F956="Oricle Prio",0.6,""))),
 IF(F955="GY",
    IF(F956="Oricle",1,
    IF(F956="Other Brands",1,
    IF(F956="Oricle Prio",0.3,""))),"")))</f>
        <v>132.24</v>
      </c>
      <c r="G957" s="204">
        <f t="shared" ref="G957:H957" si="367">IF(G947&lt;G948,G948,G947) *
IF(G955="AM",
    IF(G956="Oricle",3,
    IF(G956="Other Brands",4,
    IF(G956="Oricle Prio",0.6,""))),
 IF(G955="MID",
    IF(G956="Oricle",2.5,
    IF(G956="Other Brands",3,
    IF(G956="Oricle Prio",0.6,""))),
 IF(G955="GY",
    IF(G956="Oricle",1,
    IF(G956="Other Brands",1,
    IF(G956="Oricle Prio",0.3,""))),"")))</f>
        <v>135.12</v>
      </c>
      <c r="H957" s="204">
        <f t="shared" si="367"/>
        <v>120</v>
      </c>
      <c r="I957" s="204">
        <f>IF(I947&lt;I948,I948,I947) *
IF(I955="AM",
    IF(I956="Oricle",3.5,
    IF(I956="Other Brands",4,
    IF(I956="Oricle Prio",0.6,""))),
 IF(I955="MID",
    IF(I956="Oricle",2.5,
    IF(I956="Other Brands",3,
    IF(I956="Oricle Prio",0.6,""))),
 IF(I955="GY",
    IF(I956="Oricle",1,
    IF(I956="Other Brands",1,
    IF(I956="Oricle Prio",0.3,""))),"")))</f>
        <v>110.15</v>
      </c>
    </row>
    <row r="958" hidden="1" outlineLevel="1">
      <c r="A958" s="64" t="s">
        <v>98</v>
      </c>
      <c r="B958" s="266" t="s">
        <v>298</v>
      </c>
      <c r="C958" s="77" t="s">
        <v>407</v>
      </c>
      <c r="D958" s="77" t="s">
        <v>1206</v>
      </c>
      <c r="E958" s="77" t="s">
        <v>442</v>
      </c>
      <c r="F958" s="77" t="s">
        <v>254</v>
      </c>
      <c r="G958" s="77" t="s">
        <v>1207</v>
      </c>
      <c r="H958" s="77" t="s">
        <v>249</v>
      </c>
      <c r="I958" s="77" t="s">
        <v>376</v>
      </c>
    </row>
    <row r="959" hidden="1" outlineLevel="1">
      <c r="A959" s="64" t="s">
        <v>107</v>
      </c>
      <c r="B959" s="266" t="s">
        <v>333</v>
      </c>
      <c r="C959" s="77" t="s">
        <v>688</v>
      </c>
      <c r="D959" s="77" t="s">
        <v>1208</v>
      </c>
      <c r="E959" s="77" t="s">
        <v>301</v>
      </c>
      <c r="F959" s="77" t="s">
        <v>200</v>
      </c>
      <c r="G959" s="77" t="s">
        <v>1170</v>
      </c>
      <c r="H959" s="77" t="s">
        <v>255</v>
      </c>
      <c r="I959" s="77" t="s">
        <v>334</v>
      </c>
    </row>
    <row r="960" hidden="1" outlineLevel="1">
      <c r="A960" s="69" t="s">
        <v>115</v>
      </c>
      <c r="B960" s="108">
        <f t="shared" ref="B960:I960" si="368">IF(B958&gt;0,B959/B958,0)</f>
        <v>0.9738562092</v>
      </c>
      <c r="C960" s="110">
        <f t="shared" si="368"/>
        <v>0.9680851064</v>
      </c>
      <c r="D960" s="110">
        <f t="shared" si="368"/>
        <v>0.9591836735</v>
      </c>
      <c r="E960" s="110">
        <f t="shared" si="368"/>
        <v>0.9636363636</v>
      </c>
      <c r="F960" s="110">
        <f t="shared" si="368"/>
        <v>0.9558823529</v>
      </c>
      <c r="G960" s="110">
        <f t="shared" si="368"/>
        <v>0.8102564103</v>
      </c>
      <c r="H960" s="110">
        <f t="shared" si="368"/>
        <v>0.9735099338</v>
      </c>
      <c r="I960" s="111">
        <f t="shared" si="368"/>
        <v>0.9900990099</v>
      </c>
    </row>
    <row r="961" hidden="1" outlineLevel="1">
      <c r="A961" s="69" t="s">
        <v>119</v>
      </c>
      <c r="B961" s="108">
        <f t="shared" ref="B961:I961" si="369">IF(B957&gt;0,B959/B957,0)</f>
        <v>1.270030685</v>
      </c>
      <c r="C961" s="110">
        <f t="shared" si="369"/>
        <v>0.8921568627</v>
      </c>
      <c r="D961" s="110">
        <f t="shared" si="369"/>
        <v>0.9587923297</v>
      </c>
      <c r="E961" s="110">
        <f t="shared" si="369"/>
        <v>1.114323259</v>
      </c>
      <c r="F961" s="110">
        <f t="shared" si="369"/>
        <v>0.983061101</v>
      </c>
      <c r="G961" s="110">
        <f t="shared" si="369"/>
        <v>1.169330965</v>
      </c>
      <c r="H961" s="110">
        <f t="shared" si="369"/>
        <v>1.225</v>
      </c>
      <c r="I961" s="111">
        <f t="shared" si="369"/>
        <v>0.9078529278</v>
      </c>
    </row>
    <row r="962" hidden="1" outlineLevel="1">
      <c r="A962" s="116" t="s">
        <v>82</v>
      </c>
      <c r="B962" s="252">
        <f t="shared" ref="B962:I962" si="370">average(B960:B961)</f>
        <v>1.121943447</v>
      </c>
      <c r="C962" s="253">
        <f t="shared" si="370"/>
        <v>0.9301209846</v>
      </c>
      <c r="D962" s="253">
        <f t="shared" si="370"/>
        <v>0.9589880016</v>
      </c>
      <c r="E962" s="253">
        <f t="shared" si="370"/>
        <v>1.038979811</v>
      </c>
      <c r="F962" s="253">
        <f t="shared" si="370"/>
        <v>0.969471727</v>
      </c>
      <c r="G962" s="253">
        <f t="shared" si="370"/>
        <v>0.9897936877</v>
      </c>
      <c r="H962" s="253">
        <f t="shared" si="370"/>
        <v>1.099254967</v>
      </c>
      <c r="I962" s="256">
        <f t="shared" si="370"/>
        <v>0.9489759689</v>
      </c>
    </row>
    <row r="963" hidden="1" outlineLevel="1">
      <c r="A963" s="32" t="s">
        <v>121</v>
      </c>
      <c r="B963" s="316"/>
      <c r="C963" s="2"/>
      <c r="D963" s="2"/>
      <c r="E963" s="2"/>
      <c r="F963" s="2"/>
      <c r="G963" s="2"/>
      <c r="H963" s="2"/>
      <c r="I963" s="3"/>
    </row>
    <row r="964" hidden="1" outlineLevel="1">
      <c r="A964" s="64" t="s">
        <v>122</v>
      </c>
      <c r="B964" s="246">
        <v>9.0</v>
      </c>
      <c r="C964" s="247">
        <v>8.26</v>
      </c>
      <c r="D964" s="247">
        <v>8.34</v>
      </c>
      <c r="E964" s="247">
        <v>8.33</v>
      </c>
      <c r="F964" s="247">
        <v>9.66</v>
      </c>
      <c r="G964" s="247">
        <v>8.25</v>
      </c>
      <c r="H964" s="247">
        <v>8.88</v>
      </c>
      <c r="I964" s="247">
        <v>8.24</v>
      </c>
    </row>
    <row r="965" hidden="1" outlineLevel="1">
      <c r="A965" s="69" t="s">
        <v>128</v>
      </c>
      <c r="B965" s="119">
        <v>10.0</v>
      </c>
      <c r="C965" s="120">
        <v>10.0</v>
      </c>
      <c r="D965" s="120">
        <v>10.0</v>
      </c>
      <c r="E965" s="120">
        <v>10.0</v>
      </c>
      <c r="F965" s="120">
        <v>10.0</v>
      </c>
      <c r="G965" s="120">
        <v>10.0</v>
      </c>
      <c r="H965" s="120">
        <v>10.0</v>
      </c>
      <c r="I965" s="121">
        <v>10.0</v>
      </c>
    </row>
    <row r="966" hidden="1" outlineLevel="1">
      <c r="A966" s="54" t="s">
        <v>130</v>
      </c>
      <c r="B966" s="252">
        <f t="shared" ref="B966:I966" si="371">IF(B964=0,0,B964/B965)</f>
        <v>0.9</v>
      </c>
      <c r="C966" s="253">
        <f t="shared" si="371"/>
        <v>0.826</v>
      </c>
      <c r="D966" s="253">
        <f t="shared" si="371"/>
        <v>0.834</v>
      </c>
      <c r="E966" s="253">
        <f t="shared" si="371"/>
        <v>0.833</v>
      </c>
      <c r="F966" s="253">
        <f t="shared" si="371"/>
        <v>0.966</v>
      </c>
      <c r="G966" s="253">
        <f t="shared" si="371"/>
        <v>0.825</v>
      </c>
      <c r="H966" s="253">
        <f t="shared" si="371"/>
        <v>0.888</v>
      </c>
      <c r="I966" s="256">
        <f t="shared" si="371"/>
        <v>0.824</v>
      </c>
    </row>
    <row r="967" hidden="1" outlineLevel="1">
      <c r="A967" s="32" t="s">
        <v>131</v>
      </c>
      <c r="B967" s="34"/>
      <c r="C967" s="2"/>
      <c r="D967" s="2"/>
      <c r="E967" s="2"/>
      <c r="F967" s="2"/>
      <c r="G967" s="2"/>
      <c r="H967" s="2"/>
      <c r="I967" s="36"/>
    </row>
    <row r="968" hidden="1" outlineLevel="1">
      <c r="A968" s="64" t="s">
        <v>132</v>
      </c>
      <c r="B968" s="312"/>
      <c r="C968" s="313"/>
      <c r="D968" s="332"/>
      <c r="E968" s="313"/>
      <c r="F968" s="313"/>
      <c r="G968" s="313"/>
      <c r="H968" s="313"/>
      <c r="I968" s="314"/>
    </row>
    <row r="969" hidden="1" outlineLevel="1">
      <c r="A969" s="127" t="s">
        <v>134</v>
      </c>
      <c r="B969" s="34"/>
      <c r="C969" s="2"/>
      <c r="D969" s="2"/>
      <c r="E969" s="2"/>
      <c r="F969" s="2"/>
      <c r="G969" s="2"/>
      <c r="H969" s="2"/>
      <c r="I969" s="36"/>
    </row>
    <row r="970" hidden="1" outlineLevel="1">
      <c r="A970" s="69" t="s">
        <v>136</v>
      </c>
      <c r="B970" s="129">
        <f t="shared" ref="B970:I970" si="372">B949*25</f>
        <v>26.525</v>
      </c>
      <c r="C970" s="130">
        <f t="shared" si="372"/>
        <v>23.22794118</v>
      </c>
      <c r="D970" s="130">
        <f t="shared" si="372"/>
        <v>30.6375</v>
      </c>
      <c r="E970" s="130">
        <f t="shared" si="372"/>
        <v>29.76351351</v>
      </c>
      <c r="F970" s="130">
        <f t="shared" si="372"/>
        <v>29.78378378</v>
      </c>
      <c r="G970" s="130">
        <f t="shared" si="372"/>
        <v>28.15</v>
      </c>
      <c r="H970" s="130">
        <f t="shared" si="372"/>
        <v>24.5125</v>
      </c>
      <c r="I970" s="132">
        <f t="shared" si="372"/>
        <v>27.5375</v>
      </c>
    </row>
    <row r="971" hidden="1" outlineLevel="1">
      <c r="A971" s="69" t="s">
        <v>144</v>
      </c>
      <c r="B971" s="129">
        <f t="shared" ref="B971:I971" si="373">B953*35</f>
        <v>35</v>
      </c>
      <c r="C971" s="130">
        <f t="shared" si="373"/>
        <v>35</v>
      </c>
      <c r="D971" s="130">
        <f t="shared" si="373"/>
        <v>35</v>
      </c>
      <c r="E971" s="130">
        <f t="shared" si="373"/>
        <v>34.67625</v>
      </c>
      <c r="F971" s="130">
        <f t="shared" si="373"/>
        <v>27.125</v>
      </c>
      <c r="G971" s="130">
        <f t="shared" si="373"/>
        <v>35</v>
      </c>
      <c r="H971" s="130">
        <f t="shared" si="373"/>
        <v>35</v>
      </c>
      <c r="I971" s="132">
        <f t="shared" si="373"/>
        <v>35</v>
      </c>
    </row>
    <row r="972" hidden="1" outlineLevel="1">
      <c r="A972" s="69" t="s">
        <v>146</v>
      </c>
      <c r="B972" s="129">
        <f t="shared" ref="B972:I972" si="374">IF(AND(B953&lt;85%, B962&gt;100%), 25, B962*25)</f>
        <v>28.04858618</v>
      </c>
      <c r="C972" s="130">
        <f t="shared" si="374"/>
        <v>23.25302461</v>
      </c>
      <c r="D972" s="130">
        <f t="shared" si="374"/>
        <v>23.97470004</v>
      </c>
      <c r="E972" s="130">
        <f t="shared" si="374"/>
        <v>25.97449528</v>
      </c>
      <c r="F972" s="130">
        <f t="shared" si="374"/>
        <v>24.23679317</v>
      </c>
      <c r="G972" s="130">
        <f t="shared" si="374"/>
        <v>24.74484219</v>
      </c>
      <c r="H972" s="130">
        <f t="shared" si="374"/>
        <v>27.48137417</v>
      </c>
      <c r="I972" s="132">
        <f t="shared" si="374"/>
        <v>23.72439922</v>
      </c>
    </row>
    <row r="973" hidden="1" outlineLevel="1">
      <c r="A973" s="69" t="s">
        <v>148</v>
      </c>
      <c r="B973" s="129">
        <f t="shared" ref="B973:I973" si="375">B966*15</f>
        <v>13.5</v>
      </c>
      <c r="C973" s="130">
        <f t="shared" si="375"/>
        <v>12.39</v>
      </c>
      <c r="D973" s="130">
        <f t="shared" si="375"/>
        <v>12.51</v>
      </c>
      <c r="E973" s="130">
        <f t="shared" si="375"/>
        <v>12.495</v>
      </c>
      <c r="F973" s="130">
        <f t="shared" si="375"/>
        <v>14.49</v>
      </c>
      <c r="G973" s="130">
        <f t="shared" si="375"/>
        <v>12.375</v>
      </c>
      <c r="H973" s="130">
        <f t="shared" si="375"/>
        <v>13.32</v>
      </c>
      <c r="I973" s="132">
        <f t="shared" si="375"/>
        <v>12.36</v>
      </c>
    </row>
    <row r="974" hidden="1" outlineLevel="1">
      <c r="A974" s="69" t="s">
        <v>149</v>
      </c>
      <c r="B974" s="129">
        <f t="shared" ref="B974:I974" si="376">B968*-10</f>
        <v>0</v>
      </c>
      <c r="C974" s="130">
        <f t="shared" si="376"/>
        <v>0</v>
      </c>
      <c r="D974" s="130">
        <f t="shared" si="376"/>
        <v>0</v>
      </c>
      <c r="E974" s="130">
        <f t="shared" si="376"/>
        <v>0</v>
      </c>
      <c r="F974" s="130">
        <f t="shared" si="376"/>
        <v>0</v>
      </c>
      <c r="G974" s="130">
        <f t="shared" si="376"/>
        <v>0</v>
      </c>
      <c r="H974" s="130">
        <f t="shared" si="376"/>
        <v>0</v>
      </c>
      <c r="I974" s="132">
        <f t="shared" si="376"/>
        <v>0</v>
      </c>
    </row>
    <row r="975" hidden="1" outlineLevel="1">
      <c r="A975" s="142" t="s">
        <v>150</v>
      </c>
      <c r="B975" s="129">
        <f t="shared" ref="B975:I975" si="377">B970+B971+B972+B973+B974</f>
        <v>103.0735862</v>
      </c>
      <c r="C975" s="130">
        <f t="shared" si="377"/>
        <v>93.87096579</v>
      </c>
      <c r="D975" s="130">
        <f t="shared" si="377"/>
        <v>102.1222</v>
      </c>
      <c r="E975" s="130">
        <f t="shared" si="377"/>
        <v>102.9092588</v>
      </c>
      <c r="F975" s="130">
        <f t="shared" si="377"/>
        <v>95.63557696</v>
      </c>
      <c r="G975" s="130">
        <f t="shared" si="377"/>
        <v>100.2698422</v>
      </c>
      <c r="H975" s="130">
        <f t="shared" si="377"/>
        <v>100.3138742</v>
      </c>
      <c r="I975" s="132">
        <f t="shared" si="377"/>
        <v>98.62189922</v>
      </c>
    </row>
    <row r="976" hidden="1" outlineLevel="1">
      <c r="A976" s="54" t="s">
        <v>152</v>
      </c>
      <c r="B976" s="58">
        <f t="shared" ref="B976:I976" si="378">B975/100</f>
        <v>1.030735862</v>
      </c>
      <c r="C976" s="61">
        <f t="shared" si="378"/>
        <v>0.9387096579</v>
      </c>
      <c r="D976" s="378">
        <f t="shared" si="378"/>
        <v>1.021222</v>
      </c>
      <c r="E976" s="61">
        <f t="shared" si="378"/>
        <v>1.029092588</v>
      </c>
      <c r="F976" s="61">
        <f t="shared" si="378"/>
        <v>0.9563557696</v>
      </c>
      <c r="G976" s="61">
        <f t="shared" si="378"/>
        <v>1.002698422</v>
      </c>
      <c r="H976" s="61">
        <f t="shared" si="378"/>
        <v>1.003138742</v>
      </c>
      <c r="I976" s="62">
        <f t="shared" si="378"/>
        <v>0.9862189922</v>
      </c>
    </row>
    <row r="977" hidden="1" outlineLevel="1">
      <c r="A977" s="127" t="s">
        <v>154</v>
      </c>
      <c r="B977" s="349" t="s">
        <v>156</v>
      </c>
      <c r="C977" s="350" t="s">
        <v>155</v>
      </c>
      <c r="D977" s="350" t="s">
        <v>155</v>
      </c>
      <c r="E977" s="350" t="s">
        <v>155</v>
      </c>
      <c r="F977" s="350" t="s">
        <v>155</v>
      </c>
      <c r="G977" s="350" t="s">
        <v>155</v>
      </c>
      <c r="H977" s="350" t="s">
        <v>155</v>
      </c>
      <c r="I977" s="350" t="s">
        <v>155</v>
      </c>
    </row>
    <row r="978" hidden="1" outlineLevel="1">
      <c r="A978" s="127" t="s">
        <v>158</v>
      </c>
      <c r="B978" s="156"/>
      <c r="C978" s="157"/>
      <c r="D978" s="337"/>
      <c r="E978" s="157"/>
      <c r="F978" s="440"/>
      <c r="G978" s="157"/>
      <c r="H978" s="157"/>
      <c r="I978" s="352"/>
    </row>
    <row r="979" collapsed="1">
      <c r="A979" s="439">
        <v>46235.0</v>
      </c>
      <c r="B979" s="441"/>
      <c r="C979" s="27"/>
      <c r="D979" s="27"/>
      <c r="E979" s="27"/>
      <c r="F979" s="27"/>
      <c r="G979" s="27"/>
      <c r="H979" s="27"/>
      <c r="I979" s="27"/>
    </row>
    <row r="980" hidden="1" outlineLevel="1" collapsed="1">
      <c r="A980" s="442"/>
      <c r="B980" s="443" t="s">
        <v>63</v>
      </c>
      <c r="C980" s="14"/>
      <c r="D980" s="14"/>
      <c r="E980" s="14"/>
      <c r="F980" s="14"/>
      <c r="G980" s="14"/>
      <c r="H980" s="14"/>
      <c r="I980" s="15"/>
    </row>
    <row r="981" hidden="1" outlineLevel="2">
      <c r="A981" s="444"/>
      <c r="B981" s="445" t="s">
        <v>29</v>
      </c>
      <c r="C981" s="446" t="s">
        <v>4</v>
      </c>
      <c r="D981" s="446" t="s">
        <v>19</v>
      </c>
      <c r="E981" s="446" t="s">
        <v>30</v>
      </c>
      <c r="F981" s="446" t="s">
        <v>31</v>
      </c>
      <c r="G981" s="446" t="s">
        <v>32</v>
      </c>
      <c r="H981" s="447" t="s">
        <v>13</v>
      </c>
      <c r="I981" s="447" t="s">
        <v>350</v>
      </c>
    </row>
    <row r="982" hidden="1" outlineLevel="2">
      <c r="A982" s="25" t="s">
        <v>36</v>
      </c>
      <c r="B982" s="243" t="s">
        <v>63</v>
      </c>
      <c r="C982" s="244"/>
      <c r="D982" s="244"/>
      <c r="E982" s="244"/>
      <c r="F982" s="244"/>
      <c r="G982" s="244"/>
      <c r="H982" s="244"/>
      <c r="I982" s="245"/>
    </row>
    <row r="983" hidden="1" outlineLevel="2">
      <c r="A983" s="32" t="s">
        <v>45</v>
      </c>
      <c r="B983" s="448"/>
      <c r="C983" s="2"/>
      <c r="D983" s="2"/>
      <c r="E983" s="2"/>
      <c r="F983" s="2"/>
      <c r="G983" s="2"/>
      <c r="H983" s="2"/>
      <c r="I983" s="36"/>
    </row>
    <row r="984" hidden="1" outlineLevel="2">
      <c r="A984" s="64" t="s">
        <v>49</v>
      </c>
      <c r="B984" s="354">
        <v>46.01</v>
      </c>
      <c r="C984" s="355">
        <v>44.56</v>
      </c>
      <c r="D984" s="355">
        <v>51.13</v>
      </c>
      <c r="E984" s="355">
        <v>48.05</v>
      </c>
      <c r="F984" s="355">
        <v>46.05</v>
      </c>
      <c r="G984" s="355">
        <v>49.06</v>
      </c>
      <c r="H984" s="355">
        <v>50.08</v>
      </c>
      <c r="I984" s="449">
        <v>44.02</v>
      </c>
    </row>
    <row r="985" hidden="1" outlineLevel="2">
      <c r="A985" s="69" t="s">
        <v>53</v>
      </c>
      <c r="B985" s="51">
        <v>40.0</v>
      </c>
      <c r="C985" s="250">
        <v>36.0</v>
      </c>
      <c r="D985" s="51">
        <v>40.0</v>
      </c>
      <c r="E985" s="51">
        <v>37.0</v>
      </c>
      <c r="F985" s="51">
        <v>37.0</v>
      </c>
      <c r="G985" s="51">
        <v>40.0</v>
      </c>
      <c r="H985" s="51">
        <v>40.0</v>
      </c>
      <c r="I985" s="346">
        <v>40.0</v>
      </c>
    </row>
    <row r="986" hidden="1" outlineLevel="2">
      <c r="A986" s="54" t="s">
        <v>57</v>
      </c>
      <c r="B986" s="252">
        <f t="shared" ref="B986:I986" si="379">B984/B985</f>
        <v>1.15025</v>
      </c>
      <c r="C986" s="253">
        <f t="shared" si="379"/>
        <v>1.237777778</v>
      </c>
      <c r="D986" s="253">
        <f t="shared" si="379"/>
        <v>1.27825</v>
      </c>
      <c r="E986" s="253">
        <f t="shared" si="379"/>
        <v>1.298648649</v>
      </c>
      <c r="F986" s="253">
        <f t="shared" si="379"/>
        <v>1.244594595</v>
      </c>
      <c r="G986" s="253">
        <f t="shared" si="379"/>
        <v>1.2265</v>
      </c>
      <c r="H986" s="253">
        <f t="shared" si="379"/>
        <v>1.252</v>
      </c>
      <c r="I986" s="256">
        <f t="shared" si="379"/>
        <v>1.1005</v>
      </c>
    </row>
    <row r="987" hidden="1" outlineLevel="2">
      <c r="A987" s="32" t="s">
        <v>66</v>
      </c>
      <c r="B987" s="448"/>
      <c r="C987" s="2"/>
      <c r="D987" s="2"/>
      <c r="E987" s="2"/>
      <c r="F987" s="2"/>
      <c r="G987" s="2"/>
      <c r="H987" s="2"/>
      <c r="I987" s="36"/>
    </row>
    <row r="988" hidden="1" outlineLevel="2">
      <c r="A988" s="64" t="s">
        <v>67</v>
      </c>
      <c r="B988" s="450">
        <v>40.0</v>
      </c>
      <c r="C988" s="451">
        <v>40.0</v>
      </c>
      <c r="D988" s="451">
        <v>40.0</v>
      </c>
      <c r="E988" s="451">
        <v>40.0</v>
      </c>
      <c r="F988" s="451">
        <v>35.5</v>
      </c>
      <c r="G988" s="451">
        <v>40.0</v>
      </c>
      <c r="H988" s="451">
        <v>17.5</v>
      </c>
      <c r="I988" s="452">
        <v>40.0</v>
      </c>
    </row>
    <row r="989" hidden="1" outlineLevel="2">
      <c r="A989" s="69" t="s">
        <v>72</v>
      </c>
      <c r="B989" s="186">
        <v>40.0</v>
      </c>
      <c r="C989" s="187">
        <v>40.0</v>
      </c>
      <c r="D989" s="187">
        <v>40.0</v>
      </c>
      <c r="E989" s="187">
        <v>40.0</v>
      </c>
      <c r="F989" s="187">
        <v>40.0</v>
      </c>
      <c r="G989" s="187">
        <v>40.0</v>
      </c>
      <c r="H989" s="187">
        <v>40.0</v>
      </c>
      <c r="I989" s="188">
        <v>40.0</v>
      </c>
    </row>
    <row r="990" hidden="1" outlineLevel="2">
      <c r="A990" s="54" t="s">
        <v>74</v>
      </c>
      <c r="B990" s="252">
        <f t="shared" ref="B990:I990" si="380">B988/B989</f>
        <v>1</v>
      </c>
      <c r="C990" s="253">
        <f t="shared" si="380"/>
        <v>1</v>
      </c>
      <c r="D990" s="253">
        <f t="shared" si="380"/>
        <v>1</v>
      </c>
      <c r="E990" s="253">
        <f t="shared" si="380"/>
        <v>1</v>
      </c>
      <c r="F990" s="253">
        <f t="shared" si="380"/>
        <v>0.8875</v>
      </c>
      <c r="G990" s="253">
        <f t="shared" si="380"/>
        <v>1</v>
      </c>
      <c r="H990" s="253">
        <f t="shared" si="380"/>
        <v>0.4375</v>
      </c>
      <c r="I990" s="256">
        <f t="shared" si="380"/>
        <v>1</v>
      </c>
    </row>
    <row r="991" hidden="1" outlineLevel="2">
      <c r="A991" s="32" t="s">
        <v>75</v>
      </c>
      <c r="B991" s="448"/>
      <c r="C991" s="2"/>
      <c r="D991" s="2"/>
      <c r="E991" s="2"/>
      <c r="F991" s="2"/>
      <c r="G991" s="2"/>
      <c r="H991" s="2"/>
      <c r="I991" s="36"/>
    </row>
    <row r="992" hidden="1" outlineLevel="2">
      <c r="A992" s="64" t="s">
        <v>76</v>
      </c>
      <c r="B992" s="185" t="s">
        <v>79</v>
      </c>
      <c r="C992" s="78" t="s">
        <v>80</v>
      </c>
      <c r="D992" s="78" t="s">
        <v>80</v>
      </c>
      <c r="E992" s="78" t="s">
        <v>79</v>
      </c>
      <c r="F992" s="78" t="s">
        <v>79</v>
      </c>
      <c r="G992" s="78" t="s">
        <v>80</v>
      </c>
      <c r="H992" s="78" t="s">
        <v>80</v>
      </c>
      <c r="I992" s="79" t="s">
        <v>79</v>
      </c>
    </row>
    <row r="993" hidden="1" outlineLevel="2">
      <c r="A993" s="64" t="s">
        <v>81</v>
      </c>
      <c r="B993" s="185" t="s">
        <v>83</v>
      </c>
      <c r="C993" s="78" t="s">
        <v>85</v>
      </c>
      <c r="D993" s="78" t="s">
        <v>83</v>
      </c>
      <c r="E993" s="78" t="s">
        <v>85</v>
      </c>
      <c r="F993" s="78" t="s">
        <v>83</v>
      </c>
      <c r="G993" s="78" t="s">
        <v>85</v>
      </c>
      <c r="H993" s="78" t="s">
        <v>85</v>
      </c>
      <c r="I993" s="79" t="s">
        <v>85</v>
      </c>
    </row>
    <row r="994" hidden="1" outlineLevel="2">
      <c r="A994" s="64" t="s">
        <v>86</v>
      </c>
      <c r="B994" s="194">
        <f>IF(B984&lt;B985,B985,B984) *
IF(B992="AM",
    IF(B993="Oricle",3.5,
    IF(B993="Other Brands",4,
    IF(B993="Oricle Prio",0.6,""))),
 IF(B992="MID",
    IF(B993="Oricle",2.5,
    IF(B993="Other Brands",3,
    IF(B993="Oricle Prio",0.6,""))),
 IF(B992="GY",
    IF(B993="Oricle",1,
    IF(B993="Other Brands",1,
    IF(B993="Oricle Prio",0.3,""))),"")))-10</f>
        <v>128.03</v>
      </c>
      <c r="C994" s="204">
        <f>IF(C984&lt;C985,C985,C984) *
IF(C992="AM",
    IF(C993="Oricle",3,
    IF(C993="Other Brands",4,
    IF(C993="Oricle Prio",0.6,""))),
 IF(C992="MID",
    IF(C993="Oricle",2.5,
    IF(C993="Other Brands",3,
    IF(C993="Oricle Prio",0.6,""))),
 IF(C992="GY",
    IF(C993="Oricle",1,
    IF(C993="Other Brands",1,
    IF(C993="Oricle Prio",0.3,""))),"")))</f>
        <v>133.68</v>
      </c>
      <c r="D994" s="204">
        <f>IF(D984&lt;D985,D985,D984) *
IF(D992="AM",
    IF(D993="Oricle",3.5,
    IF(D993="Other Brands",4,
    IF(D993="Oricle Prio",0.6,""))),
 IF(D992="MID",
    IF(D993="Oricle",2.5,
    IF(D993="Other Brands",3,
    IF(D993="Oricle Prio",0.6,""))),
 IF(D992="GY",
    IF(D993="Oricle",1,
    IF(D993="Other Brands",1,
    IF(D993="Oricle Prio",0.3,""))),"")))</f>
        <v>204.52</v>
      </c>
      <c r="E994" s="204">
        <f>IF(E984&lt;E985,E985,E984) *
IF(E992="AM",
    IF(E993="Oricle",3.5,
    IF(E993="Other Brands",4,
    IF(E993="Oricle Prio",0.6,""))),
 IF(E992="MID",
    IF(E993="Oricle",2.5,
    IF(E993="Other Brands",3,
    IF(E993="Oricle Prio",0.6,""))),
 IF(E992="GY",
    IF(E993="Oricle",1,
    IF(E993="Other Brands",1,
    IF(E993="Oricle Prio",0.3,""))),"")))-15</f>
        <v>105.125</v>
      </c>
      <c r="F994" s="204">
        <f>IF(F984&lt;F985,F985,F984) *
IF(F992="AM",
    IF(F993="Oricle",3.5,
    IF(F993="Other Brands",4,
    IF(F993="Oricle Prio",0.6,""))),
 IF(F992="MID",
    IF(F993="Oricle",2.5,
    IF(F993="Other Brands",3,
    IF(F993="Oricle Prio",0.6,""))),
 IF(F992="GY",
    IF(F993="Oricle",1,
    IF(F993="Other Brands",1,
    IF(F993="Oricle Prio",0.3,""))),"")))</f>
        <v>138.15</v>
      </c>
      <c r="G994" s="204">
        <f t="shared" ref="G994:H994" si="381">IF(G984&lt;G985,G985,G984) *
IF(G992="AM",
    IF(G993="Oricle",3,
    IF(G993="Other Brands",4,
    IF(G993="Oricle Prio",0.6,""))),
 IF(G992="MID",
    IF(G993="Oricle",2.5,
    IF(G993="Other Brands",3,
    IF(G993="Oricle Prio",0.6,""))),
 IF(G992="GY",
    IF(G993="Oricle",1,
    IF(G993="Other Brands",1,
    IF(G993="Oricle Prio",0.3,""))),"")))</f>
        <v>147.18</v>
      </c>
      <c r="H994" s="204">
        <f t="shared" si="381"/>
        <v>150.24</v>
      </c>
      <c r="I994" s="204">
        <f>IF(I984&lt;I985,I985,I984) *
IF(I992="AM",
    IF(I993="Oricle",3.5,
    IF(I993="Other Brands",4,
    IF(I993="Oricle Prio",0.6,""))),
 IF(I992="MID",
    IF(I993="Oricle",2.5,
    IF(I993="Other Brands",3,
    IF(I993="Oricle Prio",0.6,""))),
 IF(I992="GY",
    IF(I993="Oricle",1,
    IF(I993="Other Brands",1,
    IF(I993="Oricle Prio",0.3,""))),"")))</f>
        <v>110.05</v>
      </c>
    </row>
    <row r="995" hidden="1" outlineLevel="2">
      <c r="A995" s="64" t="s">
        <v>98</v>
      </c>
      <c r="B995" s="457" t="s">
        <v>1247</v>
      </c>
      <c r="C995" s="458" t="s">
        <v>329</v>
      </c>
      <c r="D995" s="458" t="s">
        <v>1249</v>
      </c>
      <c r="E995" s="458" t="s">
        <v>1131</v>
      </c>
      <c r="F995" s="458" t="s">
        <v>110</v>
      </c>
      <c r="G995" s="458" t="s">
        <v>208</v>
      </c>
      <c r="H995" s="458" t="s">
        <v>1250</v>
      </c>
      <c r="I995" s="458" t="s">
        <v>326</v>
      </c>
    </row>
    <row r="996" hidden="1" outlineLevel="2">
      <c r="A996" s="64" t="s">
        <v>107</v>
      </c>
      <c r="B996" s="457" t="s">
        <v>1170</v>
      </c>
      <c r="C996" s="458" t="s">
        <v>687</v>
      </c>
      <c r="D996" s="458" t="s">
        <v>1251</v>
      </c>
      <c r="E996" s="458" t="s">
        <v>519</v>
      </c>
      <c r="F996" s="458" t="s">
        <v>1252</v>
      </c>
      <c r="G996" s="458" t="s">
        <v>375</v>
      </c>
      <c r="H996" s="458" t="s">
        <v>1251</v>
      </c>
      <c r="I996" s="458" t="s">
        <v>327</v>
      </c>
    </row>
    <row r="997" hidden="1" outlineLevel="2">
      <c r="A997" s="69" t="s">
        <v>115</v>
      </c>
      <c r="B997" s="108">
        <f t="shared" ref="B997:I997" si="382">IF(B995&gt;0,B996/B995,0)</f>
        <v>0.9461077844</v>
      </c>
      <c r="C997" s="110">
        <f t="shared" si="382"/>
        <v>0.9763779528</v>
      </c>
      <c r="D997" s="110">
        <f t="shared" si="382"/>
        <v>0.9723756906</v>
      </c>
      <c r="E997" s="110">
        <f t="shared" si="382"/>
        <v>0.9913043478</v>
      </c>
      <c r="F997" s="110">
        <f t="shared" si="382"/>
        <v>0.9770992366</v>
      </c>
      <c r="G997" s="110">
        <f t="shared" si="382"/>
        <v>0.9944444444</v>
      </c>
      <c r="H997" s="110">
        <f t="shared" si="382"/>
        <v>0.9462365591</v>
      </c>
      <c r="I997" s="111">
        <f t="shared" si="382"/>
        <v>0.958677686</v>
      </c>
    </row>
    <row r="998" hidden="1" outlineLevel="2">
      <c r="A998" s="69" t="s">
        <v>119</v>
      </c>
      <c r="B998" s="108">
        <f t="shared" ref="B998:I998" si="383">IF(B994&gt;0,B996/B994,0)</f>
        <v>1.234085761</v>
      </c>
      <c r="C998" s="110">
        <f t="shared" si="383"/>
        <v>0.9275882705</v>
      </c>
      <c r="D998" s="110">
        <f t="shared" si="383"/>
        <v>0.8605515353</v>
      </c>
      <c r="E998" s="110">
        <f t="shared" si="383"/>
        <v>1.084423306</v>
      </c>
      <c r="F998" s="110">
        <f t="shared" si="383"/>
        <v>0.926529135</v>
      </c>
      <c r="G998" s="110">
        <f t="shared" si="383"/>
        <v>1.216197853</v>
      </c>
      <c r="H998" s="110">
        <f t="shared" si="383"/>
        <v>1.171458999</v>
      </c>
      <c r="I998" s="111">
        <f t="shared" si="383"/>
        <v>1.054066333</v>
      </c>
    </row>
    <row r="999" hidden="1" outlineLevel="2">
      <c r="A999" s="116" t="s">
        <v>82</v>
      </c>
      <c r="B999" s="252">
        <f t="shared" ref="B999:I999" si="384">average(B997:B998)</f>
        <v>1.090096773</v>
      </c>
      <c r="C999" s="253">
        <f t="shared" si="384"/>
        <v>0.9519831116</v>
      </c>
      <c r="D999" s="253">
        <f t="shared" si="384"/>
        <v>0.916463613</v>
      </c>
      <c r="E999" s="253">
        <f t="shared" si="384"/>
        <v>1.037863827</v>
      </c>
      <c r="F999" s="253">
        <f t="shared" si="384"/>
        <v>0.9518141858</v>
      </c>
      <c r="G999" s="253">
        <f t="shared" si="384"/>
        <v>1.105321149</v>
      </c>
      <c r="H999" s="253">
        <f t="shared" si="384"/>
        <v>1.058847779</v>
      </c>
      <c r="I999" s="256">
        <f t="shared" si="384"/>
        <v>1.00637201</v>
      </c>
    </row>
    <row r="1000" hidden="1" outlineLevel="2">
      <c r="A1000" s="32" t="s">
        <v>121</v>
      </c>
      <c r="B1000" s="459"/>
      <c r="C1000" s="2"/>
      <c r="D1000" s="2"/>
      <c r="E1000" s="2"/>
      <c r="F1000" s="2"/>
      <c r="G1000" s="2"/>
      <c r="H1000" s="2"/>
      <c r="I1000" s="3"/>
    </row>
    <row r="1001" hidden="1" outlineLevel="2">
      <c r="A1001" s="64" t="s">
        <v>122</v>
      </c>
      <c r="B1001" s="354">
        <v>9.33</v>
      </c>
      <c r="C1001" s="355">
        <v>8.44</v>
      </c>
      <c r="D1001" s="355">
        <v>9.33</v>
      </c>
      <c r="E1001" s="355">
        <v>8.96</v>
      </c>
      <c r="F1001" s="355">
        <v>9.0</v>
      </c>
      <c r="G1001" s="355">
        <v>9.12</v>
      </c>
      <c r="H1001" s="355">
        <v>9.08</v>
      </c>
      <c r="I1001" s="355">
        <v>8.58</v>
      </c>
    </row>
    <row r="1002" hidden="1" outlineLevel="2">
      <c r="A1002" s="69" t="s">
        <v>128</v>
      </c>
      <c r="B1002" s="119">
        <v>10.0</v>
      </c>
      <c r="C1002" s="120">
        <v>10.0</v>
      </c>
      <c r="D1002" s="120">
        <v>10.0</v>
      </c>
      <c r="E1002" s="120">
        <v>10.0</v>
      </c>
      <c r="F1002" s="120">
        <v>10.0</v>
      </c>
      <c r="G1002" s="120">
        <v>10.0</v>
      </c>
      <c r="H1002" s="120">
        <v>10.0</v>
      </c>
      <c r="I1002" s="121">
        <v>10.0</v>
      </c>
    </row>
    <row r="1003" hidden="1" outlineLevel="2">
      <c r="A1003" s="54" t="s">
        <v>130</v>
      </c>
      <c r="B1003" s="252">
        <f t="shared" ref="B1003:I1003" si="385">IF(B1001=0,0,B1001/B1002)</f>
        <v>0.933</v>
      </c>
      <c r="C1003" s="253">
        <f t="shared" si="385"/>
        <v>0.844</v>
      </c>
      <c r="D1003" s="253">
        <f t="shared" si="385"/>
        <v>0.933</v>
      </c>
      <c r="E1003" s="253">
        <f t="shared" si="385"/>
        <v>0.896</v>
      </c>
      <c r="F1003" s="253">
        <f t="shared" si="385"/>
        <v>0.9</v>
      </c>
      <c r="G1003" s="253">
        <f t="shared" si="385"/>
        <v>0.912</v>
      </c>
      <c r="H1003" s="253">
        <f t="shared" si="385"/>
        <v>0.908</v>
      </c>
      <c r="I1003" s="256">
        <f t="shared" si="385"/>
        <v>0.858</v>
      </c>
    </row>
    <row r="1004" hidden="1" outlineLevel="2">
      <c r="A1004" s="32" t="s">
        <v>131</v>
      </c>
      <c r="B1004" s="448"/>
      <c r="C1004" s="2"/>
      <c r="D1004" s="2"/>
      <c r="E1004" s="2"/>
      <c r="F1004" s="2"/>
      <c r="G1004" s="2"/>
      <c r="H1004" s="2"/>
      <c r="I1004" s="36"/>
    </row>
    <row r="1005" hidden="1" outlineLevel="2">
      <c r="A1005" s="64" t="s">
        <v>132</v>
      </c>
      <c r="B1005" s="460"/>
      <c r="C1005" s="461"/>
      <c r="D1005" s="461"/>
      <c r="E1005" s="461"/>
      <c r="F1005" s="461"/>
      <c r="G1005" s="461"/>
      <c r="H1005" s="461"/>
      <c r="I1005" s="462"/>
    </row>
    <row r="1006" hidden="1" outlineLevel="2">
      <c r="A1006" s="127" t="s">
        <v>134</v>
      </c>
      <c r="B1006" s="448"/>
      <c r="C1006" s="2"/>
      <c r="D1006" s="2"/>
      <c r="E1006" s="2"/>
      <c r="F1006" s="2"/>
      <c r="G1006" s="2"/>
      <c r="H1006" s="2"/>
      <c r="I1006" s="36"/>
    </row>
    <row r="1007" hidden="1" outlineLevel="2">
      <c r="A1007" s="69" t="s">
        <v>136</v>
      </c>
      <c r="B1007" s="129">
        <f t="shared" ref="B1007:I1007" si="386">B986*25</f>
        <v>28.75625</v>
      </c>
      <c r="C1007" s="130">
        <f t="shared" si="386"/>
        <v>30.94444444</v>
      </c>
      <c r="D1007" s="130">
        <f t="shared" si="386"/>
        <v>31.95625</v>
      </c>
      <c r="E1007" s="130">
        <f t="shared" si="386"/>
        <v>32.46621622</v>
      </c>
      <c r="F1007" s="130">
        <f t="shared" si="386"/>
        <v>31.11486486</v>
      </c>
      <c r="G1007" s="130">
        <f t="shared" si="386"/>
        <v>30.6625</v>
      </c>
      <c r="H1007" s="130">
        <f t="shared" si="386"/>
        <v>31.3</v>
      </c>
      <c r="I1007" s="132">
        <f t="shared" si="386"/>
        <v>27.5125</v>
      </c>
    </row>
    <row r="1008" hidden="1" outlineLevel="2">
      <c r="A1008" s="69" t="s">
        <v>144</v>
      </c>
      <c r="B1008" s="129">
        <f t="shared" ref="B1008:I1008" si="387">B990*35</f>
        <v>35</v>
      </c>
      <c r="C1008" s="130">
        <f t="shared" si="387"/>
        <v>35</v>
      </c>
      <c r="D1008" s="130">
        <f t="shared" si="387"/>
        <v>35</v>
      </c>
      <c r="E1008" s="130">
        <f t="shared" si="387"/>
        <v>35</v>
      </c>
      <c r="F1008" s="130">
        <f t="shared" si="387"/>
        <v>31.0625</v>
      </c>
      <c r="G1008" s="130">
        <f t="shared" si="387"/>
        <v>35</v>
      </c>
      <c r="H1008" s="130">
        <f t="shared" si="387"/>
        <v>15.3125</v>
      </c>
      <c r="I1008" s="132">
        <f t="shared" si="387"/>
        <v>35</v>
      </c>
    </row>
    <row r="1009" hidden="1" outlineLevel="2">
      <c r="A1009" s="69" t="s">
        <v>146</v>
      </c>
      <c r="B1009" s="129">
        <f t="shared" ref="B1009:I1009" si="388">IF(AND(B990&lt;85%, B999&gt;100%), 25, B999*25)</f>
        <v>27.25241932</v>
      </c>
      <c r="C1009" s="130">
        <f t="shared" si="388"/>
        <v>23.79957779</v>
      </c>
      <c r="D1009" s="130">
        <f t="shared" si="388"/>
        <v>22.91159032</v>
      </c>
      <c r="E1009" s="130">
        <f t="shared" si="388"/>
        <v>25.94659567</v>
      </c>
      <c r="F1009" s="130">
        <f t="shared" si="388"/>
        <v>23.79535465</v>
      </c>
      <c r="G1009" s="130">
        <f t="shared" si="388"/>
        <v>27.63302872</v>
      </c>
      <c r="H1009" s="130">
        <f t="shared" si="388"/>
        <v>25</v>
      </c>
      <c r="I1009" s="132">
        <f t="shared" si="388"/>
        <v>25.15930024</v>
      </c>
    </row>
    <row r="1010" hidden="1" outlineLevel="2">
      <c r="A1010" s="69" t="s">
        <v>148</v>
      </c>
      <c r="B1010" s="129">
        <f t="shared" ref="B1010:I1010" si="389">B1003*15</f>
        <v>13.995</v>
      </c>
      <c r="C1010" s="130">
        <f t="shared" si="389"/>
        <v>12.66</v>
      </c>
      <c r="D1010" s="130">
        <f t="shared" si="389"/>
        <v>13.995</v>
      </c>
      <c r="E1010" s="130">
        <f t="shared" si="389"/>
        <v>13.44</v>
      </c>
      <c r="F1010" s="130">
        <f t="shared" si="389"/>
        <v>13.5</v>
      </c>
      <c r="G1010" s="130">
        <f t="shared" si="389"/>
        <v>13.68</v>
      </c>
      <c r="H1010" s="130">
        <f t="shared" si="389"/>
        <v>13.62</v>
      </c>
      <c r="I1010" s="132">
        <f t="shared" si="389"/>
        <v>12.87</v>
      </c>
    </row>
    <row r="1011" hidden="1" outlineLevel="2">
      <c r="A1011" s="69" t="s">
        <v>149</v>
      </c>
      <c r="B1011" s="129">
        <f t="shared" ref="B1011:I1011" si="390">B1005*-10</f>
        <v>0</v>
      </c>
      <c r="C1011" s="130">
        <f t="shared" si="390"/>
        <v>0</v>
      </c>
      <c r="D1011" s="130">
        <f t="shared" si="390"/>
        <v>0</v>
      </c>
      <c r="E1011" s="130">
        <f t="shared" si="390"/>
        <v>0</v>
      </c>
      <c r="F1011" s="130">
        <f t="shared" si="390"/>
        <v>0</v>
      </c>
      <c r="G1011" s="130">
        <f t="shared" si="390"/>
        <v>0</v>
      </c>
      <c r="H1011" s="130">
        <f t="shared" si="390"/>
        <v>0</v>
      </c>
      <c r="I1011" s="132">
        <f t="shared" si="390"/>
        <v>0</v>
      </c>
    </row>
    <row r="1012" hidden="1" outlineLevel="2">
      <c r="A1012" s="142" t="s">
        <v>150</v>
      </c>
      <c r="B1012" s="129">
        <f t="shared" ref="B1012:I1012" si="391">B1007+B1008+B1009+B1010+B1011</f>
        <v>105.0036693</v>
      </c>
      <c r="C1012" s="130">
        <f t="shared" si="391"/>
        <v>102.4040222</v>
      </c>
      <c r="D1012" s="130">
        <f t="shared" si="391"/>
        <v>103.8628403</v>
      </c>
      <c r="E1012" s="130">
        <f t="shared" si="391"/>
        <v>106.8528119</v>
      </c>
      <c r="F1012" s="130">
        <f t="shared" si="391"/>
        <v>99.47271951</v>
      </c>
      <c r="G1012" s="130">
        <f t="shared" si="391"/>
        <v>106.9755287</v>
      </c>
      <c r="H1012" s="130">
        <f t="shared" si="391"/>
        <v>85.2325</v>
      </c>
      <c r="I1012" s="132">
        <f t="shared" si="391"/>
        <v>100.5418002</v>
      </c>
    </row>
    <row r="1013" hidden="1" outlineLevel="2">
      <c r="A1013" s="54" t="s">
        <v>152</v>
      </c>
      <c r="B1013" s="58">
        <f t="shared" ref="B1013:I1013" si="392">B1012/100</f>
        <v>1.050036693</v>
      </c>
      <c r="C1013" s="61">
        <f t="shared" si="392"/>
        <v>1.024040222</v>
      </c>
      <c r="D1013" s="61">
        <f t="shared" si="392"/>
        <v>1.038628403</v>
      </c>
      <c r="E1013" s="61">
        <f t="shared" si="392"/>
        <v>1.068528119</v>
      </c>
      <c r="F1013" s="61">
        <f t="shared" si="392"/>
        <v>0.9947271951</v>
      </c>
      <c r="G1013" s="61">
        <f t="shared" si="392"/>
        <v>1.069755287</v>
      </c>
      <c r="H1013" s="61">
        <f t="shared" si="392"/>
        <v>0.852325</v>
      </c>
      <c r="I1013" s="62">
        <f t="shared" si="392"/>
        <v>1.005418002</v>
      </c>
    </row>
    <row r="1014" hidden="1" outlineLevel="2">
      <c r="A1014" s="127" t="s">
        <v>154</v>
      </c>
      <c r="B1014" s="349" t="s">
        <v>155</v>
      </c>
      <c r="C1014" s="463" t="s">
        <v>155</v>
      </c>
      <c r="D1014" s="463" t="s">
        <v>155</v>
      </c>
      <c r="E1014" s="463" t="s">
        <v>155</v>
      </c>
      <c r="F1014" s="463" t="s">
        <v>155</v>
      </c>
      <c r="G1014" s="350" t="s">
        <v>156</v>
      </c>
      <c r="H1014" s="5" t="s">
        <v>155</v>
      </c>
      <c r="I1014" s="5" t="s">
        <v>155</v>
      </c>
    </row>
    <row r="1015" hidden="1" outlineLevel="2">
      <c r="A1015" s="127" t="s">
        <v>158</v>
      </c>
      <c r="B1015" s="464"/>
      <c r="C1015" s="465"/>
      <c r="D1015" s="465"/>
      <c r="E1015" s="465"/>
      <c r="F1015" s="465"/>
      <c r="G1015" s="465"/>
      <c r="H1015" s="465"/>
      <c r="I1015" s="466"/>
    </row>
    <row r="1016" hidden="1" outlineLevel="1" collapsed="1">
      <c r="A1016" s="442"/>
      <c r="B1016" s="467" t="s">
        <v>182</v>
      </c>
      <c r="C1016" s="14"/>
      <c r="D1016" s="14"/>
      <c r="E1016" s="14"/>
      <c r="F1016" s="14"/>
      <c r="G1016" s="14"/>
      <c r="H1016" s="14"/>
      <c r="I1016" s="15"/>
    </row>
    <row r="1017" hidden="1" outlineLevel="2">
      <c r="A1017" s="444"/>
      <c r="B1017" s="445" t="s">
        <v>29</v>
      </c>
      <c r="C1017" s="446" t="s">
        <v>4</v>
      </c>
      <c r="D1017" s="446" t="s">
        <v>19</v>
      </c>
      <c r="E1017" s="446" t="s">
        <v>30</v>
      </c>
      <c r="F1017" s="446" t="s">
        <v>31</v>
      </c>
      <c r="G1017" s="446" t="s">
        <v>32</v>
      </c>
      <c r="H1017" s="447" t="s">
        <v>13</v>
      </c>
      <c r="I1017" s="447" t="s">
        <v>350</v>
      </c>
    </row>
    <row r="1018" hidden="1" outlineLevel="2">
      <c r="A1018" s="25" t="s">
        <v>36</v>
      </c>
      <c r="B1018" s="243" t="s">
        <v>182</v>
      </c>
      <c r="C1018" s="244"/>
      <c r="D1018" s="244"/>
      <c r="E1018" s="244"/>
      <c r="F1018" s="244"/>
      <c r="G1018" s="244"/>
      <c r="H1018" s="244"/>
      <c r="I1018" s="245"/>
    </row>
    <row r="1019" hidden="1" outlineLevel="2">
      <c r="A1019" s="32" t="s">
        <v>45</v>
      </c>
      <c r="B1019" s="448"/>
      <c r="C1019" s="2"/>
      <c r="D1019" s="2"/>
      <c r="E1019" s="2"/>
      <c r="F1019" s="2"/>
      <c r="G1019" s="2"/>
      <c r="H1019" s="2"/>
      <c r="I1019" s="36"/>
    </row>
    <row r="1020" hidden="1" outlineLevel="2">
      <c r="A1020" s="64" t="s">
        <v>49</v>
      </c>
      <c r="B1020" s="354">
        <v>45.56</v>
      </c>
      <c r="C1020" s="355">
        <v>48.52</v>
      </c>
      <c r="D1020" s="355">
        <v>50.26</v>
      </c>
      <c r="E1020" s="355">
        <v>48.08</v>
      </c>
      <c r="F1020" s="355">
        <v>48.21</v>
      </c>
      <c r="G1020" s="355">
        <v>49.17</v>
      </c>
      <c r="H1020" s="355">
        <v>30.04</v>
      </c>
      <c r="I1020" s="449">
        <v>48.06</v>
      </c>
    </row>
    <row r="1021" hidden="1" outlineLevel="2">
      <c r="A1021" s="69" t="s">
        <v>53</v>
      </c>
      <c r="B1021" s="51">
        <v>40.0</v>
      </c>
      <c r="C1021" s="250">
        <v>36.0</v>
      </c>
      <c r="D1021" s="51">
        <v>40.0</v>
      </c>
      <c r="E1021" s="51">
        <v>37.0</v>
      </c>
      <c r="F1021" s="51">
        <v>37.0</v>
      </c>
      <c r="G1021" s="51">
        <v>40.0</v>
      </c>
      <c r="H1021" s="250">
        <v>32.0</v>
      </c>
      <c r="I1021" s="346">
        <v>40.0</v>
      </c>
    </row>
    <row r="1022" hidden="1" outlineLevel="2">
      <c r="A1022" s="54" t="s">
        <v>57</v>
      </c>
      <c r="B1022" s="252">
        <f t="shared" ref="B1022:I1022" si="393">B1020/B1021</f>
        <v>1.139</v>
      </c>
      <c r="C1022" s="253">
        <f t="shared" si="393"/>
        <v>1.347777778</v>
      </c>
      <c r="D1022" s="253">
        <f t="shared" si="393"/>
        <v>1.2565</v>
      </c>
      <c r="E1022" s="253">
        <f t="shared" si="393"/>
        <v>1.299459459</v>
      </c>
      <c r="F1022" s="253">
        <f t="shared" si="393"/>
        <v>1.302972973</v>
      </c>
      <c r="G1022" s="253">
        <f t="shared" si="393"/>
        <v>1.22925</v>
      </c>
      <c r="H1022" s="253">
        <f t="shared" si="393"/>
        <v>0.93875</v>
      </c>
      <c r="I1022" s="256">
        <f t="shared" si="393"/>
        <v>1.2015</v>
      </c>
    </row>
    <row r="1023" hidden="1" outlineLevel="2">
      <c r="A1023" s="32" t="s">
        <v>66</v>
      </c>
      <c r="B1023" s="448"/>
      <c r="C1023" s="2"/>
      <c r="D1023" s="2"/>
      <c r="E1023" s="2"/>
      <c r="F1023" s="2"/>
      <c r="G1023" s="2"/>
      <c r="H1023" s="2"/>
      <c r="I1023" s="36"/>
    </row>
    <row r="1024" hidden="1" outlineLevel="2">
      <c r="A1024" s="64" t="s">
        <v>67</v>
      </c>
      <c r="B1024" s="450">
        <v>40.0</v>
      </c>
      <c r="C1024" s="451">
        <v>40.0</v>
      </c>
      <c r="D1024" s="451">
        <v>34.0</v>
      </c>
      <c r="E1024" s="451">
        <v>40.0</v>
      </c>
      <c r="F1024" s="451">
        <v>35.5</v>
      </c>
      <c r="G1024" s="451">
        <v>40.0</v>
      </c>
      <c r="H1024" s="451">
        <v>38.0</v>
      </c>
      <c r="I1024" s="452">
        <v>40.0</v>
      </c>
    </row>
    <row r="1025" hidden="1" outlineLevel="2">
      <c r="A1025" s="69" t="s">
        <v>72</v>
      </c>
      <c r="B1025" s="186">
        <v>40.0</v>
      </c>
      <c r="C1025" s="187">
        <v>40.0</v>
      </c>
      <c r="D1025" s="187">
        <v>40.0</v>
      </c>
      <c r="E1025" s="187">
        <v>40.0</v>
      </c>
      <c r="F1025" s="187">
        <v>40.0</v>
      </c>
      <c r="G1025" s="187">
        <v>40.0</v>
      </c>
      <c r="H1025" s="187">
        <v>40.0</v>
      </c>
      <c r="I1025" s="188">
        <v>40.0</v>
      </c>
    </row>
    <row r="1026" hidden="1" outlineLevel="2">
      <c r="A1026" s="54" t="s">
        <v>74</v>
      </c>
      <c r="B1026" s="252">
        <f t="shared" ref="B1026:I1026" si="394">B1024/B1025</f>
        <v>1</v>
      </c>
      <c r="C1026" s="253">
        <f t="shared" si="394"/>
        <v>1</v>
      </c>
      <c r="D1026" s="253">
        <f t="shared" si="394"/>
        <v>0.85</v>
      </c>
      <c r="E1026" s="253">
        <f t="shared" si="394"/>
        <v>1</v>
      </c>
      <c r="F1026" s="253">
        <f t="shared" si="394"/>
        <v>0.8875</v>
      </c>
      <c r="G1026" s="253">
        <f t="shared" si="394"/>
        <v>1</v>
      </c>
      <c r="H1026" s="253">
        <f t="shared" si="394"/>
        <v>0.95</v>
      </c>
      <c r="I1026" s="256">
        <f t="shared" si="394"/>
        <v>1</v>
      </c>
    </row>
    <row r="1027" hidden="1" outlineLevel="2">
      <c r="A1027" s="32" t="s">
        <v>75</v>
      </c>
      <c r="B1027" s="448"/>
      <c r="C1027" s="2"/>
      <c r="D1027" s="2"/>
      <c r="E1027" s="2"/>
      <c r="F1027" s="2"/>
      <c r="G1027" s="2"/>
      <c r="H1027" s="2"/>
      <c r="I1027" s="36"/>
    </row>
    <row r="1028" hidden="1" outlineLevel="2">
      <c r="A1028" s="64" t="s">
        <v>76</v>
      </c>
      <c r="B1028" s="185" t="s">
        <v>79</v>
      </c>
      <c r="C1028" s="78" t="s">
        <v>80</v>
      </c>
      <c r="D1028" s="78" t="s">
        <v>80</v>
      </c>
      <c r="E1028" s="78" t="s">
        <v>79</v>
      </c>
      <c r="F1028" s="78" t="s">
        <v>79</v>
      </c>
      <c r="G1028" s="78" t="s">
        <v>80</v>
      </c>
      <c r="H1028" s="78" t="s">
        <v>80</v>
      </c>
      <c r="I1028" s="79" t="s">
        <v>79</v>
      </c>
    </row>
    <row r="1029" hidden="1" outlineLevel="2">
      <c r="A1029" s="64" t="s">
        <v>81</v>
      </c>
      <c r="B1029" s="185" t="s">
        <v>83</v>
      </c>
      <c r="C1029" s="78" t="s">
        <v>85</v>
      </c>
      <c r="D1029" s="78" t="s">
        <v>83</v>
      </c>
      <c r="E1029" s="78" t="s">
        <v>85</v>
      </c>
      <c r="F1029" s="78" t="s">
        <v>83</v>
      </c>
      <c r="G1029" s="78" t="s">
        <v>85</v>
      </c>
      <c r="H1029" s="78" t="s">
        <v>85</v>
      </c>
      <c r="I1029" s="79" t="s">
        <v>85</v>
      </c>
    </row>
    <row r="1030" hidden="1" outlineLevel="2">
      <c r="A1030" s="64" t="s">
        <v>86</v>
      </c>
      <c r="B1030" s="194">
        <f>IF(B1020&lt;B1021,B1021,B1020) *
IF(B1028="AM",
    IF(B1029="Oricle",3.5,
    IF(B1029="Other Brands",4,
    IF(B1029="Oricle Prio",0.6,""))),
 IF(B1028="MID",
    IF(B1029="Oricle",2.5,
    IF(B1029="Other Brands",3,
    IF(B1029="Oricle Prio",0.6,""))),
 IF(B1028="GY",
    IF(B1029="Oricle",1,
    IF(B1029="Other Brands",1,
    IF(B1029="Oricle Prio",0.3,""))),"")))-10</f>
        <v>126.68</v>
      </c>
      <c r="C1030" s="204">
        <f>IF(C1020&lt;C1021,C1021,C1020) *
IF(C1028="AM",
    IF(C1029="Oricle",3,
    IF(C1029="Other Brands",4,
    IF(C1029="Oricle Prio",0.6,""))),
 IF(C1028="MID",
    IF(C1029="Oricle",2.5,
    IF(C1029="Other Brands",3,
    IF(C1029="Oricle Prio",0.6,""))),
 IF(C1028="GY",
    IF(C1029="Oricle",1,
    IF(C1029="Other Brands",1,
    IF(C1029="Oricle Prio",0.3,""))),"")))</f>
        <v>145.56</v>
      </c>
      <c r="D1030" s="204">
        <f>IF(D1020&lt;D1021,D1021,D1020) *
IF(D1028="AM",
    IF(D1029="Oricle",3.5,
    IF(D1029="Other Brands",4,
    IF(D1029="Oricle Prio",0.6,""))),
 IF(D1028="MID",
    IF(D1029="Oricle",2.5,
    IF(D1029="Other Brands",3,
    IF(D1029="Oricle Prio",0.6,""))),
 IF(D1028="GY",
    IF(D1029="Oricle",1,
    IF(D1029="Other Brands",1,
    IF(D1029="Oricle Prio",0.3,""))),"")))</f>
        <v>201.04</v>
      </c>
      <c r="E1030" s="204">
        <f>IF(E1020&lt;E1021,E1021,E1020) *
IF(E1028="AM",
    IF(E1029="Oricle",3.5,
    IF(E1029="Other Brands",4,
    IF(E1029="Oricle Prio",0.6,""))),
 IF(E1028="MID",
    IF(E1029="Oricle",2.5,
    IF(E1029="Other Brands",3,
    IF(E1029="Oricle Prio",0.6,""))),
 IF(E1028="GY",
    IF(E1029="Oricle",1,
    IF(E1029="Other Brands",1,
    IF(E1029="Oricle Prio",0.3,""))),"")))-15</f>
        <v>105.2</v>
      </c>
      <c r="F1030" s="204">
        <f>IF(F1020&lt;F1021,F1021,F1020) *
IF(F1028="AM",
    IF(F1029="Oricle",3.5,
    IF(F1029="Other Brands",4,
    IF(F1029="Oricle Prio",0.6,""))),
 IF(F1028="MID",
    IF(F1029="Oricle",2.5,
    IF(F1029="Other Brands",3,
    IF(F1029="Oricle Prio",0.6,""))),
 IF(F1028="GY",
    IF(F1029="Oricle",1,
    IF(F1029="Other Brands",1,
    IF(F1029="Oricle Prio",0.3,""))),"")))</f>
        <v>144.63</v>
      </c>
      <c r="G1030" s="204">
        <f t="shared" ref="G1030:H1030" si="395">IF(G1020&lt;G1021,G1021,G1020) *
IF(G1028="AM",
    IF(G1029="Oricle",3,
    IF(G1029="Other Brands",4,
    IF(G1029="Oricle Prio",0.6,""))),
 IF(G1028="MID",
    IF(G1029="Oricle",2.5,
    IF(G1029="Other Brands",3,
    IF(G1029="Oricle Prio",0.6,""))),
 IF(G1028="GY",
    IF(G1029="Oricle",1,
    IF(G1029="Other Brands",1,
    IF(G1029="Oricle Prio",0.3,""))),"")))</f>
        <v>147.51</v>
      </c>
      <c r="H1030" s="204">
        <f t="shared" si="395"/>
        <v>96</v>
      </c>
      <c r="I1030" s="204">
        <f>IF(I1020&lt;I1021,I1021,I1020) *
IF(I1028="AM",
    IF(I1029="Oricle",3.5,
    IF(I1029="Other Brands",4,
    IF(I1029="Oricle Prio",0.6,""))),
 IF(I1028="MID",
    IF(I1029="Oricle",2.5,
    IF(I1029="Other Brands",3,
    IF(I1029="Oricle Prio",0.6,""))),
 IF(I1028="GY",
    IF(I1029="Oricle",1,
    IF(I1029="Other Brands",1,
    IF(I1029="Oricle Prio",0.3,""))),"")))</f>
        <v>120.15</v>
      </c>
    </row>
    <row r="1031" hidden="1" outlineLevel="2">
      <c r="A1031" s="64" t="s">
        <v>98</v>
      </c>
      <c r="B1031" s="457" t="s">
        <v>257</v>
      </c>
      <c r="C1031" s="458" t="s">
        <v>1085</v>
      </c>
      <c r="D1031" s="458" t="s">
        <v>1291</v>
      </c>
      <c r="E1031" s="458" t="s">
        <v>110</v>
      </c>
      <c r="F1031" s="458" t="s">
        <v>690</v>
      </c>
      <c r="G1031" s="458" t="s">
        <v>1292</v>
      </c>
      <c r="H1031" s="458" t="s">
        <v>562</v>
      </c>
      <c r="I1031" s="458" t="s">
        <v>100</v>
      </c>
    </row>
    <row r="1032" hidden="1" outlineLevel="2">
      <c r="A1032" s="64" t="s">
        <v>107</v>
      </c>
      <c r="B1032" s="457" t="s">
        <v>201</v>
      </c>
      <c r="C1032" s="458" t="s">
        <v>481</v>
      </c>
      <c r="D1032" s="458" t="s">
        <v>1251</v>
      </c>
      <c r="E1032" s="458" t="s">
        <v>200</v>
      </c>
      <c r="F1032" s="458" t="s">
        <v>1252</v>
      </c>
      <c r="G1032" s="458" t="s">
        <v>1294</v>
      </c>
      <c r="H1032" s="458" t="s">
        <v>562</v>
      </c>
      <c r="I1032" s="458" t="s">
        <v>1001</v>
      </c>
    </row>
    <row r="1033" hidden="1" outlineLevel="2">
      <c r="A1033" s="69" t="s">
        <v>115</v>
      </c>
      <c r="B1033" s="108">
        <f t="shared" ref="B1033:I1033" si="396">IF(B1031&gt;0,B1032/B1031,0)</f>
        <v>0.9627329193</v>
      </c>
      <c r="C1033" s="110">
        <f t="shared" si="396"/>
        <v>0.9794520548</v>
      </c>
      <c r="D1033" s="110">
        <f t="shared" si="396"/>
        <v>0.9263157895</v>
      </c>
      <c r="E1033" s="110">
        <f t="shared" si="396"/>
        <v>0.9923664122</v>
      </c>
      <c r="F1033" s="110">
        <f t="shared" si="396"/>
        <v>0.9696969697</v>
      </c>
      <c r="G1033" s="110">
        <f t="shared" si="396"/>
        <v>0.9788359788</v>
      </c>
      <c r="H1033" s="110">
        <f t="shared" si="396"/>
        <v>1</v>
      </c>
      <c r="I1033" s="111">
        <f t="shared" si="396"/>
        <v>0.9495798319</v>
      </c>
    </row>
    <row r="1034" hidden="1" outlineLevel="2">
      <c r="A1034" s="69" t="s">
        <v>119</v>
      </c>
      <c r="B1034" s="108">
        <f t="shared" ref="B1034:I1034" si="397">IF(B1030&gt;0,B1032/B1030,0)</f>
        <v>1.223555415</v>
      </c>
      <c r="C1034" s="110">
        <f t="shared" si="397"/>
        <v>0.9824127508</v>
      </c>
      <c r="D1034" s="110">
        <f t="shared" si="397"/>
        <v>0.8754476721</v>
      </c>
      <c r="E1034" s="110">
        <f t="shared" si="397"/>
        <v>1.235741445</v>
      </c>
      <c r="F1034" s="110">
        <f t="shared" si="397"/>
        <v>0.8850169398</v>
      </c>
      <c r="G1034" s="110">
        <f t="shared" si="397"/>
        <v>1.254152261</v>
      </c>
      <c r="H1034" s="110">
        <f t="shared" si="397"/>
        <v>1</v>
      </c>
      <c r="I1034" s="111">
        <f t="shared" si="397"/>
        <v>0.9404910529</v>
      </c>
    </row>
    <row r="1035" hidden="1" outlineLevel="2">
      <c r="A1035" s="116" t="s">
        <v>82</v>
      </c>
      <c r="B1035" s="252">
        <f t="shared" ref="B1035:I1035" si="398">average(B1033:B1034)</f>
        <v>1.093144167</v>
      </c>
      <c r="C1035" s="253">
        <f t="shared" si="398"/>
        <v>0.9809324028</v>
      </c>
      <c r="D1035" s="253">
        <f t="shared" si="398"/>
        <v>0.9008817308</v>
      </c>
      <c r="E1035" s="253">
        <f t="shared" si="398"/>
        <v>1.114053929</v>
      </c>
      <c r="F1035" s="253">
        <f t="shared" si="398"/>
        <v>0.9273569547</v>
      </c>
      <c r="G1035" s="253">
        <f t="shared" si="398"/>
        <v>1.11649412</v>
      </c>
      <c r="H1035" s="253">
        <f t="shared" si="398"/>
        <v>1</v>
      </c>
      <c r="I1035" s="256">
        <f t="shared" si="398"/>
        <v>0.9450354424</v>
      </c>
    </row>
    <row r="1036" hidden="1" outlineLevel="2">
      <c r="A1036" s="32" t="s">
        <v>121</v>
      </c>
      <c r="B1036" s="459"/>
      <c r="C1036" s="2"/>
      <c r="D1036" s="2"/>
      <c r="E1036" s="2"/>
      <c r="F1036" s="2"/>
      <c r="G1036" s="2"/>
      <c r="H1036" s="2"/>
      <c r="I1036" s="3"/>
    </row>
    <row r="1037" hidden="1" outlineLevel="2">
      <c r="A1037" s="64" t="s">
        <v>122</v>
      </c>
      <c r="B1037" s="354">
        <v>9.66</v>
      </c>
      <c r="C1037" s="355">
        <v>7.9</v>
      </c>
      <c r="D1037" s="355">
        <v>9.08</v>
      </c>
      <c r="E1037" s="355">
        <v>8.97</v>
      </c>
      <c r="F1037" s="355">
        <v>9.0</v>
      </c>
      <c r="G1037" s="355">
        <v>9.0</v>
      </c>
      <c r="H1037" s="355">
        <v>8.35</v>
      </c>
      <c r="I1037" s="355">
        <v>7.15</v>
      </c>
    </row>
    <row r="1038" hidden="1" outlineLevel="2">
      <c r="A1038" s="69" t="s">
        <v>128</v>
      </c>
      <c r="B1038" s="119">
        <v>10.0</v>
      </c>
      <c r="C1038" s="120">
        <v>10.0</v>
      </c>
      <c r="D1038" s="120">
        <v>10.0</v>
      </c>
      <c r="E1038" s="120">
        <v>10.0</v>
      </c>
      <c r="F1038" s="120">
        <v>10.0</v>
      </c>
      <c r="G1038" s="120">
        <v>10.0</v>
      </c>
      <c r="H1038" s="120">
        <v>10.0</v>
      </c>
      <c r="I1038" s="121">
        <v>10.0</v>
      </c>
    </row>
    <row r="1039" hidden="1" outlineLevel="2">
      <c r="A1039" s="54" t="s">
        <v>130</v>
      </c>
      <c r="B1039" s="252">
        <f t="shared" ref="B1039:I1039" si="399">IF(B1037=0,0,B1037/B1038)</f>
        <v>0.966</v>
      </c>
      <c r="C1039" s="253">
        <f t="shared" si="399"/>
        <v>0.79</v>
      </c>
      <c r="D1039" s="253">
        <f t="shared" si="399"/>
        <v>0.908</v>
      </c>
      <c r="E1039" s="253">
        <f t="shared" si="399"/>
        <v>0.897</v>
      </c>
      <c r="F1039" s="253">
        <f t="shared" si="399"/>
        <v>0.9</v>
      </c>
      <c r="G1039" s="253">
        <f t="shared" si="399"/>
        <v>0.9</v>
      </c>
      <c r="H1039" s="253">
        <f t="shared" si="399"/>
        <v>0.835</v>
      </c>
      <c r="I1039" s="256">
        <f t="shared" si="399"/>
        <v>0.715</v>
      </c>
    </row>
    <row r="1040" hidden="1" outlineLevel="2">
      <c r="A1040" s="32" t="s">
        <v>131</v>
      </c>
      <c r="B1040" s="448"/>
      <c r="C1040" s="2"/>
      <c r="D1040" s="2"/>
      <c r="E1040" s="2"/>
      <c r="F1040" s="2"/>
      <c r="G1040" s="2"/>
      <c r="H1040" s="2"/>
      <c r="I1040" s="36"/>
    </row>
    <row r="1041" hidden="1" outlineLevel="2">
      <c r="A1041" s="64" t="s">
        <v>132</v>
      </c>
      <c r="B1041" s="460"/>
      <c r="C1041" s="461"/>
      <c r="D1041" s="461"/>
      <c r="E1041" s="461"/>
      <c r="F1041" s="461"/>
      <c r="G1041" s="461"/>
      <c r="H1041" s="461"/>
      <c r="I1041" s="462"/>
    </row>
    <row r="1042" hidden="1" outlineLevel="2">
      <c r="A1042" s="127" t="s">
        <v>134</v>
      </c>
      <c r="B1042" s="448"/>
      <c r="C1042" s="2"/>
      <c r="D1042" s="2"/>
      <c r="E1042" s="2"/>
      <c r="F1042" s="2"/>
      <c r="G1042" s="2"/>
      <c r="H1042" s="2"/>
      <c r="I1042" s="36"/>
    </row>
    <row r="1043" hidden="1" outlineLevel="2">
      <c r="A1043" s="69" t="s">
        <v>136</v>
      </c>
      <c r="B1043" s="129">
        <f t="shared" ref="B1043:I1043" si="400">B1022*25</f>
        <v>28.475</v>
      </c>
      <c r="C1043" s="130">
        <f t="shared" si="400"/>
        <v>33.69444444</v>
      </c>
      <c r="D1043" s="130">
        <f t="shared" si="400"/>
        <v>31.4125</v>
      </c>
      <c r="E1043" s="130">
        <f t="shared" si="400"/>
        <v>32.48648649</v>
      </c>
      <c r="F1043" s="130">
        <f t="shared" si="400"/>
        <v>32.57432432</v>
      </c>
      <c r="G1043" s="130">
        <f t="shared" si="400"/>
        <v>30.73125</v>
      </c>
      <c r="H1043" s="130">
        <f t="shared" si="400"/>
        <v>23.46875</v>
      </c>
      <c r="I1043" s="132">
        <f t="shared" si="400"/>
        <v>30.0375</v>
      </c>
    </row>
    <row r="1044" hidden="1" outlineLevel="2">
      <c r="A1044" s="69" t="s">
        <v>144</v>
      </c>
      <c r="B1044" s="129">
        <f t="shared" ref="B1044:I1044" si="401">B1026*35</f>
        <v>35</v>
      </c>
      <c r="C1044" s="130">
        <f t="shared" si="401"/>
        <v>35</v>
      </c>
      <c r="D1044" s="130">
        <f t="shared" si="401"/>
        <v>29.75</v>
      </c>
      <c r="E1044" s="130">
        <f t="shared" si="401"/>
        <v>35</v>
      </c>
      <c r="F1044" s="130">
        <f t="shared" si="401"/>
        <v>31.0625</v>
      </c>
      <c r="G1044" s="130">
        <f t="shared" si="401"/>
        <v>35</v>
      </c>
      <c r="H1044" s="130">
        <f t="shared" si="401"/>
        <v>33.25</v>
      </c>
      <c r="I1044" s="132">
        <f t="shared" si="401"/>
        <v>35</v>
      </c>
    </row>
    <row r="1045" hidden="1" outlineLevel="2">
      <c r="A1045" s="69" t="s">
        <v>146</v>
      </c>
      <c r="B1045" s="129">
        <f t="shared" ref="B1045:I1045" si="402">IF(AND(B1026&lt;85%, B1035&gt;100%), 25, B1035*25)</f>
        <v>27.32860418</v>
      </c>
      <c r="C1045" s="130">
        <f t="shared" si="402"/>
        <v>24.52331007</v>
      </c>
      <c r="D1045" s="130">
        <f t="shared" si="402"/>
        <v>22.52204327</v>
      </c>
      <c r="E1045" s="130">
        <f t="shared" si="402"/>
        <v>27.85134821</v>
      </c>
      <c r="F1045" s="130">
        <f t="shared" si="402"/>
        <v>23.18392387</v>
      </c>
      <c r="G1045" s="130">
        <f t="shared" si="402"/>
        <v>27.912353</v>
      </c>
      <c r="H1045" s="130">
        <f t="shared" si="402"/>
        <v>25</v>
      </c>
      <c r="I1045" s="132">
        <f t="shared" si="402"/>
        <v>23.62588606</v>
      </c>
    </row>
    <row r="1046" hidden="1" outlineLevel="2">
      <c r="A1046" s="69" t="s">
        <v>148</v>
      </c>
      <c r="B1046" s="129">
        <f t="shared" ref="B1046:I1046" si="403">B1039*15</f>
        <v>14.49</v>
      </c>
      <c r="C1046" s="130">
        <f t="shared" si="403"/>
        <v>11.85</v>
      </c>
      <c r="D1046" s="130">
        <f t="shared" si="403"/>
        <v>13.62</v>
      </c>
      <c r="E1046" s="130">
        <f t="shared" si="403"/>
        <v>13.455</v>
      </c>
      <c r="F1046" s="130">
        <f t="shared" si="403"/>
        <v>13.5</v>
      </c>
      <c r="G1046" s="130">
        <f t="shared" si="403"/>
        <v>13.5</v>
      </c>
      <c r="H1046" s="130">
        <f t="shared" si="403"/>
        <v>12.525</v>
      </c>
      <c r="I1046" s="132">
        <f t="shared" si="403"/>
        <v>10.725</v>
      </c>
    </row>
    <row r="1047" hidden="1" outlineLevel="2">
      <c r="A1047" s="69" t="s">
        <v>149</v>
      </c>
      <c r="B1047" s="129">
        <f t="shared" ref="B1047:I1047" si="404">B1041*-10</f>
        <v>0</v>
      </c>
      <c r="C1047" s="130">
        <f t="shared" si="404"/>
        <v>0</v>
      </c>
      <c r="D1047" s="130">
        <f t="shared" si="404"/>
        <v>0</v>
      </c>
      <c r="E1047" s="130">
        <f t="shared" si="404"/>
        <v>0</v>
      </c>
      <c r="F1047" s="130">
        <f t="shared" si="404"/>
        <v>0</v>
      </c>
      <c r="G1047" s="130">
        <f t="shared" si="404"/>
        <v>0</v>
      </c>
      <c r="H1047" s="130">
        <f t="shared" si="404"/>
        <v>0</v>
      </c>
      <c r="I1047" s="132">
        <f t="shared" si="404"/>
        <v>0</v>
      </c>
    </row>
    <row r="1048" hidden="1" outlineLevel="2">
      <c r="A1048" s="142" t="s">
        <v>150</v>
      </c>
      <c r="B1048" s="129">
        <f t="shared" ref="B1048:I1048" si="405">B1043+B1044+B1045+B1046+B1047</f>
        <v>105.2936042</v>
      </c>
      <c r="C1048" s="130">
        <f t="shared" si="405"/>
        <v>105.0677545</v>
      </c>
      <c r="D1048" s="130">
        <f t="shared" si="405"/>
        <v>97.30454327</v>
      </c>
      <c r="E1048" s="130">
        <f t="shared" si="405"/>
        <v>108.7928347</v>
      </c>
      <c r="F1048" s="130">
        <f t="shared" si="405"/>
        <v>100.3207482</v>
      </c>
      <c r="G1048" s="130">
        <f t="shared" si="405"/>
        <v>107.143603</v>
      </c>
      <c r="H1048" s="130">
        <f t="shared" si="405"/>
        <v>94.24375</v>
      </c>
      <c r="I1048" s="132">
        <f t="shared" si="405"/>
        <v>99.38838606</v>
      </c>
    </row>
    <row r="1049" hidden="1" outlineLevel="2">
      <c r="A1049" s="54" t="s">
        <v>152</v>
      </c>
      <c r="B1049" s="58">
        <f t="shared" ref="B1049:I1049" si="406">B1048/100</f>
        <v>1.052936042</v>
      </c>
      <c r="C1049" s="61">
        <f t="shared" si="406"/>
        <v>1.050677545</v>
      </c>
      <c r="D1049" s="61">
        <f t="shared" si="406"/>
        <v>0.9730454327</v>
      </c>
      <c r="E1049" s="61">
        <f t="shared" si="406"/>
        <v>1.087928347</v>
      </c>
      <c r="F1049" s="61">
        <f t="shared" si="406"/>
        <v>1.003207482</v>
      </c>
      <c r="G1049" s="61">
        <f t="shared" si="406"/>
        <v>1.07143603</v>
      </c>
      <c r="H1049" s="61">
        <f t="shared" si="406"/>
        <v>0.9424375</v>
      </c>
      <c r="I1049" s="62">
        <f t="shared" si="406"/>
        <v>0.9938838606</v>
      </c>
    </row>
    <row r="1050" hidden="1" outlineLevel="2">
      <c r="A1050" s="127" t="s">
        <v>154</v>
      </c>
      <c r="B1050" s="349" t="s">
        <v>155</v>
      </c>
      <c r="C1050" s="463" t="s">
        <v>155</v>
      </c>
      <c r="D1050" s="463" t="s">
        <v>155</v>
      </c>
      <c r="E1050" s="350" t="s">
        <v>156</v>
      </c>
      <c r="F1050" s="463" t="s">
        <v>155</v>
      </c>
      <c r="G1050" s="350" t="s">
        <v>155</v>
      </c>
      <c r="H1050" s="5" t="s">
        <v>155</v>
      </c>
      <c r="I1050" s="5" t="s">
        <v>155</v>
      </c>
    </row>
    <row r="1051" hidden="1" outlineLevel="2">
      <c r="A1051" s="127" t="s">
        <v>158</v>
      </c>
      <c r="B1051" s="464"/>
      <c r="C1051" s="465"/>
      <c r="D1051" s="465"/>
      <c r="E1051" s="465"/>
      <c r="F1051" s="465"/>
      <c r="G1051" s="465"/>
      <c r="H1051" s="465"/>
      <c r="I1051" s="466"/>
    </row>
    <row r="1052" hidden="1" outlineLevel="1" collapsed="1">
      <c r="A1052" s="442"/>
      <c r="B1052" s="467" t="s">
        <v>223</v>
      </c>
      <c r="C1052" s="14"/>
      <c r="D1052" s="14"/>
      <c r="E1052" s="14"/>
      <c r="F1052" s="14"/>
      <c r="G1052" s="14"/>
      <c r="H1052" s="14"/>
      <c r="I1052" s="15"/>
    </row>
    <row r="1053" hidden="1" outlineLevel="2">
      <c r="A1053" s="444"/>
      <c r="B1053" s="445" t="s">
        <v>29</v>
      </c>
      <c r="C1053" s="446" t="s">
        <v>4</v>
      </c>
      <c r="D1053" s="446" t="s">
        <v>19</v>
      </c>
      <c r="E1053" s="446" t="s">
        <v>30</v>
      </c>
      <c r="F1053" s="446" t="s">
        <v>31</v>
      </c>
      <c r="G1053" s="446" t="s">
        <v>32</v>
      </c>
      <c r="H1053" s="447" t="s">
        <v>13</v>
      </c>
      <c r="I1053" s="447" t="s">
        <v>350</v>
      </c>
    </row>
    <row r="1054" hidden="1" outlineLevel="2">
      <c r="A1054" s="25" t="s">
        <v>36</v>
      </c>
      <c r="B1054" s="243" t="s">
        <v>223</v>
      </c>
      <c r="C1054" s="244"/>
      <c r="D1054" s="244"/>
      <c r="E1054" s="244"/>
      <c r="F1054" s="244"/>
      <c r="G1054" s="244"/>
      <c r="H1054" s="244"/>
      <c r="I1054" s="245"/>
    </row>
    <row r="1055" hidden="1" outlineLevel="2">
      <c r="A1055" s="32" t="s">
        <v>45</v>
      </c>
      <c r="B1055" s="448"/>
      <c r="C1055" s="2"/>
      <c r="D1055" s="2"/>
      <c r="E1055" s="2"/>
      <c r="F1055" s="2"/>
      <c r="G1055" s="2"/>
      <c r="H1055" s="2"/>
      <c r="I1055" s="36"/>
    </row>
    <row r="1056" hidden="1" outlineLevel="2">
      <c r="A1056" s="64" t="s">
        <v>49</v>
      </c>
      <c r="B1056" s="354">
        <v>43.13</v>
      </c>
      <c r="C1056" s="355">
        <v>46.52</v>
      </c>
      <c r="D1056" s="355">
        <v>50.49</v>
      </c>
      <c r="E1056" s="355">
        <v>48.06</v>
      </c>
      <c r="F1056" s="355">
        <v>46.18</v>
      </c>
      <c r="G1056" s="355">
        <v>49.13</v>
      </c>
      <c r="H1056" s="355">
        <v>43.33</v>
      </c>
      <c r="I1056" s="449">
        <v>44.02</v>
      </c>
    </row>
    <row r="1057" hidden="1" outlineLevel="2">
      <c r="A1057" s="69" t="s">
        <v>53</v>
      </c>
      <c r="B1057" s="51">
        <v>40.0</v>
      </c>
      <c r="C1057" s="250">
        <v>40.0</v>
      </c>
      <c r="D1057" s="51">
        <v>40.0</v>
      </c>
      <c r="E1057" s="250">
        <v>38.0</v>
      </c>
      <c r="F1057" s="250">
        <v>38.0</v>
      </c>
      <c r="G1057" s="51">
        <v>40.0</v>
      </c>
      <c r="H1057" s="250">
        <v>40.0</v>
      </c>
      <c r="I1057" s="346">
        <v>40.0</v>
      </c>
    </row>
    <row r="1058" hidden="1" outlineLevel="2">
      <c r="A1058" s="54" t="s">
        <v>57</v>
      </c>
      <c r="B1058" s="252">
        <f t="shared" ref="B1058:I1058" si="407">B1056/B1057</f>
        <v>1.07825</v>
      </c>
      <c r="C1058" s="253">
        <f t="shared" si="407"/>
        <v>1.163</v>
      </c>
      <c r="D1058" s="253">
        <f t="shared" si="407"/>
        <v>1.26225</v>
      </c>
      <c r="E1058" s="253">
        <f t="shared" si="407"/>
        <v>1.264736842</v>
      </c>
      <c r="F1058" s="253">
        <f t="shared" si="407"/>
        <v>1.215263158</v>
      </c>
      <c r="G1058" s="253">
        <f t="shared" si="407"/>
        <v>1.22825</v>
      </c>
      <c r="H1058" s="253">
        <f t="shared" si="407"/>
        <v>1.08325</v>
      </c>
      <c r="I1058" s="256">
        <f t="shared" si="407"/>
        <v>1.1005</v>
      </c>
    </row>
    <row r="1059" hidden="1" outlineLevel="2">
      <c r="A1059" s="32" t="s">
        <v>66</v>
      </c>
      <c r="B1059" s="448"/>
      <c r="C1059" s="2"/>
      <c r="D1059" s="2"/>
      <c r="E1059" s="2"/>
      <c r="F1059" s="2"/>
      <c r="G1059" s="2"/>
      <c r="H1059" s="2"/>
      <c r="I1059" s="36"/>
    </row>
    <row r="1060" hidden="1" outlineLevel="2">
      <c r="A1060" s="64" t="s">
        <v>67</v>
      </c>
      <c r="B1060" s="450">
        <v>40.0</v>
      </c>
      <c r="C1060" s="451">
        <v>40.0</v>
      </c>
      <c r="D1060" s="451">
        <v>31.0</v>
      </c>
      <c r="E1060" s="451">
        <v>31.0</v>
      </c>
      <c r="F1060" s="451">
        <v>40.0</v>
      </c>
      <c r="G1060" s="451">
        <v>40.0</v>
      </c>
      <c r="H1060" s="451">
        <v>40.0</v>
      </c>
      <c r="I1060" s="452">
        <v>40.0</v>
      </c>
    </row>
    <row r="1061" hidden="1" outlineLevel="2">
      <c r="A1061" s="69" t="s">
        <v>72</v>
      </c>
      <c r="B1061" s="186">
        <v>40.0</v>
      </c>
      <c r="C1061" s="187">
        <v>40.0</v>
      </c>
      <c r="D1061" s="187">
        <v>40.0</v>
      </c>
      <c r="E1061" s="187">
        <v>40.0</v>
      </c>
      <c r="F1061" s="187">
        <v>40.0</v>
      </c>
      <c r="G1061" s="187">
        <v>40.0</v>
      </c>
      <c r="H1061" s="187">
        <v>40.0</v>
      </c>
      <c r="I1061" s="188">
        <v>40.0</v>
      </c>
    </row>
    <row r="1062" hidden="1" outlineLevel="2">
      <c r="A1062" s="54" t="s">
        <v>74</v>
      </c>
      <c r="B1062" s="252">
        <f t="shared" ref="B1062:I1062" si="408">B1060/B1061</f>
        <v>1</v>
      </c>
      <c r="C1062" s="253">
        <f t="shared" si="408"/>
        <v>1</v>
      </c>
      <c r="D1062" s="253">
        <f t="shared" si="408"/>
        <v>0.775</v>
      </c>
      <c r="E1062" s="253">
        <f t="shared" si="408"/>
        <v>0.775</v>
      </c>
      <c r="F1062" s="253">
        <f t="shared" si="408"/>
        <v>1</v>
      </c>
      <c r="G1062" s="253">
        <f t="shared" si="408"/>
        <v>1</v>
      </c>
      <c r="H1062" s="253">
        <f t="shared" si="408"/>
        <v>1</v>
      </c>
      <c r="I1062" s="256">
        <f t="shared" si="408"/>
        <v>1</v>
      </c>
    </row>
    <row r="1063" hidden="1" outlineLevel="2">
      <c r="A1063" s="32" t="s">
        <v>75</v>
      </c>
      <c r="B1063" s="448"/>
      <c r="C1063" s="2"/>
      <c r="D1063" s="2"/>
      <c r="E1063" s="2"/>
      <c r="F1063" s="2"/>
      <c r="G1063" s="2"/>
      <c r="H1063" s="2"/>
      <c r="I1063" s="36"/>
    </row>
    <row r="1064" hidden="1" outlineLevel="2">
      <c r="A1064" s="64" t="s">
        <v>76</v>
      </c>
      <c r="B1064" s="185" t="s">
        <v>79</v>
      </c>
      <c r="C1064" s="78" t="s">
        <v>80</v>
      </c>
      <c r="D1064" s="78" t="s">
        <v>80</v>
      </c>
      <c r="E1064" s="78" t="s">
        <v>79</v>
      </c>
      <c r="F1064" s="78" t="s">
        <v>79</v>
      </c>
      <c r="G1064" s="78" t="s">
        <v>80</v>
      </c>
      <c r="H1064" s="78" t="s">
        <v>80</v>
      </c>
      <c r="I1064" s="79" t="s">
        <v>79</v>
      </c>
    </row>
    <row r="1065" hidden="1" outlineLevel="2">
      <c r="A1065" s="64" t="s">
        <v>81</v>
      </c>
      <c r="B1065" s="185" t="s">
        <v>83</v>
      </c>
      <c r="C1065" s="78" t="s">
        <v>85</v>
      </c>
      <c r="D1065" s="78" t="s">
        <v>83</v>
      </c>
      <c r="E1065" s="78" t="s">
        <v>85</v>
      </c>
      <c r="F1065" s="78" t="s">
        <v>83</v>
      </c>
      <c r="G1065" s="78" t="s">
        <v>85</v>
      </c>
      <c r="H1065" s="78" t="s">
        <v>85</v>
      </c>
      <c r="I1065" s="79" t="s">
        <v>85</v>
      </c>
    </row>
    <row r="1066" hidden="1" outlineLevel="2">
      <c r="A1066" s="64" t="s">
        <v>86</v>
      </c>
      <c r="B1066" s="194">
        <f>IF(B1056&lt;B1057,B1057,B1056) *
IF(B1064="AM",
    IF(B1065="Oricle",3.5,
    IF(B1065="Other Brands",4,
    IF(B1065="Oricle Prio",0.6,""))),
 IF(B1064="MID",
    IF(B1065="Oricle",2.5,
    IF(B1065="Other Brands",3,
    IF(B1065="Oricle Prio",0.6,""))),
 IF(B1064="GY",
    IF(B1065="Oricle",1,
    IF(B1065="Other Brands",1,
    IF(B1065="Oricle Prio",0.3,""))),"")))-10</f>
        <v>119.39</v>
      </c>
      <c r="C1066" s="204">
        <f>IF(C1056&lt;C1057,C1057,C1056) *
IF(C1064="AM",
    IF(C1065="Oricle",3,
    IF(C1065="Other Brands",4,
    IF(C1065="Oricle Prio",0.6,""))),
 IF(C1064="MID",
    IF(C1065="Oricle",2.5,
    IF(C1065="Other Brands",3,
    IF(C1065="Oricle Prio",0.6,""))),
 IF(C1064="GY",
    IF(C1065="Oricle",1,
    IF(C1065="Other Brands",1,
    IF(C1065="Oricle Prio",0.3,""))),"")))</f>
        <v>139.56</v>
      </c>
      <c r="D1066" s="204">
        <f>IF(D1056&lt;D1057,D1057,D1056) *
IF(D1064="AM",
    IF(D1065="Oricle",3.5,
    IF(D1065="Other Brands",4,
    IF(D1065="Oricle Prio",0.6,""))),
 IF(D1064="MID",
    IF(D1065="Oricle",2.5,
    IF(D1065="Other Brands",3,
    IF(D1065="Oricle Prio",0.6,""))),
 IF(D1064="GY",
    IF(D1065="Oricle",1,
    IF(D1065="Other Brands",1,
    IF(D1065="Oricle Prio",0.3,""))),"")))</f>
        <v>201.96</v>
      </c>
      <c r="E1066" s="204">
        <f>IF(E1056&lt;E1057,E1057,E1056) *
IF(E1064="AM",
    IF(E1065="Oricle",3.5,
    IF(E1065="Other Brands",4,
    IF(E1065="Oricle Prio",0.6,""))),
 IF(E1064="MID",
    IF(E1065="Oricle",2.5,
    IF(E1065="Other Brands",3,
    IF(E1065="Oricle Prio",0.6,""))),
 IF(E1064="GY",
    IF(E1065="Oricle",1,
    IF(E1065="Other Brands",1,
    IF(E1065="Oricle Prio",0.3,""))),"")))-15</f>
        <v>105.15</v>
      </c>
      <c r="F1066" s="204">
        <f>IF(F1056&lt;F1057,F1057,F1056) *
IF(F1064="AM",
    IF(F1065="Oricle",3.5,
    IF(F1065="Other Brands",4,
    IF(F1065="Oricle Prio",0.6,""))),
 IF(F1064="MID",
    IF(F1065="Oricle",2.5,
    IF(F1065="Other Brands",3,
    IF(F1065="Oricle Prio",0.6,""))),
 IF(F1064="GY",
    IF(F1065="Oricle",1,
    IF(F1065="Other Brands",1,
    IF(F1065="Oricle Prio",0.3,""))),"")))</f>
        <v>138.54</v>
      </c>
      <c r="G1066" s="204">
        <f t="shared" ref="G1066:H1066" si="409">IF(G1056&lt;G1057,G1057,G1056) *
IF(G1064="AM",
    IF(G1065="Oricle",3,
    IF(G1065="Other Brands",4,
    IF(G1065="Oricle Prio",0.6,""))),
 IF(G1064="MID",
    IF(G1065="Oricle",2.5,
    IF(G1065="Other Brands",3,
    IF(G1065="Oricle Prio",0.6,""))),
 IF(G1064="GY",
    IF(G1065="Oricle",1,
    IF(G1065="Other Brands",1,
    IF(G1065="Oricle Prio",0.3,""))),"")))</f>
        <v>147.39</v>
      </c>
      <c r="H1066" s="204">
        <f t="shared" si="409"/>
        <v>129.99</v>
      </c>
      <c r="I1066" s="204">
        <f>IF(I1056&lt;I1057,I1057,I1056) *
IF(I1064="AM",
    IF(I1065="Oricle",3.5,
    IF(I1065="Other Brands",4,
    IF(I1065="Oricle Prio",0.6,""))),
 IF(I1064="MID",
    IF(I1065="Oricle",2.5,
    IF(I1065="Other Brands",3,
    IF(I1065="Oricle Prio",0.6,""))),
 IF(I1064="GY",
    IF(I1065="Oricle",1,
    IF(I1065="Other Brands",1,
    IF(I1065="Oricle Prio",0.3,""))),"")))</f>
        <v>110.05</v>
      </c>
    </row>
    <row r="1067" hidden="1" outlineLevel="2">
      <c r="A1067" s="64" t="s">
        <v>98</v>
      </c>
      <c r="B1067" s="457" t="s">
        <v>200</v>
      </c>
      <c r="C1067" s="458" t="s">
        <v>1169</v>
      </c>
      <c r="D1067" s="458" t="s">
        <v>113</v>
      </c>
      <c r="E1067" s="458" t="s">
        <v>101</v>
      </c>
      <c r="F1067" s="458" t="s">
        <v>1170</v>
      </c>
      <c r="G1067" s="458" t="s">
        <v>1351</v>
      </c>
      <c r="H1067" s="458" t="s">
        <v>255</v>
      </c>
      <c r="I1067" s="458" t="s">
        <v>296</v>
      </c>
    </row>
    <row r="1068" hidden="1" outlineLevel="2">
      <c r="A1068" s="64" t="s">
        <v>107</v>
      </c>
      <c r="B1068" s="457" t="s">
        <v>329</v>
      </c>
      <c r="C1068" s="458" t="s">
        <v>207</v>
      </c>
      <c r="D1068" s="458" t="s">
        <v>297</v>
      </c>
      <c r="E1068" s="458" t="s">
        <v>690</v>
      </c>
      <c r="F1068" s="458" t="s">
        <v>249</v>
      </c>
      <c r="G1068" s="458" t="s">
        <v>1291</v>
      </c>
      <c r="H1068" s="458" t="s">
        <v>1083</v>
      </c>
      <c r="I1068" s="458" t="s">
        <v>301</v>
      </c>
    </row>
    <row r="1069" hidden="1" outlineLevel="2">
      <c r="A1069" s="69" t="s">
        <v>115</v>
      </c>
      <c r="B1069" s="108">
        <f t="shared" ref="B1069:I1069" si="410">IF(B1067&gt;0,B1068/B1067,0)</f>
        <v>0.9769230769</v>
      </c>
      <c r="C1069" s="110">
        <f t="shared" si="410"/>
        <v>0.9942857143</v>
      </c>
      <c r="D1069" s="110">
        <f t="shared" si="410"/>
        <v>0.9822485207</v>
      </c>
      <c r="E1069" s="110">
        <f t="shared" si="410"/>
        <v>0.9635036496</v>
      </c>
      <c r="F1069" s="110">
        <f t="shared" si="410"/>
        <v>0.9556962025</v>
      </c>
      <c r="G1069" s="110">
        <f t="shared" si="410"/>
        <v>0.95</v>
      </c>
      <c r="H1069" s="110">
        <f t="shared" si="410"/>
        <v>0.9659863946</v>
      </c>
      <c r="I1069" s="111">
        <f t="shared" si="410"/>
        <v>0.9814814815</v>
      </c>
    </row>
    <row r="1070" hidden="1" outlineLevel="2">
      <c r="A1070" s="69" t="s">
        <v>119</v>
      </c>
      <c r="B1070" s="108">
        <f t="shared" ref="B1070:I1070" si="411">IF(B1066&gt;0,B1068/B1066,0)</f>
        <v>1.063740682</v>
      </c>
      <c r="C1070" s="110">
        <f t="shared" si="411"/>
        <v>1.24677558</v>
      </c>
      <c r="D1070" s="110">
        <f t="shared" si="411"/>
        <v>0.8219449396</v>
      </c>
      <c r="E1070" s="110">
        <f t="shared" si="411"/>
        <v>1.255349501</v>
      </c>
      <c r="F1070" s="110">
        <f t="shared" si="411"/>
        <v>1.089937924</v>
      </c>
      <c r="G1070" s="110">
        <f t="shared" si="411"/>
        <v>1.289096954</v>
      </c>
      <c r="H1070" s="110">
        <f t="shared" si="411"/>
        <v>1.092391722</v>
      </c>
      <c r="I1070" s="111">
        <f t="shared" si="411"/>
        <v>0.9631985461</v>
      </c>
    </row>
    <row r="1071" hidden="1" outlineLevel="2">
      <c r="A1071" s="116" t="s">
        <v>82</v>
      </c>
      <c r="B1071" s="252">
        <f t="shared" ref="B1071:I1071" si="412">average(B1069:B1070)</f>
        <v>1.020331879</v>
      </c>
      <c r="C1071" s="253">
        <f t="shared" si="412"/>
        <v>1.120530647</v>
      </c>
      <c r="D1071" s="253">
        <f t="shared" si="412"/>
        <v>0.9020967302</v>
      </c>
      <c r="E1071" s="253">
        <f t="shared" si="412"/>
        <v>1.109426575</v>
      </c>
      <c r="F1071" s="253">
        <f t="shared" si="412"/>
        <v>1.022817063</v>
      </c>
      <c r="G1071" s="253">
        <f t="shared" si="412"/>
        <v>1.119548477</v>
      </c>
      <c r="H1071" s="253">
        <f t="shared" si="412"/>
        <v>1.029189058</v>
      </c>
      <c r="I1071" s="256">
        <f t="shared" si="412"/>
        <v>0.9723400138</v>
      </c>
    </row>
    <row r="1072" hidden="1" outlineLevel="2">
      <c r="A1072" s="32" t="s">
        <v>121</v>
      </c>
      <c r="B1072" s="459"/>
      <c r="C1072" s="2"/>
      <c r="D1072" s="2"/>
      <c r="E1072" s="2"/>
      <c r="F1072" s="2"/>
      <c r="G1072" s="2"/>
      <c r="H1072" s="2"/>
      <c r="I1072" s="3"/>
    </row>
    <row r="1073" hidden="1" outlineLevel="2">
      <c r="A1073" s="64" t="s">
        <v>122</v>
      </c>
      <c r="B1073" s="354">
        <v>9.0</v>
      </c>
      <c r="C1073" s="355">
        <v>9.05</v>
      </c>
      <c r="D1073" s="355">
        <v>9.13</v>
      </c>
      <c r="E1073" s="355">
        <v>8.8</v>
      </c>
      <c r="F1073" s="355">
        <v>9.66</v>
      </c>
      <c r="G1073" s="355">
        <v>8.88</v>
      </c>
      <c r="H1073" s="355">
        <v>9.38</v>
      </c>
      <c r="I1073" s="355">
        <v>7.32</v>
      </c>
    </row>
    <row r="1074" hidden="1" outlineLevel="2">
      <c r="A1074" s="69" t="s">
        <v>128</v>
      </c>
      <c r="B1074" s="119">
        <v>10.0</v>
      </c>
      <c r="C1074" s="120">
        <v>10.0</v>
      </c>
      <c r="D1074" s="120">
        <v>10.0</v>
      </c>
      <c r="E1074" s="120">
        <v>10.0</v>
      </c>
      <c r="F1074" s="120">
        <v>10.0</v>
      </c>
      <c r="G1074" s="120">
        <v>10.0</v>
      </c>
      <c r="H1074" s="120">
        <v>10.0</v>
      </c>
      <c r="I1074" s="121">
        <v>10.0</v>
      </c>
    </row>
    <row r="1075" hidden="1" outlineLevel="2">
      <c r="A1075" s="54" t="s">
        <v>130</v>
      </c>
      <c r="B1075" s="252">
        <f t="shared" ref="B1075:I1075" si="413">IF(B1073=0,0,B1073/B1074)</f>
        <v>0.9</v>
      </c>
      <c r="C1075" s="253">
        <f t="shared" si="413"/>
        <v>0.905</v>
      </c>
      <c r="D1075" s="253">
        <f t="shared" si="413"/>
        <v>0.913</v>
      </c>
      <c r="E1075" s="253">
        <f t="shared" si="413"/>
        <v>0.88</v>
      </c>
      <c r="F1075" s="253">
        <f t="shared" si="413"/>
        <v>0.966</v>
      </c>
      <c r="G1075" s="253">
        <f t="shared" si="413"/>
        <v>0.888</v>
      </c>
      <c r="H1075" s="253">
        <f t="shared" si="413"/>
        <v>0.938</v>
      </c>
      <c r="I1075" s="256">
        <f t="shared" si="413"/>
        <v>0.732</v>
      </c>
    </row>
    <row r="1076" hidden="1" outlineLevel="2">
      <c r="A1076" s="32" t="s">
        <v>131</v>
      </c>
      <c r="B1076" s="448"/>
      <c r="C1076" s="2"/>
      <c r="D1076" s="2"/>
      <c r="E1076" s="2"/>
      <c r="F1076" s="2"/>
      <c r="G1076" s="2"/>
      <c r="H1076" s="2"/>
      <c r="I1076" s="36"/>
    </row>
    <row r="1077" hidden="1" outlineLevel="2">
      <c r="A1077" s="64" t="s">
        <v>132</v>
      </c>
      <c r="B1077" s="460"/>
      <c r="C1077" s="461"/>
      <c r="D1077" s="461"/>
      <c r="E1077" s="461"/>
      <c r="F1077" s="461"/>
      <c r="G1077" s="461"/>
      <c r="H1077" s="461"/>
      <c r="I1077" s="462"/>
    </row>
    <row r="1078" hidden="1" outlineLevel="2">
      <c r="A1078" s="127" t="s">
        <v>134</v>
      </c>
      <c r="B1078" s="448"/>
      <c r="C1078" s="2"/>
      <c r="D1078" s="2"/>
      <c r="E1078" s="2"/>
      <c r="F1078" s="2"/>
      <c r="G1078" s="2"/>
      <c r="H1078" s="2"/>
      <c r="I1078" s="36"/>
    </row>
    <row r="1079" hidden="1" outlineLevel="2">
      <c r="A1079" s="69" t="s">
        <v>136</v>
      </c>
      <c r="B1079" s="129">
        <f t="shared" ref="B1079:I1079" si="414">B1058*25</f>
        <v>26.95625</v>
      </c>
      <c r="C1079" s="130">
        <f t="shared" si="414"/>
        <v>29.075</v>
      </c>
      <c r="D1079" s="130">
        <f t="shared" si="414"/>
        <v>31.55625</v>
      </c>
      <c r="E1079" s="130">
        <f t="shared" si="414"/>
        <v>31.61842105</v>
      </c>
      <c r="F1079" s="130">
        <f t="shared" si="414"/>
        <v>30.38157895</v>
      </c>
      <c r="G1079" s="130">
        <f t="shared" si="414"/>
        <v>30.70625</v>
      </c>
      <c r="H1079" s="130">
        <f t="shared" si="414"/>
        <v>27.08125</v>
      </c>
      <c r="I1079" s="132">
        <f t="shared" si="414"/>
        <v>27.5125</v>
      </c>
    </row>
    <row r="1080" hidden="1" outlineLevel="2">
      <c r="A1080" s="69" t="s">
        <v>144</v>
      </c>
      <c r="B1080" s="129">
        <f t="shared" ref="B1080:I1080" si="415">B1062*35</f>
        <v>35</v>
      </c>
      <c r="C1080" s="130">
        <f t="shared" si="415"/>
        <v>35</v>
      </c>
      <c r="D1080" s="130">
        <f t="shared" si="415"/>
        <v>27.125</v>
      </c>
      <c r="E1080" s="130">
        <f t="shared" si="415"/>
        <v>27.125</v>
      </c>
      <c r="F1080" s="130">
        <f t="shared" si="415"/>
        <v>35</v>
      </c>
      <c r="G1080" s="130">
        <f t="shared" si="415"/>
        <v>35</v>
      </c>
      <c r="H1080" s="130">
        <f t="shared" si="415"/>
        <v>35</v>
      </c>
      <c r="I1080" s="132">
        <f t="shared" si="415"/>
        <v>35</v>
      </c>
    </row>
    <row r="1081" hidden="1" outlineLevel="2">
      <c r="A1081" s="69" t="s">
        <v>146</v>
      </c>
      <c r="B1081" s="129">
        <f t="shared" ref="B1081:I1081" si="416">IF(AND(B1062&lt;85%, B1071&gt;100%), 25, B1071*25)</f>
        <v>25.50829698</v>
      </c>
      <c r="C1081" s="130">
        <f t="shared" si="416"/>
        <v>28.01326618</v>
      </c>
      <c r="D1081" s="130">
        <f t="shared" si="416"/>
        <v>22.55241825</v>
      </c>
      <c r="E1081" s="130">
        <f t="shared" si="416"/>
        <v>25</v>
      </c>
      <c r="F1081" s="130">
        <f t="shared" si="416"/>
        <v>25.57042658</v>
      </c>
      <c r="G1081" s="130">
        <f t="shared" si="416"/>
        <v>27.98871192</v>
      </c>
      <c r="H1081" s="130">
        <f t="shared" si="416"/>
        <v>25.72972646</v>
      </c>
      <c r="I1081" s="132">
        <f t="shared" si="416"/>
        <v>24.30850034</v>
      </c>
    </row>
    <row r="1082" hidden="1" outlineLevel="2">
      <c r="A1082" s="69" t="s">
        <v>148</v>
      </c>
      <c r="B1082" s="129">
        <f t="shared" ref="B1082:I1082" si="417">B1075*15</f>
        <v>13.5</v>
      </c>
      <c r="C1082" s="130">
        <f t="shared" si="417"/>
        <v>13.575</v>
      </c>
      <c r="D1082" s="130">
        <f t="shared" si="417"/>
        <v>13.695</v>
      </c>
      <c r="E1082" s="130">
        <f t="shared" si="417"/>
        <v>13.2</v>
      </c>
      <c r="F1082" s="130">
        <f t="shared" si="417"/>
        <v>14.49</v>
      </c>
      <c r="G1082" s="130">
        <f t="shared" si="417"/>
        <v>13.32</v>
      </c>
      <c r="H1082" s="130">
        <f t="shared" si="417"/>
        <v>14.07</v>
      </c>
      <c r="I1082" s="132">
        <f t="shared" si="417"/>
        <v>10.98</v>
      </c>
    </row>
    <row r="1083" hidden="1" outlineLevel="2">
      <c r="A1083" s="69" t="s">
        <v>149</v>
      </c>
      <c r="B1083" s="129">
        <f t="shared" ref="B1083:I1083" si="418">B1077*-10</f>
        <v>0</v>
      </c>
      <c r="C1083" s="130">
        <f t="shared" si="418"/>
        <v>0</v>
      </c>
      <c r="D1083" s="130">
        <f t="shared" si="418"/>
        <v>0</v>
      </c>
      <c r="E1083" s="130">
        <f t="shared" si="418"/>
        <v>0</v>
      </c>
      <c r="F1083" s="130">
        <f t="shared" si="418"/>
        <v>0</v>
      </c>
      <c r="G1083" s="130">
        <f t="shared" si="418"/>
        <v>0</v>
      </c>
      <c r="H1083" s="130">
        <f t="shared" si="418"/>
        <v>0</v>
      </c>
      <c r="I1083" s="132">
        <f t="shared" si="418"/>
        <v>0</v>
      </c>
    </row>
    <row r="1084" hidden="1" outlineLevel="2">
      <c r="A1084" s="142" t="s">
        <v>150</v>
      </c>
      <c r="B1084" s="129">
        <f t="shared" ref="B1084:I1084" si="419">B1079+B1080+B1081+B1082+B1083</f>
        <v>100.964547</v>
      </c>
      <c r="C1084" s="130">
        <f t="shared" si="419"/>
        <v>105.6632662</v>
      </c>
      <c r="D1084" s="130">
        <f t="shared" si="419"/>
        <v>94.92866825</v>
      </c>
      <c r="E1084" s="130">
        <f t="shared" si="419"/>
        <v>96.94342105</v>
      </c>
      <c r="F1084" s="130">
        <f t="shared" si="419"/>
        <v>105.4420055</v>
      </c>
      <c r="G1084" s="130">
        <f t="shared" si="419"/>
        <v>107.0149619</v>
      </c>
      <c r="H1084" s="130">
        <f t="shared" si="419"/>
        <v>101.8809765</v>
      </c>
      <c r="I1084" s="132">
        <f t="shared" si="419"/>
        <v>97.80100034</v>
      </c>
    </row>
    <row r="1085" hidden="1" outlineLevel="2">
      <c r="A1085" s="54" t="s">
        <v>152</v>
      </c>
      <c r="B1085" s="58">
        <f t="shared" ref="B1085:I1085" si="420">B1084/100</f>
        <v>1.00964547</v>
      </c>
      <c r="C1085" s="61">
        <f t="shared" si="420"/>
        <v>1.056632662</v>
      </c>
      <c r="D1085" s="61">
        <f t="shared" si="420"/>
        <v>0.9492866825</v>
      </c>
      <c r="E1085" s="61">
        <f t="shared" si="420"/>
        <v>0.9694342105</v>
      </c>
      <c r="F1085" s="61">
        <f t="shared" si="420"/>
        <v>1.054420055</v>
      </c>
      <c r="G1085" s="61">
        <f t="shared" si="420"/>
        <v>1.070149619</v>
      </c>
      <c r="H1085" s="61">
        <f t="shared" si="420"/>
        <v>1.018809765</v>
      </c>
      <c r="I1085" s="62">
        <f t="shared" si="420"/>
        <v>0.9780100034</v>
      </c>
    </row>
    <row r="1086" hidden="1" outlineLevel="2">
      <c r="A1086" s="127" t="s">
        <v>154</v>
      </c>
      <c r="B1086" s="349" t="s">
        <v>155</v>
      </c>
      <c r="C1086" s="350" t="s">
        <v>155</v>
      </c>
      <c r="D1086" s="350" t="s">
        <v>155</v>
      </c>
      <c r="E1086" s="350" t="s">
        <v>155</v>
      </c>
      <c r="F1086" s="350" t="s">
        <v>155</v>
      </c>
      <c r="G1086" s="350" t="s">
        <v>156</v>
      </c>
      <c r="H1086" s="350" t="s">
        <v>155</v>
      </c>
      <c r="I1086" s="350" t="s">
        <v>155</v>
      </c>
    </row>
    <row r="1087" hidden="1" outlineLevel="2">
      <c r="A1087" s="127" t="s">
        <v>158</v>
      </c>
      <c r="B1087" s="464"/>
      <c r="C1087" s="465"/>
      <c r="D1087" s="465"/>
      <c r="E1087" s="465"/>
      <c r="F1087" s="465"/>
      <c r="G1087" s="465"/>
      <c r="H1087" s="465"/>
      <c r="I1087" s="466"/>
    </row>
    <row r="1088" hidden="1" outlineLevel="1" collapsed="1">
      <c r="A1088" s="442"/>
      <c r="B1088" s="467" t="s">
        <v>261</v>
      </c>
      <c r="C1088" s="14"/>
      <c r="D1088" s="14"/>
      <c r="E1088" s="14"/>
      <c r="F1088" s="14"/>
      <c r="G1088" s="14"/>
      <c r="H1088" s="14"/>
      <c r="I1088" s="15"/>
    </row>
    <row r="1089" hidden="1" outlineLevel="2">
      <c r="A1089" s="444"/>
      <c r="B1089" s="445" t="s">
        <v>29</v>
      </c>
      <c r="C1089" s="446" t="s">
        <v>4</v>
      </c>
      <c r="D1089" s="446" t="s">
        <v>19</v>
      </c>
      <c r="E1089" s="446" t="s">
        <v>30</v>
      </c>
      <c r="F1089" s="446" t="s">
        <v>31</v>
      </c>
      <c r="G1089" s="446" t="s">
        <v>32</v>
      </c>
      <c r="H1089" s="447" t="s">
        <v>13</v>
      </c>
      <c r="I1089" s="447" t="s">
        <v>350</v>
      </c>
    </row>
    <row r="1090" hidden="1" outlineLevel="2">
      <c r="A1090" s="25" t="s">
        <v>36</v>
      </c>
      <c r="B1090" s="243" t="s">
        <v>261</v>
      </c>
      <c r="C1090" s="244"/>
      <c r="D1090" s="244"/>
      <c r="E1090" s="244"/>
      <c r="F1090" s="244"/>
      <c r="G1090" s="244"/>
      <c r="H1090" s="244"/>
      <c r="I1090" s="245"/>
    </row>
    <row r="1091" hidden="1" outlineLevel="2">
      <c r="A1091" s="32" t="s">
        <v>45</v>
      </c>
      <c r="B1091" s="448"/>
      <c r="C1091" s="2"/>
      <c r="D1091" s="2"/>
      <c r="E1091" s="2"/>
      <c r="F1091" s="2"/>
      <c r="G1091" s="2"/>
      <c r="H1091" s="2"/>
      <c r="I1091" s="36"/>
    </row>
    <row r="1092" hidden="1" outlineLevel="2">
      <c r="A1092" s="64" t="s">
        <v>49</v>
      </c>
      <c r="B1092" s="354">
        <v>45.53</v>
      </c>
      <c r="C1092" s="355">
        <v>46.48</v>
      </c>
      <c r="D1092" s="355">
        <v>44.44</v>
      </c>
      <c r="E1092" s="355">
        <v>50.05</v>
      </c>
      <c r="F1092" s="355">
        <v>32.18</v>
      </c>
      <c r="G1092" s="355">
        <v>49.17</v>
      </c>
      <c r="H1092" s="355">
        <v>30.15</v>
      </c>
      <c r="I1092" s="449">
        <v>48.18</v>
      </c>
    </row>
    <row r="1093" hidden="1" outlineLevel="2">
      <c r="A1093" s="69" t="s">
        <v>53</v>
      </c>
      <c r="B1093" s="51">
        <v>40.0</v>
      </c>
      <c r="C1093" s="250">
        <v>40.0</v>
      </c>
      <c r="D1093" s="51">
        <v>40.0</v>
      </c>
      <c r="E1093" s="250">
        <v>38.0</v>
      </c>
      <c r="F1093" s="250">
        <v>28.0</v>
      </c>
      <c r="G1093" s="51">
        <v>40.0</v>
      </c>
      <c r="H1093" s="250">
        <v>32.0</v>
      </c>
      <c r="I1093" s="346">
        <v>40.0</v>
      </c>
    </row>
    <row r="1094" hidden="1" outlineLevel="2">
      <c r="A1094" s="54" t="s">
        <v>57</v>
      </c>
      <c r="B1094" s="252">
        <f t="shared" ref="B1094:I1094" si="421">B1092/B1093</f>
        <v>1.13825</v>
      </c>
      <c r="C1094" s="253">
        <f t="shared" si="421"/>
        <v>1.162</v>
      </c>
      <c r="D1094" s="253">
        <f t="shared" si="421"/>
        <v>1.111</v>
      </c>
      <c r="E1094" s="253">
        <f t="shared" si="421"/>
        <v>1.317105263</v>
      </c>
      <c r="F1094" s="253">
        <f t="shared" si="421"/>
        <v>1.149285714</v>
      </c>
      <c r="G1094" s="253">
        <f t="shared" si="421"/>
        <v>1.22925</v>
      </c>
      <c r="H1094" s="253">
        <f t="shared" si="421"/>
        <v>0.9421875</v>
      </c>
      <c r="I1094" s="256">
        <f t="shared" si="421"/>
        <v>1.2045</v>
      </c>
    </row>
    <row r="1095" hidden="1" outlineLevel="2">
      <c r="A1095" s="32" t="s">
        <v>66</v>
      </c>
      <c r="B1095" s="448"/>
      <c r="C1095" s="2"/>
      <c r="D1095" s="2"/>
      <c r="E1095" s="2"/>
      <c r="F1095" s="2"/>
      <c r="G1095" s="2"/>
      <c r="H1095" s="2"/>
      <c r="I1095" s="36"/>
    </row>
    <row r="1096" hidden="1" outlineLevel="2">
      <c r="A1096" s="64" t="s">
        <v>67</v>
      </c>
      <c r="B1096" s="450">
        <v>31.0</v>
      </c>
      <c r="C1096" s="451">
        <v>40.0</v>
      </c>
      <c r="D1096" s="451">
        <v>35.5</v>
      </c>
      <c r="E1096" s="451">
        <v>40.0</v>
      </c>
      <c r="F1096" s="451">
        <v>40.0</v>
      </c>
      <c r="G1096" s="451">
        <v>31.0</v>
      </c>
      <c r="H1096" s="451">
        <v>40.0</v>
      </c>
      <c r="I1096" s="452">
        <v>40.0</v>
      </c>
    </row>
    <row r="1097" hidden="1" outlineLevel="2">
      <c r="A1097" s="69" t="s">
        <v>72</v>
      </c>
      <c r="B1097" s="186">
        <v>40.0</v>
      </c>
      <c r="C1097" s="187">
        <v>40.0</v>
      </c>
      <c r="D1097" s="187">
        <v>40.0</v>
      </c>
      <c r="E1097" s="187">
        <v>40.0</v>
      </c>
      <c r="F1097" s="187">
        <v>40.0</v>
      </c>
      <c r="G1097" s="187">
        <v>40.0</v>
      </c>
      <c r="H1097" s="187">
        <v>40.0</v>
      </c>
      <c r="I1097" s="188">
        <v>40.0</v>
      </c>
    </row>
    <row r="1098" hidden="1" outlineLevel="2">
      <c r="A1098" s="54" t="s">
        <v>74</v>
      </c>
      <c r="B1098" s="252">
        <f t="shared" ref="B1098:I1098" si="422">B1096/B1097</f>
        <v>0.775</v>
      </c>
      <c r="C1098" s="253">
        <f t="shared" si="422"/>
        <v>1</v>
      </c>
      <c r="D1098" s="253">
        <f t="shared" si="422"/>
        <v>0.8875</v>
      </c>
      <c r="E1098" s="253">
        <f t="shared" si="422"/>
        <v>1</v>
      </c>
      <c r="F1098" s="253">
        <f t="shared" si="422"/>
        <v>1</v>
      </c>
      <c r="G1098" s="253">
        <f t="shared" si="422"/>
        <v>0.775</v>
      </c>
      <c r="H1098" s="253">
        <f t="shared" si="422"/>
        <v>1</v>
      </c>
      <c r="I1098" s="256">
        <f t="shared" si="422"/>
        <v>1</v>
      </c>
    </row>
    <row r="1099" hidden="1" outlineLevel="2">
      <c r="A1099" s="32" t="s">
        <v>75</v>
      </c>
      <c r="B1099" s="448"/>
      <c r="C1099" s="2"/>
      <c r="D1099" s="2"/>
      <c r="E1099" s="2"/>
      <c r="F1099" s="2"/>
      <c r="G1099" s="2"/>
      <c r="H1099" s="2"/>
      <c r="I1099" s="36"/>
    </row>
    <row r="1100" hidden="1" outlineLevel="2">
      <c r="A1100" s="64" t="s">
        <v>76</v>
      </c>
      <c r="B1100" s="185" t="s">
        <v>79</v>
      </c>
      <c r="C1100" s="78" t="s">
        <v>80</v>
      </c>
      <c r="D1100" s="78" t="s">
        <v>80</v>
      </c>
      <c r="E1100" s="78" t="s">
        <v>79</v>
      </c>
      <c r="F1100" s="78" t="s">
        <v>79</v>
      </c>
      <c r="G1100" s="78" t="s">
        <v>80</v>
      </c>
      <c r="H1100" s="78" t="s">
        <v>80</v>
      </c>
      <c r="I1100" s="79" t="s">
        <v>79</v>
      </c>
    </row>
    <row r="1101" hidden="1" outlineLevel="2">
      <c r="A1101" s="64" t="s">
        <v>81</v>
      </c>
      <c r="B1101" s="185" t="s">
        <v>83</v>
      </c>
      <c r="C1101" s="78" t="s">
        <v>85</v>
      </c>
      <c r="D1101" s="78" t="s">
        <v>83</v>
      </c>
      <c r="E1101" s="78" t="s">
        <v>85</v>
      </c>
      <c r="F1101" s="78" t="s">
        <v>83</v>
      </c>
      <c r="G1101" s="78" t="s">
        <v>85</v>
      </c>
      <c r="H1101" s="78" t="s">
        <v>85</v>
      </c>
      <c r="I1101" s="79" t="s">
        <v>85</v>
      </c>
    </row>
    <row r="1102" hidden="1" outlineLevel="2">
      <c r="A1102" s="64" t="s">
        <v>86</v>
      </c>
      <c r="B1102" s="194">
        <f>IF(B1092&lt;B1093,B1093,B1092) *
IF(B1100="AM",
    IF(B1101="Oricle",3.5,
    IF(B1101="Other Brands",4,
    IF(B1101="Oricle Prio",0.6,""))),
 IF(B1100="MID",
    IF(B1101="Oricle",2.5,
    IF(B1101="Other Brands",3,
    IF(B1101="Oricle Prio",0.6,""))),
 IF(B1100="GY",
    IF(B1101="Oricle",1,
    IF(B1101="Other Brands",1,
    IF(B1101="Oricle Prio",0.3,""))),"")))-10</f>
        <v>126.59</v>
      </c>
      <c r="C1102" s="204">
        <f>IF(C1092&lt;C1093,C1093,C1092) *
IF(C1100="AM",
    IF(C1101="Oricle",3,
    IF(C1101="Other Brands",4,
    IF(C1101="Oricle Prio",0.6,""))),
 IF(C1100="MID",
    IF(C1101="Oricle",2.5,
    IF(C1101="Other Brands",3,
    IF(C1101="Oricle Prio",0.6,""))),
 IF(C1100="GY",
    IF(C1101="Oricle",1,
    IF(C1101="Other Brands",1,
    IF(C1101="Oricle Prio",0.3,""))),"")))</f>
        <v>139.44</v>
      </c>
      <c r="D1102" s="204">
        <f>IF(D1092&lt;D1093,D1093,D1092) *
IF(D1100="AM",
    IF(D1101="Oricle",3.5,
    IF(D1101="Other Brands",4,
    IF(D1101="Oricle Prio",0.6,""))),
 IF(D1100="MID",
    IF(D1101="Oricle",2.5,
    IF(D1101="Other Brands",3,
    IF(D1101="Oricle Prio",0.6,""))),
 IF(D1100="GY",
    IF(D1101="Oricle",1,
    IF(D1101="Other Brands",1,
    IF(D1101="Oricle Prio",0.3,""))),"")))</f>
        <v>177.76</v>
      </c>
      <c r="E1102" s="204">
        <f>IF(E1092&lt;E1093,E1093,E1092) *
IF(E1100="AM",
    IF(E1101="Oricle",3.5,
    IF(E1101="Other Brands",4,
    IF(E1101="Oricle Prio",0.6,""))),
 IF(E1100="MID",
    IF(E1101="Oricle",2.5,
    IF(E1101="Other Brands",3,
    IF(E1101="Oricle Prio",0.6,""))),
 IF(E1100="GY",
    IF(E1101="Oricle",1,
    IF(E1101="Other Brands",1,
    IF(E1101="Oricle Prio",0.3,""))),"")))-15</f>
        <v>110.125</v>
      </c>
      <c r="F1102" s="204">
        <f>IF(F1092&lt;F1093,F1093,F1092) *
IF(F1100="AM",
    IF(F1101="Oricle",3.5,
    IF(F1101="Other Brands",4,
    IF(F1101="Oricle Prio",0.6,""))),
 IF(F1100="MID",
    IF(F1101="Oricle",2.5,
    IF(F1101="Other Brands",3,
    IF(F1101="Oricle Prio",0.6,""))),
 IF(F1100="GY",
    IF(F1101="Oricle",1,
    IF(F1101="Other Brands",1,
    IF(F1101="Oricle Prio",0.3,""))),"")))</f>
        <v>96.54</v>
      </c>
      <c r="G1102" s="204">
        <f t="shared" ref="G1102:H1102" si="423">IF(G1092&lt;G1093,G1093,G1092) *
IF(G1100="AM",
    IF(G1101="Oricle",3,
    IF(G1101="Other Brands",4,
    IF(G1101="Oricle Prio",0.6,""))),
 IF(G1100="MID",
    IF(G1101="Oricle",2.5,
    IF(G1101="Other Brands",3,
    IF(G1101="Oricle Prio",0.6,""))),
 IF(G1100="GY",
    IF(G1101="Oricle",1,
    IF(G1101="Other Brands",1,
    IF(G1101="Oricle Prio",0.3,""))),"")))</f>
        <v>147.51</v>
      </c>
      <c r="H1102" s="204">
        <f t="shared" si="423"/>
        <v>96</v>
      </c>
      <c r="I1102" s="204">
        <f>IF(I1092&lt;I1093,I1093,I1092) *
IF(I1100="AM",
    IF(I1101="Oricle",3.5,
    IF(I1101="Other Brands",4,
    IF(I1101="Oricle Prio",0.6,""))),
 IF(I1100="MID",
    IF(I1101="Oricle",2.5,
    IF(I1101="Other Brands",3,
    IF(I1101="Oricle Prio",0.6,""))),
 IF(I1100="GY",
    IF(I1101="Oricle",1,
    IF(I1101="Other Brands",1,
    IF(I1101="Oricle Prio",0.3,""))),"")))</f>
        <v>120.45</v>
      </c>
    </row>
    <row r="1103" hidden="1" outlineLevel="2">
      <c r="A1103" s="64" t="s">
        <v>98</v>
      </c>
      <c r="B1103" s="457" t="s">
        <v>1083</v>
      </c>
      <c r="C1103" s="458" t="s">
        <v>406</v>
      </c>
      <c r="D1103" s="458" t="s">
        <v>481</v>
      </c>
      <c r="E1103" s="458" t="s">
        <v>255</v>
      </c>
      <c r="F1103" s="458" t="s">
        <v>372</v>
      </c>
      <c r="G1103" s="458" t="s">
        <v>112</v>
      </c>
      <c r="H1103" s="458" t="s">
        <v>296</v>
      </c>
      <c r="I1103" s="458" t="s">
        <v>1252</v>
      </c>
    </row>
    <row r="1104" hidden="1" outlineLevel="2">
      <c r="A1104" s="64" t="s">
        <v>107</v>
      </c>
      <c r="B1104" s="457" t="s">
        <v>258</v>
      </c>
      <c r="C1104" s="458" t="s">
        <v>201</v>
      </c>
      <c r="D1104" s="458" t="s">
        <v>561</v>
      </c>
      <c r="E1104" s="458" t="s">
        <v>108</v>
      </c>
      <c r="F1104" s="458" t="s">
        <v>442</v>
      </c>
      <c r="G1104" s="458" t="s">
        <v>202</v>
      </c>
      <c r="H1104" s="458" t="s">
        <v>521</v>
      </c>
      <c r="I1104" s="458" t="s">
        <v>1130</v>
      </c>
    </row>
    <row r="1105" hidden="1" outlineLevel="2">
      <c r="A1105" s="69" t="s">
        <v>115</v>
      </c>
      <c r="B1105" s="108">
        <f t="shared" ref="B1105:I1105" si="424">IF(B1103&gt;0,B1104/B1103,0)</f>
        <v>0.9788732394</v>
      </c>
      <c r="C1105" s="110">
        <f t="shared" si="424"/>
        <v>0.9935897436</v>
      </c>
      <c r="D1105" s="110">
        <f t="shared" si="424"/>
        <v>0.9370629371</v>
      </c>
      <c r="E1105" s="110">
        <f t="shared" si="424"/>
        <v>0.9591836735</v>
      </c>
      <c r="F1105" s="110">
        <f t="shared" si="424"/>
        <v>0.990990991</v>
      </c>
      <c r="G1105" s="110">
        <f t="shared" si="424"/>
        <v>0.9726775956</v>
      </c>
      <c r="H1105" s="110">
        <f t="shared" si="424"/>
        <v>0.9907407407</v>
      </c>
      <c r="I1105" s="111">
        <f t="shared" si="424"/>
        <v>0.9765625</v>
      </c>
    </row>
    <row r="1106" hidden="1" outlineLevel="2">
      <c r="A1106" s="69" t="s">
        <v>119</v>
      </c>
      <c r="B1106" s="108">
        <f t="shared" ref="B1106:I1106" si="425">IF(B1102&gt;0,B1104/B1102,0)</f>
        <v>1.09803302</v>
      </c>
      <c r="C1106" s="110">
        <f t="shared" si="425"/>
        <v>1.111589214</v>
      </c>
      <c r="D1106" s="110">
        <f t="shared" si="425"/>
        <v>0.7538253825</v>
      </c>
      <c r="E1106" s="110">
        <f t="shared" si="425"/>
        <v>1.280363224</v>
      </c>
      <c r="F1106" s="110">
        <f t="shared" si="425"/>
        <v>1.139424073</v>
      </c>
      <c r="G1106" s="110">
        <f t="shared" si="425"/>
        <v>1.206697851</v>
      </c>
      <c r="H1106" s="110">
        <f t="shared" si="425"/>
        <v>1.114583333</v>
      </c>
      <c r="I1106" s="111">
        <f t="shared" si="425"/>
        <v>1.03777501</v>
      </c>
    </row>
    <row r="1107" hidden="1" outlineLevel="2">
      <c r="A1107" s="116" t="s">
        <v>82</v>
      </c>
      <c r="B1107" s="252">
        <f t="shared" ref="B1107:I1107" si="426">average(B1105:B1106)</f>
        <v>1.03845313</v>
      </c>
      <c r="C1107" s="253">
        <f t="shared" si="426"/>
        <v>1.052589479</v>
      </c>
      <c r="D1107" s="253">
        <f t="shared" si="426"/>
        <v>0.8454441598</v>
      </c>
      <c r="E1107" s="253">
        <f t="shared" si="426"/>
        <v>1.119773449</v>
      </c>
      <c r="F1107" s="253">
        <f t="shared" si="426"/>
        <v>1.065207532</v>
      </c>
      <c r="G1107" s="253">
        <f t="shared" si="426"/>
        <v>1.089687723</v>
      </c>
      <c r="H1107" s="253">
        <f t="shared" si="426"/>
        <v>1.052662037</v>
      </c>
      <c r="I1107" s="256">
        <f t="shared" si="426"/>
        <v>1.007168755</v>
      </c>
    </row>
    <row r="1108" hidden="1" outlineLevel="2">
      <c r="A1108" s="32" t="s">
        <v>121</v>
      </c>
      <c r="B1108" s="459"/>
      <c r="C1108" s="2"/>
      <c r="D1108" s="2"/>
      <c r="E1108" s="2"/>
      <c r="F1108" s="2"/>
      <c r="G1108" s="2"/>
      <c r="H1108" s="2"/>
      <c r="I1108" s="3"/>
    </row>
    <row r="1109" hidden="1" outlineLevel="2">
      <c r="A1109" s="64" t="s">
        <v>122</v>
      </c>
      <c r="B1109" s="354">
        <v>9.0</v>
      </c>
      <c r="C1109" s="355">
        <v>8.18</v>
      </c>
      <c r="D1109" s="355">
        <v>8.35</v>
      </c>
      <c r="E1109" s="355">
        <v>9.42</v>
      </c>
      <c r="F1109" s="355">
        <v>8.66</v>
      </c>
      <c r="G1109" s="355">
        <v>8.63</v>
      </c>
      <c r="H1109" s="355">
        <v>8.22</v>
      </c>
      <c r="I1109" s="355">
        <v>7.58</v>
      </c>
    </row>
    <row r="1110" hidden="1" outlineLevel="2">
      <c r="A1110" s="69" t="s">
        <v>128</v>
      </c>
      <c r="B1110" s="119">
        <v>10.0</v>
      </c>
      <c r="C1110" s="120">
        <v>10.0</v>
      </c>
      <c r="D1110" s="120">
        <v>10.0</v>
      </c>
      <c r="E1110" s="120">
        <v>10.0</v>
      </c>
      <c r="F1110" s="120">
        <v>10.0</v>
      </c>
      <c r="G1110" s="120">
        <v>10.0</v>
      </c>
      <c r="H1110" s="120">
        <v>10.0</v>
      </c>
      <c r="I1110" s="121">
        <v>10.0</v>
      </c>
    </row>
    <row r="1111" hidden="1" outlineLevel="2">
      <c r="A1111" s="54" t="s">
        <v>130</v>
      </c>
      <c r="B1111" s="252">
        <f t="shared" ref="B1111:I1111" si="427">IF(B1109=0,0,B1109/B1110)</f>
        <v>0.9</v>
      </c>
      <c r="C1111" s="253">
        <f t="shared" si="427"/>
        <v>0.818</v>
      </c>
      <c r="D1111" s="253">
        <f t="shared" si="427"/>
        <v>0.835</v>
      </c>
      <c r="E1111" s="253">
        <f t="shared" si="427"/>
        <v>0.942</v>
      </c>
      <c r="F1111" s="253">
        <f t="shared" si="427"/>
        <v>0.866</v>
      </c>
      <c r="G1111" s="253">
        <f t="shared" si="427"/>
        <v>0.863</v>
      </c>
      <c r="H1111" s="253">
        <f t="shared" si="427"/>
        <v>0.822</v>
      </c>
      <c r="I1111" s="256">
        <f t="shared" si="427"/>
        <v>0.758</v>
      </c>
    </row>
    <row r="1112" hidden="1" outlineLevel="2">
      <c r="A1112" s="32" t="s">
        <v>131</v>
      </c>
      <c r="B1112" s="448"/>
      <c r="C1112" s="2"/>
      <c r="D1112" s="2"/>
      <c r="E1112" s="2"/>
      <c r="F1112" s="2"/>
      <c r="G1112" s="2"/>
      <c r="H1112" s="2"/>
      <c r="I1112" s="36"/>
    </row>
    <row r="1113" hidden="1" outlineLevel="2">
      <c r="A1113" s="64" t="s">
        <v>132</v>
      </c>
      <c r="B1113" s="460"/>
      <c r="C1113" s="461"/>
      <c r="D1113" s="461"/>
      <c r="E1113" s="461"/>
      <c r="F1113" s="461"/>
      <c r="G1113" s="461"/>
      <c r="H1113" s="461"/>
      <c r="I1113" s="462"/>
    </row>
    <row r="1114" hidden="1" outlineLevel="2">
      <c r="A1114" s="127" t="s">
        <v>134</v>
      </c>
      <c r="B1114" s="448"/>
      <c r="C1114" s="2"/>
      <c r="D1114" s="2"/>
      <c r="E1114" s="2"/>
      <c r="F1114" s="2"/>
      <c r="G1114" s="2"/>
      <c r="H1114" s="2"/>
      <c r="I1114" s="36"/>
    </row>
    <row r="1115" hidden="1" outlineLevel="2">
      <c r="A1115" s="69" t="s">
        <v>136</v>
      </c>
      <c r="B1115" s="129">
        <f t="shared" ref="B1115:I1115" si="428">B1094*25</f>
        <v>28.45625</v>
      </c>
      <c r="C1115" s="130">
        <f t="shared" si="428"/>
        <v>29.05</v>
      </c>
      <c r="D1115" s="130">
        <f t="shared" si="428"/>
        <v>27.775</v>
      </c>
      <c r="E1115" s="130">
        <f t="shared" si="428"/>
        <v>32.92763158</v>
      </c>
      <c r="F1115" s="130">
        <f t="shared" si="428"/>
        <v>28.73214286</v>
      </c>
      <c r="G1115" s="130">
        <f t="shared" si="428"/>
        <v>30.73125</v>
      </c>
      <c r="H1115" s="130">
        <f t="shared" si="428"/>
        <v>23.5546875</v>
      </c>
      <c r="I1115" s="132">
        <f t="shared" si="428"/>
        <v>30.1125</v>
      </c>
    </row>
    <row r="1116" hidden="1" outlineLevel="2">
      <c r="A1116" s="69" t="s">
        <v>144</v>
      </c>
      <c r="B1116" s="129">
        <f t="shared" ref="B1116:I1116" si="429">B1098*35</f>
        <v>27.125</v>
      </c>
      <c r="C1116" s="130">
        <f t="shared" si="429"/>
        <v>35</v>
      </c>
      <c r="D1116" s="130">
        <f t="shared" si="429"/>
        <v>31.0625</v>
      </c>
      <c r="E1116" s="130">
        <f t="shared" si="429"/>
        <v>35</v>
      </c>
      <c r="F1116" s="130">
        <f t="shared" si="429"/>
        <v>35</v>
      </c>
      <c r="G1116" s="130">
        <f t="shared" si="429"/>
        <v>27.125</v>
      </c>
      <c r="H1116" s="130">
        <f t="shared" si="429"/>
        <v>35</v>
      </c>
      <c r="I1116" s="132">
        <f t="shared" si="429"/>
        <v>35</v>
      </c>
    </row>
    <row r="1117" hidden="1" outlineLevel="2">
      <c r="A1117" s="69" t="s">
        <v>146</v>
      </c>
      <c r="B1117" s="129">
        <f t="shared" ref="B1117:I1117" si="430">IF(AND(B1098&lt;85%, B1107&gt;100%), 25, B1107*25)</f>
        <v>25</v>
      </c>
      <c r="C1117" s="130">
        <f t="shared" si="430"/>
        <v>26.31473697</v>
      </c>
      <c r="D1117" s="130">
        <f t="shared" si="430"/>
        <v>21.136104</v>
      </c>
      <c r="E1117" s="130">
        <f t="shared" si="430"/>
        <v>27.99433621</v>
      </c>
      <c r="F1117" s="130">
        <f t="shared" si="430"/>
        <v>26.6301883</v>
      </c>
      <c r="G1117" s="130">
        <f t="shared" si="430"/>
        <v>25</v>
      </c>
      <c r="H1117" s="130">
        <f t="shared" si="430"/>
        <v>26.31655093</v>
      </c>
      <c r="I1117" s="132">
        <f t="shared" si="430"/>
        <v>25.17921888</v>
      </c>
    </row>
    <row r="1118" hidden="1" outlineLevel="2">
      <c r="A1118" s="69" t="s">
        <v>148</v>
      </c>
      <c r="B1118" s="129">
        <f t="shared" ref="B1118:I1118" si="431">B1111*15</f>
        <v>13.5</v>
      </c>
      <c r="C1118" s="130">
        <f t="shared" si="431"/>
        <v>12.27</v>
      </c>
      <c r="D1118" s="130">
        <f t="shared" si="431"/>
        <v>12.525</v>
      </c>
      <c r="E1118" s="130">
        <f t="shared" si="431"/>
        <v>14.13</v>
      </c>
      <c r="F1118" s="130">
        <f t="shared" si="431"/>
        <v>12.99</v>
      </c>
      <c r="G1118" s="130">
        <f t="shared" si="431"/>
        <v>12.945</v>
      </c>
      <c r="H1118" s="130">
        <f t="shared" si="431"/>
        <v>12.33</v>
      </c>
      <c r="I1118" s="132">
        <f t="shared" si="431"/>
        <v>11.37</v>
      </c>
    </row>
    <row r="1119" hidden="1" outlineLevel="2">
      <c r="A1119" s="69" t="s">
        <v>149</v>
      </c>
      <c r="B1119" s="129">
        <f t="shared" ref="B1119:I1119" si="432">B1113*-10</f>
        <v>0</v>
      </c>
      <c r="C1119" s="130">
        <f t="shared" si="432"/>
        <v>0</v>
      </c>
      <c r="D1119" s="130">
        <f t="shared" si="432"/>
        <v>0</v>
      </c>
      <c r="E1119" s="130">
        <f t="shared" si="432"/>
        <v>0</v>
      </c>
      <c r="F1119" s="130">
        <f t="shared" si="432"/>
        <v>0</v>
      </c>
      <c r="G1119" s="130">
        <f t="shared" si="432"/>
        <v>0</v>
      </c>
      <c r="H1119" s="130">
        <f t="shared" si="432"/>
        <v>0</v>
      </c>
      <c r="I1119" s="132">
        <f t="shared" si="432"/>
        <v>0</v>
      </c>
    </row>
    <row r="1120" hidden="1" outlineLevel="2">
      <c r="A1120" s="142" t="s">
        <v>150</v>
      </c>
      <c r="B1120" s="129">
        <f t="shared" ref="B1120:I1120" si="433">B1115+B1116+B1117+B1118+B1119</f>
        <v>94.08125</v>
      </c>
      <c r="C1120" s="130">
        <f t="shared" si="433"/>
        <v>102.634737</v>
      </c>
      <c r="D1120" s="130">
        <f t="shared" si="433"/>
        <v>92.498604</v>
      </c>
      <c r="E1120" s="130">
        <f t="shared" si="433"/>
        <v>110.0519678</v>
      </c>
      <c r="F1120" s="130">
        <f t="shared" si="433"/>
        <v>103.3523312</v>
      </c>
      <c r="G1120" s="130">
        <f t="shared" si="433"/>
        <v>95.80125</v>
      </c>
      <c r="H1120" s="130">
        <f t="shared" si="433"/>
        <v>97.20123843</v>
      </c>
      <c r="I1120" s="132">
        <f t="shared" si="433"/>
        <v>101.6617189</v>
      </c>
    </row>
    <row r="1121" hidden="1" outlineLevel="2">
      <c r="A1121" s="54" t="s">
        <v>152</v>
      </c>
      <c r="B1121" s="58">
        <f t="shared" ref="B1121:I1121" si="434">B1120/100</f>
        <v>0.9408125</v>
      </c>
      <c r="C1121" s="61">
        <f t="shared" si="434"/>
        <v>1.02634737</v>
      </c>
      <c r="D1121" s="61">
        <f t="shared" si="434"/>
        <v>0.92498604</v>
      </c>
      <c r="E1121" s="61">
        <f t="shared" si="434"/>
        <v>1.100519678</v>
      </c>
      <c r="F1121" s="61">
        <f t="shared" si="434"/>
        <v>1.033523312</v>
      </c>
      <c r="G1121" s="61">
        <f t="shared" si="434"/>
        <v>0.9580125</v>
      </c>
      <c r="H1121" s="61">
        <f t="shared" si="434"/>
        <v>0.9720123843</v>
      </c>
      <c r="I1121" s="62">
        <f t="shared" si="434"/>
        <v>1.016617189</v>
      </c>
    </row>
    <row r="1122" hidden="1" outlineLevel="2">
      <c r="A1122" s="127" t="s">
        <v>154</v>
      </c>
      <c r="B1122" s="349" t="s">
        <v>155</v>
      </c>
      <c r="C1122" s="350" t="s">
        <v>155</v>
      </c>
      <c r="D1122" s="350" t="s">
        <v>155</v>
      </c>
      <c r="E1122" s="350" t="s">
        <v>156</v>
      </c>
      <c r="F1122" s="350" t="s">
        <v>155</v>
      </c>
      <c r="G1122" s="350" t="s">
        <v>155</v>
      </c>
      <c r="H1122" s="350" t="s">
        <v>155</v>
      </c>
      <c r="I1122" s="350" t="s">
        <v>155</v>
      </c>
    </row>
    <row r="1123" hidden="1" outlineLevel="2">
      <c r="A1123" s="127" t="s">
        <v>158</v>
      </c>
      <c r="B1123" s="464"/>
      <c r="C1123" s="465"/>
      <c r="D1123" s="465"/>
      <c r="E1123" s="465"/>
      <c r="F1123" s="465"/>
      <c r="G1123" s="465"/>
      <c r="H1123" s="465"/>
      <c r="I1123" s="466"/>
    </row>
    <row r="1124" hidden="1" outlineLevel="1">
      <c r="A1124" s="442"/>
      <c r="B1124" s="467" t="s">
        <v>305</v>
      </c>
      <c r="C1124" s="14"/>
      <c r="D1124" s="14"/>
      <c r="E1124" s="14"/>
      <c r="F1124" s="14"/>
      <c r="G1124" s="14"/>
      <c r="H1124" s="14"/>
      <c r="I1124" s="15"/>
    </row>
    <row r="1125" hidden="1" outlineLevel="1">
      <c r="A1125" s="444"/>
      <c r="B1125" s="445" t="s">
        <v>29</v>
      </c>
      <c r="C1125" s="446" t="s">
        <v>4</v>
      </c>
      <c r="D1125" s="446" t="s">
        <v>19</v>
      </c>
      <c r="E1125" s="446" t="s">
        <v>30</v>
      </c>
      <c r="F1125" s="446" t="s">
        <v>31</v>
      </c>
      <c r="G1125" s="446" t="s">
        <v>32</v>
      </c>
      <c r="H1125" s="447" t="s">
        <v>13</v>
      </c>
      <c r="I1125" s="447" t="s">
        <v>350</v>
      </c>
    </row>
    <row r="1126" hidden="1" outlineLevel="1">
      <c r="A1126" s="25" t="s">
        <v>36</v>
      </c>
      <c r="B1126" s="243" t="s">
        <v>305</v>
      </c>
      <c r="C1126" s="244"/>
      <c r="D1126" s="244"/>
      <c r="E1126" s="244"/>
      <c r="F1126" s="244"/>
      <c r="G1126" s="244"/>
      <c r="H1126" s="244"/>
      <c r="I1126" s="245"/>
    </row>
    <row r="1127" hidden="1" outlineLevel="1">
      <c r="A1127" s="32" t="s">
        <v>45</v>
      </c>
      <c r="B1127" s="448"/>
      <c r="C1127" s="2"/>
      <c r="D1127" s="2"/>
      <c r="E1127" s="2"/>
      <c r="F1127" s="2"/>
      <c r="G1127" s="2"/>
      <c r="H1127" s="2"/>
      <c r="I1127" s="36"/>
    </row>
    <row r="1128" hidden="1" outlineLevel="1">
      <c r="A1128" s="64" t="s">
        <v>49</v>
      </c>
      <c r="B1128" s="354">
        <v>35.59</v>
      </c>
      <c r="C1128" s="355">
        <v>46.46</v>
      </c>
      <c r="D1128" s="355">
        <v>48.13</v>
      </c>
      <c r="E1128" s="355">
        <v>50.06</v>
      </c>
      <c r="F1128" s="355">
        <v>50.12</v>
      </c>
      <c r="G1128" s="355">
        <v>49.14</v>
      </c>
      <c r="H1128" s="355">
        <v>50.1</v>
      </c>
      <c r="I1128" s="449">
        <v>38.07</v>
      </c>
    </row>
    <row r="1129" hidden="1" outlineLevel="1">
      <c r="A1129" s="69" t="s">
        <v>53</v>
      </c>
      <c r="B1129" s="250">
        <v>36.0</v>
      </c>
      <c r="C1129" s="250">
        <v>40.0</v>
      </c>
      <c r="D1129" s="51">
        <v>40.0</v>
      </c>
      <c r="E1129" s="250">
        <v>40.0</v>
      </c>
      <c r="F1129" s="250">
        <v>40.0</v>
      </c>
      <c r="G1129" s="51">
        <v>40.0</v>
      </c>
      <c r="H1129" s="250">
        <v>32.0</v>
      </c>
      <c r="I1129" s="469">
        <v>32.0</v>
      </c>
    </row>
    <row r="1130" hidden="1" outlineLevel="1">
      <c r="A1130" s="54" t="s">
        <v>57</v>
      </c>
      <c r="B1130" s="252">
        <f t="shared" ref="B1130:I1130" si="435">B1128/B1129</f>
        <v>0.9886111111</v>
      </c>
      <c r="C1130" s="253">
        <f t="shared" si="435"/>
        <v>1.1615</v>
      </c>
      <c r="D1130" s="253">
        <f t="shared" si="435"/>
        <v>1.20325</v>
      </c>
      <c r="E1130" s="253">
        <f t="shared" si="435"/>
        <v>1.2515</v>
      </c>
      <c r="F1130" s="253">
        <f t="shared" si="435"/>
        <v>1.253</v>
      </c>
      <c r="G1130" s="253">
        <f t="shared" si="435"/>
        <v>1.2285</v>
      </c>
      <c r="H1130" s="253">
        <f t="shared" si="435"/>
        <v>1.565625</v>
      </c>
      <c r="I1130" s="256">
        <f t="shared" si="435"/>
        <v>1.1896875</v>
      </c>
    </row>
    <row r="1131" hidden="1" outlineLevel="1">
      <c r="A1131" s="32" t="s">
        <v>66</v>
      </c>
      <c r="B1131" s="448"/>
      <c r="C1131" s="2"/>
      <c r="D1131" s="2"/>
      <c r="E1131" s="2"/>
      <c r="F1131" s="2"/>
      <c r="G1131" s="2"/>
      <c r="H1131" s="2"/>
      <c r="I1131" s="36"/>
    </row>
    <row r="1132" hidden="1" outlineLevel="1">
      <c r="A1132" s="64" t="s">
        <v>67</v>
      </c>
      <c r="B1132" s="450">
        <v>40.0</v>
      </c>
      <c r="C1132" s="451">
        <v>22.0</v>
      </c>
      <c r="D1132" s="451">
        <v>40.0</v>
      </c>
      <c r="E1132" s="451">
        <v>40.0</v>
      </c>
      <c r="F1132" s="451">
        <v>28.0</v>
      </c>
      <c r="G1132" s="451">
        <v>40.0</v>
      </c>
      <c r="H1132" s="451">
        <v>40.0</v>
      </c>
      <c r="I1132" s="452">
        <v>40.0</v>
      </c>
    </row>
    <row r="1133" hidden="1" outlineLevel="1">
      <c r="A1133" s="69" t="s">
        <v>72</v>
      </c>
      <c r="B1133" s="186">
        <v>40.0</v>
      </c>
      <c r="C1133" s="187">
        <v>40.0</v>
      </c>
      <c r="D1133" s="187">
        <v>40.0</v>
      </c>
      <c r="E1133" s="187">
        <v>40.0</v>
      </c>
      <c r="F1133" s="187">
        <v>40.0</v>
      </c>
      <c r="G1133" s="187">
        <v>40.0</v>
      </c>
      <c r="H1133" s="187">
        <v>40.0</v>
      </c>
      <c r="I1133" s="188">
        <v>40.0</v>
      </c>
    </row>
    <row r="1134" hidden="1" outlineLevel="1">
      <c r="A1134" s="54" t="s">
        <v>74</v>
      </c>
      <c r="B1134" s="252">
        <f t="shared" ref="B1134:I1134" si="436">B1132/B1133</f>
        <v>1</v>
      </c>
      <c r="C1134" s="253">
        <f t="shared" si="436"/>
        <v>0.55</v>
      </c>
      <c r="D1134" s="253">
        <f t="shared" si="436"/>
        <v>1</v>
      </c>
      <c r="E1134" s="253">
        <f t="shared" si="436"/>
        <v>1</v>
      </c>
      <c r="F1134" s="253">
        <f t="shared" si="436"/>
        <v>0.7</v>
      </c>
      <c r="G1134" s="253">
        <f t="shared" si="436"/>
        <v>1</v>
      </c>
      <c r="H1134" s="253">
        <f t="shared" si="436"/>
        <v>1</v>
      </c>
      <c r="I1134" s="256">
        <f t="shared" si="436"/>
        <v>1</v>
      </c>
    </row>
    <row r="1135" hidden="1" outlineLevel="1">
      <c r="A1135" s="32" t="s">
        <v>75</v>
      </c>
      <c r="B1135" s="448"/>
      <c r="C1135" s="2"/>
      <c r="D1135" s="2"/>
      <c r="E1135" s="2"/>
      <c r="F1135" s="2"/>
      <c r="G1135" s="2"/>
      <c r="H1135" s="2"/>
      <c r="I1135" s="36"/>
    </row>
    <row r="1136" hidden="1" outlineLevel="1">
      <c r="A1136" s="64" t="s">
        <v>76</v>
      </c>
      <c r="B1136" s="185" t="s">
        <v>79</v>
      </c>
      <c r="C1136" s="78" t="s">
        <v>80</v>
      </c>
      <c r="D1136" s="78" t="s">
        <v>80</v>
      </c>
      <c r="E1136" s="78" t="s">
        <v>79</v>
      </c>
      <c r="F1136" s="78" t="s">
        <v>79</v>
      </c>
      <c r="G1136" s="78" t="s">
        <v>80</v>
      </c>
      <c r="H1136" s="78" t="s">
        <v>80</v>
      </c>
      <c r="I1136" s="79" t="s">
        <v>79</v>
      </c>
    </row>
    <row r="1137" hidden="1" outlineLevel="1">
      <c r="A1137" s="64" t="s">
        <v>81</v>
      </c>
      <c r="B1137" s="185" t="s">
        <v>83</v>
      </c>
      <c r="C1137" s="78" t="s">
        <v>85</v>
      </c>
      <c r="D1137" s="78" t="s">
        <v>83</v>
      </c>
      <c r="E1137" s="78" t="s">
        <v>85</v>
      </c>
      <c r="F1137" s="78" t="s">
        <v>83</v>
      </c>
      <c r="G1137" s="78" t="s">
        <v>85</v>
      </c>
      <c r="H1137" s="78" t="s">
        <v>85</v>
      </c>
      <c r="I1137" s="79" t="s">
        <v>85</v>
      </c>
    </row>
    <row r="1138" hidden="1" outlineLevel="1">
      <c r="A1138" s="64" t="s">
        <v>86</v>
      </c>
      <c r="B1138" s="194">
        <f>IF(B1128&lt;B1129,B1129,B1128) *
IF(B1136="AM",
    IF(B1137="Oricle",3.5,
    IF(B1137="Other Brands",4,
    IF(B1137="Oricle Prio",0.6,""))),
 IF(B1136="MID",
    IF(B1137="Oricle",2.5,
    IF(B1137="Other Brands",3,
    IF(B1137="Oricle Prio",0.6,""))),
 IF(B1136="GY",
    IF(B1137="Oricle",1,
    IF(B1137="Other Brands",1,
    IF(B1137="Oricle Prio",0.3,""))),"")))-10</f>
        <v>98</v>
      </c>
      <c r="C1138" s="204">
        <f>IF(C1128&lt;C1129,C1129,C1128) *
IF(C1136="AM",
    IF(C1137="Oricle",3,
    IF(C1137="Other Brands",4,
    IF(C1137="Oricle Prio",0.6,""))),
 IF(C1136="MID",
    IF(C1137="Oricle",2.5,
    IF(C1137="Other Brands",3,
    IF(C1137="Oricle Prio",0.6,""))),
 IF(C1136="GY",
    IF(C1137="Oricle",1,
    IF(C1137="Other Brands",1,
    IF(C1137="Oricle Prio",0.3,""))),"")))</f>
        <v>139.38</v>
      </c>
      <c r="D1138" s="204">
        <f>IF(D1128&lt;D1129,D1129,D1128) *
IF(D1136="AM",
    IF(D1137="Oricle",3.5,
    IF(D1137="Other Brands",4,
    IF(D1137="Oricle Prio",0.6,""))),
 IF(D1136="MID",
    IF(D1137="Oricle",2.5,
    IF(D1137="Other Brands",3,
    IF(D1137="Oricle Prio",0.6,""))),
 IF(D1136="GY",
    IF(D1137="Oricle",1,
    IF(D1137="Other Brands",1,
    IF(D1137="Oricle Prio",0.3,""))),"")))</f>
        <v>192.52</v>
      </c>
      <c r="E1138" s="204">
        <f>IF(E1128&lt;E1129,E1129,E1128) *
IF(E1136="AM",
    IF(E1137="Oricle",3.5,
    IF(E1137="Other Brands",4,
    IF(E1137="Oricle Prio",0.6,""))),
 IF(E1136="MID",
    IF(E1137="Oricle",2.5,
    IF(E1137="Other Brands",3,
    IF(E1137="Oricle Prio",0.6,""))),
 IF(E1136="GY",
    IF(E1137="Oricle",1,
    IF(E1137="Other Brands",1,
    IF(E1137="Oricle Prio",0.3,""))),"")))-15</f>
        <v>110.15</v>
      </c>
      <c r="F1138" s="204">
        <f>IF(F1128&lt;F1129,F1129,F1128) *
IF(F1136="AM",
    IF(F1137="Oricle",3.5,
    IF(F1137="Other Brands",4,
    IF(F1137="Oricle Prio",0.6,""))),
 IF(F1136="MID",
    IF(F1137="Oricle",2.5,
    IF(F1137="Other Brands",3,
    IF(F1137="Oricle Prio",0.6,""))),
 IF(F1136="GY",
    IF(F1137="Oricle",1,
    IF(F1137="Other Brands",1,
    IF(F1137="Oricle Prio",0.3,""))),"")))</f>
        <v>150.36</v>
      </c>
      <c r="G1138" s="204">
        <f t="shared" ref="G1138:H1138" si="437">IF(G1128&lt;G1129,G1129,G1128) *
IF(G1136="AM",
    IF(G1137="Oricle",3,
    IF(G1137="Other Brands",4,
    IF(G1137="Oricle Prio",0.6,""))),
 IF(G1136="MID",
    IF(G1137="Oricle",2.5,
    IF(G1137="Other Brands",3,
    IF(G1137="Oricle Prio",0.6,""))),
 IF(G1136="GY",
    IF(G1137="Oricle",1,
    IF(G1137="Other Brands",1,
    IF(G1137="Oricle Prio",0.3,""))),"")))</f>
        <v>147.42</v>
      </c>
      <c r="H1138" s="204">
        <f t="shared" si="437"/>
        <v>150.3</v>
      </c>
      <c r="I1138" s="204">
        <f>IF(I1128&lt;I1129,I1129,I1128) *
IF(I1136="AM",
    IF(I1137="Oricle",3.5,
    IF(I1137="Other Brands",4,
    IF(I1137="Oricle Prio",0.6,""))),
 IF(I1136="MID",
    IF(I1137="Oricle",2.5,
    IF(I1137="Other Brands",3,
    IF(I1137="Oricle Prio",0.6,""))),
 IF(I1136="GY",
    IF(I1137="Oricle",1,
    IF(I1137="Other Brands",1,
    IF(I1137="Oricle Prio",0.3,""))),"")))</f>
        <v>95.175</v>
      </c>
    </row>
    <row r="1139" hidden="1" outlineLevel="1">
      <c r="A1139" s="64" t="s">
        <v>98</v>
      </c>
      <c r="B1139" s="457" t="s">
        <v>1083</v>
      </c>
      <c r="C1139" s="458" t="s">
        <v>302</v>
      </c>
      <c r="D1139" s="458" t="s">
        <v>207</v>
      </c>
      <c r="E1139" s="458" t="s">
        <v>1170</v>
      </c>
      <c r="F1139" s="458" t="s">
        <v>869</v>
      </c>
      <c r="G1139" s="458" t="s">
        <v>1449</v>
      </c>
      <c r="H1139" s="458" t="s">
        <v>1207</v>
      </c>
      <c r="I1139" s="458" t="s">
        <v>522</v>
      </c>
    </row>
    <row r="1140" hidden="1" outlineLevel="1">
      <c r="A1140" s="64" t="s">
        <v>107</v>
      </c>
      <c r="B1140" s="457" t="s">
        <v>108</v>
      </c>
      <c r="C1140" s="458" t="s">
        <v>483</v>
      </c>
      <c r="D1140" s="458" t="s">
        <v>370</v>
      </c>
      <c r="E1140" s="458" t="s">
        <v>333</v>
      </c>
      <c r="F1140" s="458" t="s">
        <v>333</v>
      </c>
      <c r="G1140" s="458" t="s">
        <v>112</v>
      </c>
      <c r="H1140" s="458" t="s">
        <v>1291</v>
      </c>
      <c r="I1140" s="458" t="s">
        <v>913</v>
      </c>
    </row>
    <row r="1141" hidden="1" outlineLevel="1">
      <c r="A1141" s="69" t="s">
        <v>115</v>
      </c>
      <c r="B1141" s="108">
        <f t="shared" ref="B1141:I1141" si="438">IF(B1139&gt;0,B1140/B1139,0)</f>
        <v>0.9929577465</v>
      </c>
      <c r="C1141" s="110">
        <f t="shared" si="438"/>
        <v>0.9696969697</v>
      </c>
      <c r="D1141" s="110">
        <f t="shared" si="438"/>
        <v>0.9655172414</v>
      </c>
      <c r="E1141" s="110">
        <f t="shared" si="438"/>
        <v>0.9430379747</v>
      </c>
      <c r="F1141" s="110">
        <f t="shared" si="438"/>
        <v>0.949044586</v>
      </c>
      <c r="G1141" s="110">
        <f t="shared" si="438"/>
        <v>0.9432989691</v>
      </c>
      <c r="H1141" s="110">
        <f t="shared" si="438"/>
        <v>0.9743589744</v>
      </c>
      <c r="I1141" s="111">
        <f t="shared" si="438"/>
        <v>0.9882352941</v>
      </c>
    </row>
    <row r="1142" hidden="1" outlineLevel="1">
      <c r="A1142" s="69" t="s">
        <v>119</v>
      </c>
      <c r="B1142" s="108">
        <f t="shared" ref="B1142:I1142" si="439">IF(B1138&gt;0,B1140/B1138,0)</f>
        <v>1.43877551</v>
      </c>
      <c r="C1142" s="110">
        <f t="shared" si="439"/>
        <v>1.147940881</v>
      </c>
      <c r="D1142" s="110">
        <f t="shared" si="439"/>
        <v>0.8726366092</v>
      </c>
      <c r="E1142" s="110">
        <f t="shared" si="439"/>
        <v>1.352700862</v>
      </c>
      <c r="F1142" s="110">
        <f t="shared" si="439"/>
        <v>0.9909550412</v>
      </c>
      <c r="G1142" s="110">
        <f t="shared" si="439"/>
        <v>1.241351241</v>
      </c>
      <c r="H1142" s="110">
        <f t="shared" si="439"/>
        <v>1.26413839</v>
      </c>
      <c r="I1142" s="111">
        <f t="shared" si="439"/>
        <v>0.8825847124</v>
      </c>
    </row>
    <row r="1143" hidden="1" outlineLevel="1">
      <c r="A1143" s="116" t="s">
        <v>82</v>
      </c>
      <c r="B1143" s="252">
        <f t="shared" ref="B1143:I1143" si="440">average(B1141:B1142)</f>
        <v>1.215866628</v>
      </c>
      <c r="C1143" s="253">
        <f t="shared" si="440"/>
        <v>1.058818925</v>
      </c>
      <c r="D1143" s="253">
        <f t="shared" si="440"/>
        <v>0.9190769253</v>
      </c>
      <c r="E1143" s="253">
        <f t="shared" si="440"/>
        <v>1.147869419</v>
      </c>
      <c r="F1143" s="253">
        <f t="shared" si="440"/>
        <v>0.9699998136</v>
      </c>
      <c r="G1143" s="253">
        <f t="shared" si="440"/>
        <v>1.092325105</v>
      </c>
      <c r="H1143" s="253">
        <f t="shared" si="440"/>
        <v>1.119248682</v>
      </c>
      <c r="I1143" s="256">
        <f t="shared" si="440"/>
        <v>0.9354100032</v>
      </c>
    </row>
    <row r="1144" hidden="1" outlineLevel="1">
      <c r="A1144" s="32" t="s">
        <v>121</v>
      </c>
      <c r="B1144" s="459"/>
      <c r="C1144" s="2"/>
      <c r="D1144" s="2"/>
      <c r="E1144" s="2"/>
      <c r="F1144" s="2"/>
      <c r="G1144" s="2"/>
      <c r="H1144" s="2"/>
      <c r="I1144" s="3"/>
    </row>
    <row r="1145" hidden="1" outlineLevel="1">
      <c r="A1145" s="64" t="s">
        <v>122</v>
      </c>
      <c r="B1145" s="354">
        <v>10.0</v>
      </c>
      <c r="C1145" s="355">
        <v>8.54</v>
      </c>
      <c r="D1145" s="355">
        <v>9.44</v>
      </c>
      <c r="E1145" s="355">
        <v>9.13</v>
      </c>
      <c r="F1145" s="355">
        <v>9.33</v>
      </c>
      <c r="G1145" s="355">
        <v>8.46</v>
      </c>
      <c r="H1145" s="355">
        <v>9.3</v>
      </c>
      <c r="I1145" s="355">
        <v>8.42</v>
      </c>
    </row>
    <row r="1146" hidden="1" outlineLevel="1">
      <c r="A1146" s="69" t="s">
        <v>128</v>
      </c>
      <c r="B1146" s="119">
        <v>10.0</v>
      </c>
      <c r="C1146" s="120">
        <v>10.0</v>
      </c>
      <c r="D1146" s="120">
        <v>10.0</v>
      </c>
      <c r="E1146" s="120">
        <v>10.0</v>
      </c>
      <c r="F1146" s="120">
        <v>10.0</v>
      </c>
      <c r="G1146" s="120">
        <v>10.0</v>
      </c>
      <c r="H1146" s="120">
        <v>10.0</v>
      </c>
      <c r="I1146" s="121">
        <v>10.0</v>
      </c>
    </row>
    <row r="1147" hidden="1" outlineLevel="1">
      <c r="A1147" s="54" t="s">
        <v>130</v>
      </c>
      <c r="B1147" s="252">
        <f t="shared" ref="B1147:I1147" si="441">IF(B1145=0,0,B1145/B1146)</f>
        <v>1</v>
      </c>
      <c r="C1147" s="253">
        <f t="shared" si="441"/>
        <v>0.854</v>
      </c>
      <c r="D1147" s="253">
        <f t="shared" si="441"/>
        <v>0.944</v>
      </c>
      <c r="E1147" s="253">
        <f t="shared" si="441"/>
        <v>0.913</v>
      </c>
      <c r="F1147" s="253">
        <f t="shared" si="441"/>
        <v>0.933</v>
      </c>
      <c r="G1147" s="253">
        <f t="shared" si="441"/>
        <v>0.846</v>
      </c>
      <c r="H1147" s="253">
        <f t="shared" si="441"/>
        <v>0.93</v>
      </c>
      <c r="I1147" s="256">
        <f t="shared" si="441"/>
        <v>0.842</v>
      </c>
    </row>
    <row r="1148" hidden="1" outlineLevel="1">
      <c r="A1148" s="32" t="s">
        <v>131</v>
      </c>
      <c r="B1148" s="448"/>
      <c r="C1148" s="2"/>
      <c r="D1148" s="2"/>
      <c r="E1148" s="2"/>
      <c r="F1148" s="2"/>
      <c r="G1148" s="2"/>
      <c r="H1148" s="2"/>
      <c r="I1148" s="36"/>
    </row>
    <row r="1149" hidden="1" outlineLevel="1">
      <c r="A1149" s="64" t="s">
        <v>132</v>
      </c>
      <c r="B1149" s="460"/>
      <c r="C1149" s="461"/>
      <c r="D1149" s="461"/>
      <c r="E1149" s="461"/>
      <c r="F1149" s="461"/>
      <c r="G1149" s="461"/>
      <c r="H1149" s="461"/>
      <c r="I1149" s="462"/>
    </row>
    <row r="1150" hidden="1" outlineLevel="1">
      <c r="A1150" s="127" t="s">
        <v>134</v>
      </c>
      <c r="B1150" s="448"/>
      <c r="C1150" s="2"/>
      <c r="D1150" s="2"/>
      <c r="E1150" s="2"/>
      <c r="F1150" s="2"/>
      <c r="G1150" s="2"/>
      <c r="H1150" s="2"/>
      <c r="I1150" s="36"/>
    </row>
    <row r="1151" hidden="1" outlineLevel="1">
      <c r="A1151" s="69" t="s">
        <v>136</v>
      </c>
      <c r="B1151" s="129">
        <f t="shared" ref="B1151:I1151" si="442">B1130*25</f>
        <v>24.71527778</v>
      </c>
      <c r="C1151" s="130">
        <f t="shared" si="442"/>
        <v>29.0375</v>
      </c>
      <c r="D1151" s="130">
        <f t="shared" si="442"/>
        <v>30.08125</v>
      </c>
      <c r="E1151" s="130">
        <f t="shared" si="442"/>
        <v>31.2875</v>
      </c>
      <c r="F1151" s="130">
        <f t="shared" si="442"/>
        <v>31.325</v>
      </c>
      <c r="G1151" s="130">
        <f t="shared" si="442"/>
        <v>30.7125</v>
      </c>
      <c r="H1151" s="130">
        <f t="shared" si="442"/>
        <v>39.140625</v>
      </c>
      <c r="I1151" s="132">
        <f t="shared" si="442"/>
        <v>29.7421875</v>
      </c>
    </row>
    <row r="1152" hidden="1" outlineLevel="1">
      <c r="A1152" s="69" t="s">
        <v>144</v>
      </c>
      <c r="B1152" s="129">
        <f t="shared" ref="B1152:I1152" si="443">B1134*35</f>
        <v>35</v>
      </c>
      <c r="C1152" s="130">
        <f t="shared" si="443"/>
        <v>19.25</v>
      </c>
      <c r="D1152" s="130">
        <f t="shared" si="443"/>
        <v>35</v>
      </c>
      <c r="E1152" s="130">
        <f t="shared" si="443"/>
        <v>35</v>
      </c>
      <c r="F1152" s="130">
        <f t="shared" si="443"/>
        <v>24.5</v>
      </c>
      <c r="G1152" s="130">
        <f t="shared" si="443"/>
        <v>35</v>
      </c>
      <c r="H1152" s="130">
        <f t="shared" si="443"/>
        <v>35</v>
      </c>
      <c r="I1152" s="132">
        <f t="shared" si="443"/>
        <v>35</v>
      </c>
    </row>
    <row r="1153" hidden="1" outlineLevel="1">
      <c r="A1153" s="69" t="s">
        <v>146</v>
      </c>
      <c r="B1153" s="129">
        <f t="shared" ref="B1153:I1153" si="444">IF(AND(B1134&lt;85%, B1143&gt;100%), 25, B1143*25)</f>
        <v>30.39666571</v>
      </c>
      <c r="C1153" s="130">
        <f t="shared" si="444"/>
        <v>25</v>
      </c>
      <c r="D1153" s="130">
        <f t="shared" si="444"/>
        <v>22.97692313</v>
      </c>
      <c r="E1153" s="130">
        <f t="shared" si="444"/>
        <v>28.69673546</v>
      </c>
      <c r="F1153" s="130">
        <f t="shared" si="444"/>
        <v>24.24999534</v>
      </c>
      <c r="G1153" s="130">
        <f t="shared" si="444"/>
        <v>27.30812763</v>
      </c>
      <c r="H1153" s="130">
        <f t="shared" si="444"/>
        <v>27.98121705</v>
      </c>
      <c r="I1153" s="132">
        <f t="shared" si="444"/>
        <v>23.38525008</v>
      </c>
    </row>
    <row r="1154" hidden="1" outlineLevel="1">
      <c r="A1154" s="69" t="s">
        <v>148</v>
      </c>
      <c r="B1154" s="129">
        <f t="shared" ref="B1154:I1154" si="445">B1147*15</f>
        <v>15</v>
      </c>
      <c r="C1154" s="130">
        <f t="shared" si="445"/>
        <v>12.81</v>
      </c>
      <c r="D1154" s="130">
        <f t="shared" si="445"/>
        <v>14.16</v>
      </c>
      <c r="E1154" s="130">
        <f t="shared" si="445"/>
        <v>13.695</v>
      </c>
      <c r="F1154" s="130">
        <f t="shared" si="445"/>
        <v>13.995</v>
      </c>
      <c r="G1154" s="130">
        <f t="shared" si="445"/>
        <v>12.69</v>
      </c>
      <c r="H1154" s="130">
        <f t="shared" si="445"/>
        <v>13.95</v>
      </c>
      <c r="I1154" s="132">
        <f t="shared" si="445"/>
        <v>12.63</v>
      </c>
    </row>
    <row r="1155" hidden="1" outlineLevel="1">
      <c r="A1155" s="69" t="s">
        <v>149</v>
      </c>
      <c r="B1155" s="129">
        <f t="shared" ref="B1155:I1155" si="446">B1149*-10</f>
        <v>0</v>
      </c>
      <c r="C1155" s="130">
        <f t="shared" si="446"/>
        <v>0</v>
      </c>
      <c r="D1155" s="130">
        <f t="shared" si="446"/>
        <v>0</v>
      </c>
      <c r="E1155" s="130">
        <f t="shared" si="446"/>
        <v>0</v>
      </c>
      <c r="F1155" s="130">
        <f t="shared" si="446"/>
        <v>0</v>
      </c>
      <c r="G1155" s="130">
        <f t="shared" si="446"/>
        <v>0</v>
      </c>
      <c r="H1155" s="130">
        <f t="shared" si="446"/>
        <v>0</v>
      </c>
      <c r="I1155" s="132">
        <f t="shared" si="446"/>
        <v>0</v>
      </c>
    </row>
    <row r="1156" hidden="1" outlineLevel="1">
      <c r="A1156" s="142" t="s">
        <v>150</v>
      </c>
      <c r="B1156" s="129">
        <f t="shared" ref="B1156:I1156" si="447">B1151+B1152+B1153+B1154+B1155</f>
        <v>105.1119435</v>
      </c>
      <c r="C1156" s="130">
        <f t="shared" si="447"/>
        <v>86.0975</v>
      </c>
      <c r="D1156" s="130">
        <f t="shared" si="447"/>
        <v>102.2181731</v>
      </c>
      <c r="E1156" s="130">
        <f t="shared" si="447"/>
        <v>108.6792355</v>
      </c>
      <c r="F1156" s="130">
        <f t="shared" si="447"/>
        <v>94.06999534</v>
      </c>
      <c r="G1156" s="130">
        <f t="shared" si="447"/>
        <v>105.7106276</v>
      </c>
      <c r="H1156" s="130">
        <f t="shared" si="447"/>
        <v>116.0718421</v>
      </c>
      <c r="I1156" s="132">
        <f t="shared" si="447"/>
        <v>100.7574376</v>
      </c>
    </row>
    <row r="1157" hidden="1" outlineLevel="1">
      <c r="A1157" s="54" t="s">
        <v>152</v>
      </c>
      <c r="B1157" s="58">
        <f t="shared" ref="B1157:I1157" si="448">B1156/100</f>
        <v>1.051119435</v>
      </c>
      <c r="C1157" s="61">
        <f t="shared" si="448"/>
        <v>0.860975</v>
      </c>
      <c r="D1157" s="61">
        <f t="shared" si="448"/>
        <v>1.022181731</v>
      </c>
      <c r="E1157" s="61">
        <f t="shared" si="448"/>
        <v>1.086792355</v>
      </c>
      <c r="F1157" s="61">
        <f t="shared" si="448"/>
        <v>0.9406999534</v>
      </c>
      <c r="G1157" s="61">
        <f t="shared" si="448"/>
        <v>1.057106276</v>
      </c>
      <c r="H1157" s="61">
        <f t="shared" si="448"/>
        <v>1.160718421</v>
      </c>
      <c r="I1157" s="62">
        <f t="shared" si="448"/>
        <v>1.007574376</v>
      </c>
    </row>
    <row r="1158" hidden="1" outlineLevel="1">
      <c r="A1158" s="127" t="s">
        <v>154</v>
      </c>
      <c r="B1158" s="349" t="s">
        <v>155</v>
      </c>
      <c r="C1158" s="350" t="s">
        <v>155</v>
      </c>
      <c r="D1158" s="350" t="s">
        <v>155</v>
      </c>
      <c r="E1158" s="350" t="s">
        <v>155</v>
      </c>
      <c r="F1158" s="350" t="s">
        <v>155</v>
      </c>
      <c r="G1158" s="350" t="s">
        <v>155</v>
      </c>
      <c r="H1158" s="350" t="s">
        <v>156</v>
      </c>
      <c r="I1158" s="350" t="s">
        <v>155</v>
      </c>
    </row>
    <row r="1159" hidden="1" outlineLevel="1">
      <c r="A1159" s="127" t="s">
        <v>158</v>
      </c>
      <c r="B1159" s="464"/>
      <c r="C1159" s="465"/>
      <c r="D1159" s="465"/>
      <c r="E1159" s="465"/>
      <c r="F1159" s="465"/>
      <c r="G1159" s="465"/>
      <c r="H1159" s="465"/>
      <c r="I1159" s="466"/>
    </row>
    <row r="1160" collapsed="1">
      <c r="A1160" s="418">
        <v>46266.0</v>
      </c>
      <c r="B1160" s="441"/>
      <c r="C1160" s="27"/>
      <c r="D1160" s="27"/>
      <c r="E1160" s="27"/>
      <c r="F1160" s="27"/>
      <c r="G1160" s="27"/>
      <c r="H1160" s="27"/>
      <c r="I1160" s="27"/>
    </row>
    <row r="1161" hidden="1" outlineLevel="1" collapsed="1">
      <c r="A1161" s="442"/>
      <c r="B1161" s="467" t="s">
        <v>344</v>
      </c>
      <c r="C1161" s="14"/>
      <c r="D1161" s="14"/>
      <c r="E1161" s="14"/>
      <c r="F1161" s="14"/>
      <c r="G1161" s="14"/>
      <c r="H1161" s="14"/>
      <c r="I1161" s="15"/>
    </row>
    <row r="1162" hidden="1" outlineLevel="2">
      <c r="A1162" s="444"/>
      <c r="B1162" s="445" t="s">
        <v>29</v>
      </c>
      <c r="C1162" s="446" t="s">
        <v>4</v>
      </c>
      <c r="D1162" s="446" t="s">
        <v>19</v>
      </c>
      <c r="E1162" s="446" t="s">
        <v>30</v>
      </c>
      <c r="F1162" s="446" t="s">
        <v>31</v>
      </c>
      <c r="G1162" s="446" t="s">
        <v>32</v>
      </c>
      <c r="H1162" s="447" t="s">
        <v>13</v>
      </c>
      <c r="I1162" s="447" t="s">
        <v>350</v>
      </c>
    </row>
    <row r="1163" hidden="1" outlineLevel="2">
      <c r="A1163" s="25" t="s">
        <v>36</v>
      </c>
      <c r="B1163" s="243" t="s">
        <v>344</v>
      </c>
      <c r="C1163" s="244"/>
      <c r="D1163" s="244"/>
      <c r="E1163" s="244"/>
      <c r="F1163" s="244"/>
      <c r="G1163" s="244"/>
      <c r="H1163" s="244"/>
      <c r="I1163" s="245"/>
    </row>
    <row r="1164" hidden="1" outlineLevel="2">
      <c r="A1164" s="32" t="s">
        <v>45</v>
      </c>
      <c r="B1164" s="448"/>
      <c r="C1164" s="2"/>
      <c r="D1164" s="2"/>
      <c r="E1164" s="2"/>
      <c r="F1164" s="2"/>
      <c r="G1164" s="2"/>
      <c r="H1164" s="2"/>
      <c r="I1164" s="36"/>
    </row>
    <row r="1165" hidden="1" outlineLevel="2">
      <c r="A1165" s="64" t="s">
        <v>49</v>
      </c>
      <c r="B1165" s="354">
        <v>45.44</v>
      </c>
      <c r="C1165" s="355">
        <v>46.46</v>
      </c>
      <c r="D1165" s="355">
        <v>52.08</v>
      </c>
      <c r="E1165" s="355">
        <v>42.04</v>
      </c>
      <c r="F1165" s="355">
        <v>49.09</v>
      </c>
      <c r="G1165" s="355">
        <v>45.01</v>
      </c>
      <c r="H1165" s="355">
        <v>26.19</v>
      </c>
      <c r="I1165" s="449">
        <v>44.01</v>
      </c>
    </row>
    <row r="1166" hidden="1" outlineLevel="2">
      <c r="A1166" s="69" t="s">
        <v>53</v>
      </c>
      <c r="B1166" s="250">
        <v>40.0</v>
      </c>
      <c r="C1166" s="250">
        <v>40.0</v>
      </c>
      <c r="D1166" s="51">
        <v>40.0</v>
      </c>
      <c r="E1166" s="250">
        <v>40.0</v>
      </c>
      <c r="F1166" s="250">
        <v>40.0</v>
      </c>
      <c r="G1166" s="51">
        <v>40.0</v>
      </c>
      <c r="H1166" s="250">
        <v>40.0</v>
      </c>
      <c r="I1166" s="469">
        <v>40.0</v>
      </c>
    </row>
    <row r="1167" hidden="1" outlineLevel="2">
      <c r="A1167" s="54" t="s">
        <v>57</v>
      </c>
      <c r="B1167" s="252">
        <f t="shared" ref="B1167:I1167" si="449">B1165/B1166</f>
        <v>1.136</v>
      </c>
      <c r="C1167" s="253">
        <f t="shared" si="449"/>
        <v>1.1615</v>
      </c>
      <c r="D1167" s="253">
        <f t="shared" si="449"/>
        <v>1.302</v>
      </c>
      <c r="E1167" s="253">
        <f t="shared" si="449"/>
        <v>1.051</v>
      </c>
      <c r="F1167" s="253">
        <f t="shared" si="449"/>
        <v>1.22725</v>
      </c>
      <c r="G1167" s="253">
        <f t="shared" si="449"/>
        <v>1.12525</v>
      </c>
      <c r="H1167" s="253">
        <f t="shared" si="449"/>
        <v>0.65475</v>
      </c>
      <c r="I1167" s="256">
        <f t="shared" si="449"/>
        <v>1.10025</v>
      </c>
    </row>
    <row r="1168" hidden="1" outlineLevel="2">
      <c r="A1168" s="32" t="s">
        <v>66</v>
      </c>
      <c r="B1168" s="448"/>
      <c r="C1168" s="2"/>
      <c r="D1168" s="2"/>
      <c r="E1168" s="2"/>
      <c r="F1168" s="2"/>
      <c r="G1168" s="2"/>
      <c r="H1168" s="2"/>
      <c r="I1168" s="36"/>
    </row>
    <row r="1169" hidden="1" outlineLevel="2">
      <c r="A1169" s="64" t="s">
        <v>67</v>
      </c>
      <c r="B1169" s="450">
        <v>22.0</v>
      </c>
      <c r="C1169" s="451">
        <v>40.0</v>
      </c>
      <c r="D1169" s="451">
        <v>31.0</v>
      </c>
      <c r="E1169" s="451">
        <v>40.0</v>
      </c>
      <c r="F1169" s="451">
        <v>40.0</v>
      </c>
      <c r="G1169" s="451">
        <v>40.0</v>
      </c>
      <c r="H1169" s="451">
        <v>40.0</v>
      </c>
      <c r="I1169" s="452">
        <v>40.0</v>
      </c>
    </row>
    <row r="1170" hidden="1" outlineLevel="2">
      <c r="A1170" s="69" t="s">
        <v>72</v>
      </c>
      <c r="B1170" s="186">
        <v>40.0</v>
      </c>
      <c r="C1170" s="187">
        <v>40.0</v>
      </c>
      <c r="D1170" s="187">
        <v>40.0</v>
      </c>
      <c r="E1170" s="187">
        <v>40.0</v>
      </c>
      <c r="F1170" s="187">
        <v>40.0</v>
      </c>
      <c r="G1170" s="187">
        <v>40.0</v>
      </c>
      <c r="H1170" s="187">
        <v>40.0</v>
      </c>
      <c r="I1170" s="188">
        <v>40.0</v>
      </c>
    </row>
    <row r="1171" hidden="1" outlineLevel="2">
      <c r="A1171" s="54" t="s">
        <v>74</v>
      </c>
      <c r="B1171" s="252">
        <f t="shared" ref="B1171:I1171" si="450">B1169/B1170</f>
        <v>0.55</v>
      </c>
      <c r="C1171" s="253">
        <f t="shared" si="450"/>
        <v>1</v>
      </c>
      <c r="D1171" s="253">
        <f t="shared" si="450"/>
        <v>0.775</v>
      </c>
      <c r="E1171" s="253">
        <f t="shared" si="450"/>
        <v>1</v>
      </c>
      <c r="F1171" s="253">
        <f t="shared" si="450"/>
        <v>1</v>
      </c>
      <c r="G1171" s="253">
        <f t="shared" si="450"/>
        <v>1</v>
      </c>
      <c r="H1171" s="253">
        <f t="shared" si="450"/>
        <v>1</v>
      </c>
      <c r="I1171" s="256">
        <f t="shared" si="450"/>
        <v>1</v>
      </c>
    </row>
    <row r="1172" hidden="1" outlineLevel="2">
      <c r="A1172" s="32" t="s">
        <v>75</v>
      </c>
      <c r="B1172" s="448"/>
      <c r="C1172" s="2"/>
      <c r="D1172" s="2"/>
      <c r="E1172" s="2"/>
      <c r="F1172" s="2"/>
      <c r="G1172" s="2"/>
      <c r="H1172" s="2"/>
      <c r="I1172" s="36"/>
    </row>
    <row r="1173" hidden="1" outlineLevel="2">
      <c r="A1173" s="64" t="s">
        <v>76</v>
      </c>
      <c r="B1173" s="185" t="s">
        <v>79</v>
      </c>
      <c r="C1173" s="78" t="s">
        <v>80</v>
      </c>
      <c r="D1173" s="78" t="s">
        <v>80</v>
      </c>
      <c r="E1173" s="78" t="s">
        <v>79</v>
      </c>
      <c r="F1173" s="78" t="s">
        <v>79</v>
      </c>
      <c r="G1173" s="78" t="s">
        <v>80</v>
      </c>
      <c r="H1173" s="78" t="s">
        <v>80</v>
      </c>
      <c r="I1173" s="79" t="s">
        <v>79</v>
      </c>
    </row>
    <row r="1174" hidden="1" outlineLevel="2">
      <c r="A1174" s="64" t="s">
        <v>81</v>
      </c>
      <c r="B1174" s="185" t="s">
        <v>83</v>
      </c>
      <c r="C1174" s="78" t="s">
        <v>85</v>
      </c>
      <c r="D1174" s="78" t="s">
        <v>83</v>
      </c>
      <c r="E1174" s="78" t="s">
        <v>85</v>
      </c>
      <c r="F1174" s="78" t="s">
        <v>83</v>
      </c>
      <c r="G1174" s="78" t="s">
        <v>85</v>
      </c>
      <c r="H1174" s="78" t="s">
        <v>85</v>
      </c>
      <c r="I1174" s="79" t="s">
        <v>85</v>
      </c>
    </row>
    <row r="1175" hidden="1" outlineLevel="2">
      <c r="A1175" s="64" t="s">
        <v>86</v>
      </c>
      <c r="B1175" s="194">
        <f>IF(B1165&lt;B1166,B1166,B1165) *
IF(B1173="AM",
    IF(B1174="Oricle",3.5,
    IF(B1174="Other Brands",4,
    IF(B1174="Oricle Prio",0.6,""))),
 IF(B1173="MID",
    IF(B1174="Oricle",2.5,
    IF(B1174="Other Brands",3,
    IF(B1174="Oricle Prio",0.6,""))),
 IF(B1173="GY",
    IF(B1174="Oricle",1,
    IF(B1174="Other Brands",1,
    IF(B1174="Oricle Prio",0.3,""))),"")))</f>
        <v>136.32</v>
      </c>
      <c r="C1175" s="204">
        <f>IF(C1165&lt;C1166,C1166,C1165) *
IF(C1173="AM",
    IF(C1174="Oricle",3,
    IF(C1174="Other Brands",4,
    IF(C1174="Oricle Prio",0.6,""))),
 IF(C1173="MID",
    IF(C1174="Oricle",2.5,
    IF(C1174="Other Brands",3,
    IF(C1174="Oricle Prio",0.6,""))),
 IF(C1173="GY",
    IF(C1174="Oricle",1,
    IF(C1174="Other Brands",1,
    IF(C1174="Oricle Prio",0.3,""))),"")))</f>
        <v>139.38</v>
      </c>
      <c r="D1175" s="204">
        <f t="shared" ref="D1175:F1175" si="451">IF(D1165&lt;D1166,D1166,D1165) *
IF(D1173="AM",
    IF(D1174="Oricle",3.5,
    IF(D1174="Other Brands",4,
    IF(D1174="Oricle Prio",0.6,""))),
 IF(D1173="MID",
    IF(D1174="Oricle",2.5,
    IF(D1174="Other Brands",3,
    IF(D1174="Oricle Prio",0.6,""))),
 IF(D1173="GY",
    IF(D1174="Oricle",1,
    IF(D1174="Other Brands",1,
    IF(D1174="Oricle Prio",0.3,""))),"")))</f>
        <v>208.32</v>
      </c>
      <c r="E1175" s="204">
        <f t="shared" si="451"/>
        <v>105.1</v>
      </c>
      <c r="F1175" s="204">
        <f t="shared" si="451"/>
        <v>147.27</v>
      </c>
      <c r="G1175" s="204">
        <f t="shared" ref="G1175:H1175" si="452">IF(G1165&lt;G1166,G1166,G1165) *
IF(G1173="AM",
    IF(G1174="Oricle",3,
    IF(G1174="Other Brands",4,
    IF(G1174="Oricle Prio",0.6,""))),
 IF(G1173="MID",
    IF(G1174="Oricle",2.5,
    IF(G1174="Other Brands",3,
    IF(G1174="Oricle Prio",0.6,""))),
 IF(G1173="GY",
    IF(G1174="Oricle",1,
    IF(G1174="Other Brands",1,
    IF(G1174="Oricle Prio",0.3,""))),"")))</f>
        <v>135.03</v>
      </c>
      <c r="H1175" s="204">
        <f t="shared" si="452"/>
        <v>120</v>
      </c>
      <c r="I1175" s="204">
        <f>IF(I1165&lt;I1166,I1166,I1165) *
IF(I1173="AM",
    IF(I1174="Oricle",3.5,
    IF(I1174="Other Brands",4,
    IF(I1174="Oricle Prio",0.6,""))),
 IF(I1173="MID",
    IF(I1174="Oricle",2.5,
    IF(I1174="Other Brands",3,
    IF(I1174="Oricle Prio",0.6,""))),
 IF(I1173="GY",
    IF(I1174="Oricle",1,
    IF(I1174="Other Brands",1,
    IF(I1174="Oricle Prio",0.3,""))),"")))</f>
        <v>110.025</v>
      </c>
    </row>
    <row r="1176" hidden="1" outlineLevel="2">
      <c r="A1176" s="64" t="s">
        <v>98</v>
      </c>
      <c r="B1176" s="457" t="s">
        <v>445</v>
      </c>
      <c r="C1176" s="458" t="s">
        <v>1251</v>
      </c>
      <c r="D1176" s="458" t="s">
        <v>333</v>
      </c>
      <c r="E1176" s="458" t="s">
        <v>110</v>
      </c>
      <c r="F1176" s="458" t="s">
        <v>1083</v>
      </c>
      <c r="G1176" s="458" t="s">
        <v>201</v>
      </c>
      <c r="H1176" s="458" t="s">
        <v>867</v>
      </c>
      <c r="I1176" s="458" t="s">
        <v>1171</v>
      </c>
    </row>
    <row r="1177" hidden="1" outlineLevel="2">
      <c r="A1177" s="64" t="s">
        <v>107</v>
      </c>
      <c r="B1177" s="457" t="s">
        <v>301</v>
      </c>
      <c r="C1177" s="458" t="s">
        <v>915</v>
      </c>
      <c r="D1177" s="458" t="s">
        <v>328</v>
      </c>
      <c r="E1177" s="458" t="s">
        <v>105</v>
      </c>
      <c r="F1177" s="458" t="s">
        <v>251</v>
      </c>
      <c r="G1177" s="458" t="s">
        <v>206</v>
      </c>
      <c r="H1177" s="458" t="s">
        <v>408</v>
      </c>
      <c r="I1177" s="458" t="s">
        <v>689</v>
      </c>
    </row>
    <row r="1178" hidden="1" outlineLevel="2">
      <c r="A1178" s="69" t="s">
        <v>115</v>
      </c>
      <c r="B1178" s="108">
        <f t="shared" ref="B1178:I1178" si="453">IF(B1176&gt;0,B1177/B1176,0)</f>
        <v>0.9724770642</v>
      </c>
      <c r="C1178" s="110">
        <f t="shared" si="453"/>
        <v>0.9659090909</v>
      </c>
      <c r="D1178" s="110">
        <f t="shared" si="453"/>
        <v>0.9731543624</v>
      </c>
      <c r="E1178" s="110">
        <f t="shared" si="453"/>
        <v>0.9847328244</v>
      </c>
      <c r="F1178" s="110">
        <f t="shared" si="453"/>
        <v>0.985915493</v>
      </c>
      <c r="G1178" s="110">
        <f t="shared" si="453"/>
        <v>0.9935483871</v>
      </c>
      <c r="H1178" s="110">
        <f t="shared" si="453"/>
        <v>0.9863013699</v>
      </c>
      <c r="I1178" s="111">
        <f t="shared" si="453"/>
        <v>0.9793814433</v>
      </c>
    </row>
    <row r="1179" hidden="1" outlineLevel="2">
      <c r="A1179" s="69" t="s">
        <v>119</v>
      </c>
      <c r="B1179" s="108">
        <f t="shared" ref="B1179:I1179" si="454">IF(B1175&gt;0,B1177/B1175,0)</f>
        <v>0.7775821596</v>
      </c>
      <c r="C1179" s="110">
        <f t="shared" si="454"/>
        <v>1.219687186</v>
      </c>
      <c r="D1179" s="110">
        <f t="shared" si="454"/>
        <v>0.6960445469</v>
      </c>
      <c r="E1179" s="110">
        <f t="shared" si="454"/>
        <v>1.227402474</v>
      </c>
      <c r="F1179" s="110">
        <f t="shared" si="454"/>
        <v>0.9506348883</v>
      </c>
      <c r="G1179" s="110">
        <f t="shared" si="454"/>
        <v>1.140487299</v>
      </c>
      <c r="H1179" s="110">
        <f t="shared" si="454"/>
        <v>0.6</v>
      </c>
      <c r="I1179" s="111">
        <f t="shared" si="454"/>
        <v>0.8634401272</v>
      </c>
    </row>
    <row r="1180" hidden="1" outlineLevel="2">
      <c r="A1180" s="116" t="s">
        <v>82</v>
      </c>
      <c r="B1180" s="252">
        <f t="shared" ref="B1180:I1180" si="455">average(B1178:B1179)</f>
        <v>0.8750296119</v>
      </c>
      <c r="C1180" s="253">
        <f t="shared" si="455"/>
        <v>1.092798139</v>
      </c>
      <c r="D1180" s="253">
        <f t="shared" si="455"/>
        <v>0.8345994546</v>
      </c>
      <c r="E1180" s="253">
        <f t="shared" si="455"/>
        <v>1.106067649</v>
      </c>
      <c r="F1180" s="253">
        <f t="shared" si="455"/>
        <v>0.9682751906</v>
      </c>
      <c r="G1180" s="253">
        <f t="shared" si="455"/>
        <v>1.067017843</v>
      </c>
      <c r="H1180" s="253">
        <f t="shared" si="455"/>
        <v>0.7931506849</v>
      </c>
      <c r="I1180" s="256">
        <f t="shared" si="455"/>
        <v>0.9214107853</v>
      </c>
    </row>
    <row r="1181" hidden="1" outlineLevel="2">
      <c r="A1181" s="32" t="s">
        <v>121</v>
      </c>
      <c r="B1181" s="459"/>
      <c r="C1181" s="2"/>
      <c r="D1181" s="2"/>
      <c r="E1181" s="2"/>
      <c r="F1181" s="2"/>
      <c r="G1181" s="2"/>
      <c r="H1181" s="2"/>
      <c r="I1181" s="3"/>
    </row>
    <row r="1182" hidden="1" outlineLevel="2">
      <c r="A1182" s="64" t="s">
        <v>122</v>
      </c>
      <c r="B1182" s="354">
        <v>10.0</v>
      </c>
      <c r="C1182" s="355">
        <v>9.0</v>
      </c>
      <c r="D1182" s="355">
        <v>9.84</v>
      </c>
      <c r="E1182" s="355">
        <v>9.74</v>
      </c>
      <c r="F1182" s="355">
        <v>10.0</v>
      </c>
      <c r="G1182" s="355">
        <v>8.82</v>
      </c>
      <c r="H1182" s="355">
        <v>7.0</v>
      </c>
      <c r="I1182" s="355">
        <v>9.6</v>
      </c>
    </row>
    <row r="1183" hidden="1" outlineLevel="2">
      <c r="A1183" s="69" t="s">
        <v>128</v>
      </c>
      <c r="B1183" s="119">
        <v>10.0</v>
      </c>
      <c r="C1183" s="120">
        <v>10.0</v>
      </c>
      <c r="D1183" s="120">
        <v>10.0</v>
      </c>
      <c r="E1183" s="120">
        <v>10.0</v>
      </c>
      <c r="F1183" s="120">
        <v>10.0</v>
      </c>
      <c r="G1183" s="120">
        <v>10.0</v>
      </c>
      <c r="H1183" s="120">
        <v>10.0</v>
      </c>
      <c r="I1183" s="121">
        <v>10.0</v>
      </c>
    </row>
    <row r="1184" hidden="1" outlineLevel="2">
      <c r="A1184" s="54" t="s">
        <v>130</v>
      </c>
      <c r="B1184" s="252">
        <f t="shared" ref="B1184:I1184" si="456">IF(B1182=0,0,B1182/B1183)</f>
        <v>1</v>
      </c>
      <c r="C1184" s="253">
        <f t="shared" si="456"/>
        <v>0.9</v>
      </c>
      <c r="D1184" s="253">
        <f t="shared" si="456"/>
        <v>0.984</v>
      </c>
      <c r="E1184" s="253">
        <f t="shared" si="456"/>
        <v>0.974</v>
      </c>
      <c r="F1184" s="253">
        <f t="shared" si="456"/>
        <v>1</v>
      </c>
      <c r="G1184" s="253">
        <f t="shared" si="456"/>
        <v>0.882</v>
      </c>
      <c r="H1184" s="253">
        <f t="shared" si="456"/>
        <v>0.7</v>
      </c>
      <c r="I1184" s="256">
        <f t="shared" si="456"/>
        <v>0.96</v>
      </c>
    </row>
    <row r="1185" hidden="1" outlineLevel="2">
      <c r="A1185" s="32" t="s">
        <v>131</v>
      </c>
      <c r="B1185" s="448"/>
      <c r="C1185" s="2"/>
      <c r="D1185" s="2"/>
      <c r="E1185" s="2"/>
      <c r="F1185" s="2"/>
      <c r="G1185" s="2"/>
      <c r="H1185" s="2"/>
      <c r="I1185" s="36"/>
    </row>
    <row r="1186" hidden="1" outlineLevel="2">
      <c r="A1186" s="64" t="s">
        <v>132</v>
      </c>
      <c r="B1186" s="460"/>
      <c r="C1186" s="461"/>
      <c r="D1186" s="461"/>
      <c r="E1186" s="461"/>
      <c r="F1186" s="461"/>
      <c r="G1186" s="461"/>
      <c r="H1186" s="461"/>
      <c r="I1186" s="462"/>
    </row>
    <row r="1187" hidden="1" outlineLevel="2">
      <c r="A1187" s="127" t="s">
        <v>134</v>
      </c>
      <c r="B1187" s="448"/>
      <c r="C1187" s="2"/>
      <c r="D1187" s="2"/>
      <c r="E1187" s="2"/>
      <c r="F1187" s="2"/>
      <c r="G1187" s="2"/>
      <c r="H1187" s="2"/>
      <c r="I1187" s="36"/>
    </row>
    <row r="1188" hidden="1" outlineLevel="2">
      <c r="A1188" s="69" t="s">
        <v>136</v>
      </c>
      <c r="B1188" s="129">
        <f t="shared" ref="B1188:I1188" si="457">B1167*25</f>
        <v>28.4</v>
      </c>
      <c r="C1188" s="130">
        <f t="shared" si="457"/>
        <v>29.0375</v>
      </c>
      <c r="D1188" s="130">
        <f t="shared" si="457"/>
        <v>32.55</v>
      </c>
      <c r="E1188" s="130">
        <f t="shared" si="457"/>
        <v>26.275</v>
      </c>
      <c r="F1188" s="130">
        <f t="shared" si="457"/>
        <v>30.68125</v>
      </c>
      <c r="G1188" s="130">
        <f t="shared" si="457"/>
        <v>28.13125</v>
      </c>
      <c r="H1188" s="130">
        <f t="shared" si="457"/>
        <v>16.36875</v>
      </c>
      <c r="I1188" s="132">
        <f t="shared" si="457"/>
        <v>27.50625</v>
      </c>
    </row>
    <row r="1189" hidden="1" outlineLevel="2">
      <c r="A1189" s="69" t="s">
        <v>144</v>
      </c>
      <c r="B1189" s="129">
        <f t="shared" ref="B1189:I1189" si="458">B1171*35</f>
        <v>19.25</v>
      </c>
      <c r="C1189" s="130">
        <f t="shared" si="458"/>
        <v>35</v>
      </c>
      <c r="D1189" s="130">
        <f t="shared" si="458"/>
        <v>27.125</v>
      </c>
      <c r="E1189" s="130">
        <f t="shared" si="458"/>
        <v>35</v>
      </c>
      <c r="F1189" s="130">
        <f t="shared" si="458"/>
        <v>35</v>
      </c>
      <c r="G1189" s="130">
        <f t="shared" si="458"/>
        <v>35</v>
      </c>
      <c r="H1189" s="130">
        <f t="shared" si="458"/>
        <v>35</v>
      </c>
      <c r="I1189" s="132">
        <f t="shared" si="458"/>
        <v>35</v>
      </c>
    </row>
    <row r="1190" hidden="1" outlineLevel="2">
      <c r="A1190" s="69" t="s">
        <v>146</v>
      </c>
      <c r="B1190" s="129">
        <f t="shared" ref="B1190:I1190" si="459">IF(AND(B1171&lt;85%, B1180&gt;100%), 25, B1180*25)</f>
        <v>21.8757403</v>
      </c>
      <c r="C1190" s="130">
        <f t="shared" si="459"/>
        <v>27.31995346</v>
      </c>
      <c r="D1190" s="130">
        <f t="shared" si="459"/>
        <v>20.86498637</v>
      </c>
      <c r="E1190" s="130">
        <f t="shared" si="459"/>
        <v>27.65169123</v>
      </c>
      <c r="F1190" s="130">
        <f t="shared" si="459"/>
        <v>24.20687977</v>
      </c>
      <c r="G1190" s="130">
        <f t="shared" si="459"/>
        <v>26.67544608</v>
      </c>
      <c r="H1190" s="130">
        <f t="shared" si="459"/>
        <v>19.82876712</v>
      </c>
      <c r="I1190" s="132">
        <f t="shared" si="459"/>
        <v>23.03526963</v>
      </c>
    </row>
    <row r="1191" hidden="1" outlineLevel="2">
      <c r="A1191" s="69" t="s">
        <v>148</v>
      </c>
      <c r="B1191" s="129">
        <f t="shared" ref="B1191:I1191" si="460">B1184*15</f>
        <v>15</v>
      </c>
      <c r="C1191" s="130">
        <f t="shared" si="460"/>
        <v>13.5</v>
      </c>
      <c r="D1191" s="130">
        <f t="shared" si="460"/>
        <v>14.76</v>
      </c>
      <c r="E1191" s="130">
        <f t="shared" si="460"/>
        <v>14.61</v>
      </c>
      <c r="F1191" s="130">
        <f t="shared" si="460"/>
        <v>15</v>
      </c>
      <c r="G1191" s="130">
        <f t="shared" si="460"/>
        <v>13.23</v>
      </c>
      <c r="H1191" s="130">
        <f t="shared" si="460"/>
        <v>10.5</v>
      </c>
      <c r="I1191" s="132">
        <f t="shared" si="460"/>
        <v>14.4</v>
      </c>
    </row>
    <row r="1192" hidden="1" outlineLevel="2">
      <c r="A1192" s="69" t="s">
        <v>149</v>
      </c>
      <c r="B1192" s="129">
        <f t="shared" ref="B1192:I1192" si="461">B1186*-10</f>
        <v>0</v>
      </c>
      <c r="C1192" s="130">
        <f t="shared" si="461"/>
        <v>0</v>
      </c>
      <c r="D1192" s="130">
        <f t="shared" si="461"/>
        <v>0</v>
      </c>
      <c r="E1192" s="130">
        <f t="shared" si="461"/>
        <v>0</v>
      </c>
      <c r="F1192" s="130">
        <f t="shared" si="461"/>
        <v>0</v>
      </c>
      <c r="G1192" s="130">
        <f t="shared" si="461"/>
        <v>0</v>
      </c>
      <c r="H1192" s="130">
        <f t="shared" si="461"/>
        <v>0</v>
      </c>
      <c r="I1192" s="132">
        <f t="shared" si="461"/>
        <v>0</v>
      </c>
    </row>
    <row r="1193" hidden="1" outlineLevel="2">
      <c r="A1193" s="142" t="s">
        <v>150</v>
      </c>
      <c r="B1193" s="129">
        <f t="shared" ref="B1193:I1193" si="462">B1188+B1189+B1190+B1191+B1192</f>
        <v>84.5257403</v>
      </c>
      <c r="C1193" s="130">
        <f t="shared" si="462"/>
        <v>104.8574535</v>
      </c>
      <c r="D1193" s="130">
        <f t="shared" si="462"/>
        <v>95.29998637</v>
      </c>
      <c r="E1193" s="130">
        <f t="shared" si="462"/>
        <v>103.5366912</v>
      </c>
      <c r="F1193" s="130">
        <f t="shared" si="462"/>
        <v>104.8881298</v>
      </c>
      <c r="G1193" s="130">
        <f t="shared" si="462"/>
        <v>103.0366961</v>
      </c>
      <c r="H1193" s="130">
        <f t="shared" si="462"/>
        <v>81.69751712</v>
      </c>
      <c r="I1193" s="132">
        <f t="shared" si="462"/>
        <v>99.94151963</v>
      </c>
    </row>
    <row r="1194" hidden="1" outlineLevel="2">
      <c r="A1194" s="54" t="s">
        <v>152</v>
      </c>
      <c r="B1194" s="58">
        <f t="shared" ref="B1194:I1194" si="463">B1193/100</f>
        <v>0.845257403</v>
      </c>
      <c r="C1194" s="61">
        <f t="shared" si="463"/>
        <v>1.048574535</v>
      </c>
      <c r="D1194" s="61">
        <f t="shared" si="463"/>
        <v>0.9529998637</v>
      </c>
      <c r="E1194" s="61">
        <f t="shared" si="463"/>
        <v>1.035366912</v>
      </c>
      <c r="F1194" s="61">
        <f t="shared" si="463"/>
        <v>1.048881298</v>
      </c>
      <c r="G1194" s="61">
        <f t="shared" si="463"/>
        <v>1.030366961</v>
      </c>
      <c r="H1194" s="61">
        <f t="shared" si="463"/>
        <v>0.8169751712</v>
      </c>
      <c r="I1194" s="62">
        <f t="shared" si="463"/>
        <v>0.9994151963</v>
      </c>
    </row>
    <row r="1195" hidden="1" outlineLevel="2">
      <c r="A1195" s="127" t="s">
        <v>154</v>
      </c>
      <c r="B1195" s="349" t="s">
        <v>155</v>
      </c>
      <c r="C1195" s="350" t="s">
        <v>155</v>
      </c>
      <c r="D1195" s="350" t="s">
        <v>155</v>
      </c>
      <c r="E1195" s="350" t="s">
        <v>155</v>
      </c>
      <c r="F1195" s="350" t="s">
        <v>156</v>
      </c>
      <c r="G1195" s="350" t="s">
        <v>155</v>
      </c>
      <c r="H1195" s="350" t="s">
        <v>155</v>
      </c>
      <c r="I1195" s="350" t="s">
        <v>155</v>
      </c>
    </row>
    <row r="1196" hidden="1" outlineLevel="2">
      <c r="A1196" s="127" t="s">
        <v>158</v>
      </c>
      <c r="B1196" s="464"/>
      <c r="C1196" s="465"/>
      <c r="D1196" s="465"/>
      <c r="E1196" s="465"/>
      <c r="F1196" s="465"/>
      <c r="G1196" s="465"/>
      <c r="H1196" s="465"/>
      <c r="I1196" s="466"/>
    </row>
    <row r="1197" hidden="1" outlineLevel="1" collapsed="1">
      <c r="A1197" s="442"/>
      <c r="B1197" s="467" t="s">
        <v>378</v>
      </c>
      <c r="C1197" s="14"/>
      <c r="D1197" s="14"/>
      <c r="E1197" s="14"/>
      <c r="F1197" s="14"/>
      <c r="G1197" s="14"/>
      <c r="H1197" s="14"/>
      <c r="I1197" s="15"/>
    </row>
    <row r="1198" hidden="1" outlineLevel="2">
      <c r="A1198" s="444"/>
      <c r="B1198" s="445" t="s">
        <v>29</v>
      </c>
      <c r="C1198" s="446" t="s">
        <v>4</v>
      </c>
      <c r="D1198" s="446" t="s">
        <v>19</v>
      </c>
      <c r="E1198" s="446" t="s">
        <v>30</v>
      </c>
      <c r="F1198" s="446" t="s">
        <v>31</v>
      </c>
      <c r="G1198" s="446" t="s">
        <v>32</v>
      </c>
      <c r="H1198" s="447" t="s">
        <v>13</v>
      </c>
      <c r="I1198" s="447" t="s">
        <v>350</v>
      </c>
    </row>
    <row r="1199" hidden="1" outlineLevel="2">
      <c r="A1199" s="25" t="s">
        <v>36</v>
      </c>
      <c r="B1199" s="243" t="s">
        <v>378</v>
      </c>
      <c r="C1199" s="244"/>
      <c r="D1199" s="244"/>
      <c r="E1199" s="244"/>
      <c r="F1199" s="244"/>
      <c r="G1199" s="244"/>
      <c r="H1199" s="244"/>
      <c r="I1199" s="245"/>
    </row>
    <row r="1200" hidden="1" outlineLevel="2">
      <c r="A1200" s="32" t="s">
        <v>45</v>
      </c>
      <c r="B1200" s="448"/>
      <c r="C1200" s="2"/>
      <c r="D1200" s="2"/>
      <c r="E1200" s="2"/>
      <c r="F1200" s="2"/>
      <c r="G1200" s="2"/>
      <c r="H1200" s="2"/>
      <c r="I1200" s="36"/>
    </row>
    <row r="1201" hidden="1" outlineLevel="2">
      <c r="A1201" s="64" t="s">
        <v>49</v>
      </c>
      <c r="B1201" s="354">
        <v>40.0</v>
      </c>
      <c r="C1201" s="355">
        <v>44.59</v>
      </c>
      <c r="D1201" s="355">
        <v>49.06</v>
      </c>
      <c r="E1201" s="355">
        <v>46.06</v>
      </c>
      <c r="F1201" s="355">
        <v>50.54</v>
      </c>
      <c r="G1201" s="355">
        <v>44.58</v>
      </c>
      <c r="H1201" s="355">
        <v>48.34</v>
      </c>
      <c r="I1201" s="449">
        <v>40.0</v>
      </c>
    </row>
    <row r="1202" hidden="1" outlineLevel="2">
      <c r="A1202" s="69" t="s">
        <v>53</v>
      </c>
      <c r="B1202" s="250">
        <v>40.0</v>
      </c>
      <c r="C1202" s="250">
        <v>40.0</v>
      </c>
      <c r="D1202" s="51">
        <v>40.0</v>
      </c>
      <c r="E1202" s="250">
        <v>40.0</v>
      </c>
      <c r="F1202" s="250">
        <v>40.0</v>
      </c>
      <c r="G1202" s="51">
        <v>40.0</v>
      </c>
      <c r="H1202" s="250">
        <v>40.0</v>
      </c>
      <c r="I1202" s="469">
        <v>40.0</v>
      </c>
    </row>
    <row r="1203" hidden="1" outlineLevel="2">
      <c r="A1203" s="54" t="s">
        <v>57</v>
      </c>
      <c r="B1203" s="252">
        <f t="shared" ref="B1203:I1203" si="464">B1201/B1202</f>
        <v>1</v>
      </c>
      <c r="C1203" s="253">
        <f t="shared" si="464"/>
        <v>1.11475</v>
      </c>
      <c r="D1203" s="253">
        <f t="shared" si="464"/>
        <v>1.2265</v>
      </c>
      <c r="E1203" s="253">
        <f t="shared" si="464"/>
        <v>1.1515</v>
      </c>
      <c r="F1203" s="253">
        <f t="shared" si="464"/>
        <v>1.2635</v>
      </c>
      <c r="G1203" s="253">
        <f t="shared" si="464"/>
        <v>1.1145</v>
      </c>
      <c r="H1203" s="253">
        <f t="shared" si="464"/>
        <v>1.2085</v>
      </c>
      <c r="I1203" s="256">
        <f t="shared" si="464"/>
        <v>1</v>
      </c>
    </row>
    <row r="1204" hidden="1" outlineLevel="2">
      <c r="A1204" s="32" t="s">
        <v>66</v>
      </c>
      <c r="B1204" s="448"/>
      <c r="C1204" s="2"/>
      <c r="D1204" s="2"/>
      <c r="E1204" s="2"/>
      <c r="F1204" s="2"/>
      <c r="G1204" s="2"/>
      <c r="H1204" s="2"/>
      <c r="I1204" s="36"/>
    </row>
    <row r="1205" hidden="1" outlineLevel="2">
      <c r="A1205" s="64" t="s">
        <v>67</v>
      </c>
      <c r="B1205" s="450">
        <v>40.0</v>
      </c>
      <c r="C1205" s="451">
        <v>40.0</v>
      </c>
      <c r="D1205" s="451">
        <v>40.0</v>
      </c>
      <c r="E1205" s="451">
        <v>40.0</v>
      </c>
      <c r="F1205" s="451">
        <v>40.0</v>
      </c>
      <c r="G1205" s="451">
        <v>40.0</v>
      </c>
      <c r="H1205" s="451">
        <v>40.0</v>
      </c>
      <c r="I1205" s="452">
        <v>40.0</v>
      </c>
    </row>
    <row r="1206" hidden="1" outlineLevel="2">
      <c r="A1206" s="69" t="s">
        <v>72</v>
      </c>
      <c r="B1206" s="186">
        <v>40.0</v>
      </c>
      <c r="C1206" s="187">
        <v>40.0</v>
      </c>
      <c r="D1206" s="187">
        <v>40.0</v>
      </c>
      <c r="E1206" s="187">
        <v>40.0</v>
      </c>
      <c r="F1206" s="187">
        <v>40.0</v>
      </c>
      <c r="G1206" s="187">
        <v>40.0</v>
      </c>
      <c r="H1206" s="187">
        <v>40.0</v>
      </c>
      <c r="I1206" s="188">
        <v>40.0</v>
      </c>
    </row>
    <row r="1207" hidden="1" outlineLevel="2">
      <c r="A1207" s="54" t="s">
        <v>74</v>
      </c>
      <c r="B1207" s="252">
        <f t="shared" ref="B1207:I1207" si="465">B1205/B1206</f>
        <v>1</v>
      </c>
      <c r="C1207" s="253">
        <f t="shared" si="465"/>
        <v>1</v>
      </c>
      <c r="D1207" s="253">
        <f t="shared" si="465"/>
        <v>1</v>
      </c>
      <c r="E1207" s="253">
        <f t="shared" si="465"/>
        <v>1</v>
      </c>
      <c r="F1207" s="253">
        <f t="shared" si="465"/>
        <v>1</v>
      </c>
      <c r="G1207" s="253">
        <f t="shared" si="465"/>
        <v>1</v>
      </c>
      <c r="H1207" s="253">
        <f t="shared" si="465"/>
        <v>1</v>
      </c>
      <c r="I1207" s="256">
        <f t="shared" si="465"/>
        <v>1</v>
      </c>
    </row>
    <row r="1208" hidden="1" outlineLevel="2">
      <c r="A1208" s="32" t="s">
        <v>75</v>
      </c>
      <c r="B1208" s="448"/>
      <c r="C1208" s="2"/>
      <c r="D1208" s="2"/>
      <c r="E1208" s="2"/>
      <c r="F1208" s="2"/>
      <c r="G1208" s="2"/>
      <c r="H1208" s="2"/>
      <c r="I1208" s="36"/>
    </row>
    <row r="1209" hidden="1" outlineLevel="2">
      <c r="A1209" s="64" t="s">
        <v>76</v>
      </c>
      <c r="B1209" s="185" t="s">
        <v>79</v>
      </c>
      <c r="C1209" s="78" t="s">
        <v>80</v>
      </c>
      <c r="D1209" s="78" t="s">
        <v>80</v>
      </c>
      <c r="E1209" s="78" t="s">
        <v>79</v>
      </c>
      <c r="F1209" s="78" t="s">
        <v>79</v>
      </c>
      <c r="G1209" s="78" t="s">
        <v>80</v>
      </c>
      <c r="H1209" s="78" t="s">
        <v>80</v>
      </c>
      <c r="I1209" s="79" t="s">
        <v>79</v>
      </c>
    </row>
    <row r="1210" hidden="1" outlineLevel="2">
      <c r="A1210" s="64" t="s">
        <v>81</v>
      </c>
      <c r="B1210" s="185" t="s">
        <v>83</v>
      </c>
      <c r="C1210" s="78" t="s">
        <v>85</v>
      </c>
      <c r="D1210" s="78" t="s">
        <v>83</v>
      </c>
      <c r="E1210" s="78" t="s">
        <v>85</v>
      </c>
      <c r="F1210" s="78" t="s">
        <v>83</v>
      </c>
      <c r="G1210" s="78" t="s">
        <v>85</v>
      </c>
      <c r="H1210" s="78" t="s">
        <v>85</v>
      </c>
      <c r="I1210" s="79" t="s">
        <v>85</v>
      </c>
    </row>
    <row r="1211" hidden="1" outlineLevel="2">
      <c r="A1211" s="64" t="s">
        <v>86</v>
      </c>
      <c r="B1211" s="194">
        <f>IF(B1201&lt;B1202,B1202,B1201) *
IF(B1209="AM",
    IF(B1210="Oricle",3.5,
    IF(B1210="Other Brands",4,
    IF(B1210="Oricle Prio",0.6,""))),
 IF(B1209="MID",
    IF(B1210="Oricle",2.5,
    IF(B1210="Other Brands",3,
    IF(B1210="Oricle Prio",0.6,""))),
 IF(B1209="GY",
    IF(B1210="Oricle",1,
    IF(B1210="Other Brands",1,
    IF(B1210="Oricle Prio",0.3,""))),"")))</f>
        <v>120</v>
      </c>
      <c r="C1211" s="204">
        <f>IF(C1201&lt;C1202,C1202,C1201) *
IF(C1209="AM",
    IF(C1210="Oricle",3,
    IF(C1210="Other Brands",4,
    IF(C1210="Oricle Prio",0.6,""))),
 IF(C1209="MID",
    IF(C1210="Oricle",2.5,
    IF(C1210="Other Brands",3,
    IF(C1210="Oricle Prio",0.6,""))),
 IF(C1209="GY",
    IF(C1210="Oricle",1,
    IF(C1210="Other Brands",1,
    IF(C1210="Oricle Prio",0.3,""))),"")))</f>
        <v>133.77</v>
      </c>
      <c r="D1211" s="204">
        <f t="shared" ref="D1211:F1211" si="466">IF(D1201&lt;D1202,D1202,D1201) *
IF(D1209="AM",
    IF(D1210="Oricle",3.5,
    IF(D1210="Other Brands",4,
    IF(D1210="Oricle Prio",0.6,""))),
 IF(D1209="MID",
    IF(D1210="Oricle",2.5,
    IF(D1210="Other Brands",3,
    IF(D1210="Oricle Prio",0.6,""))),
 IF(D1209="GY",
    IF(D1210="Oricle",1,
    IF(D1210="Other Brands",1,
    IF(D1210="Oricle Prio",0.3,""))),"")))</f>
        <v>196.24</v>
      </c>
      <c r="E1211" s="204">
        <f t="shared" si="466"/>
        <v>115.15</v>
      </c>
      <c r="F1211" s="204">
        <f t="shared" si="466"/>
        <v>151.62</v>
      </c>
      <c r="G1211" s="204">
        <f t="shared" ref="G1211:H1211" si="467">IF(G1201&lt;G1202,G1202,G1201) *
IF(G1209="AM",
    IF(G1210="Oricle",3,
    IF(G1210="Other Brands",4,
    IF(G1210="Oricle Prio",0.6,""))),
 IF(G1209="MID",
    IF(G1210="Oricle",2.5,
    IF(G1210="Other Brands",3,
    IF(G1210="Oricle Prio",0.6,""))),
 IF(G1209="GY",
    IF(G1210="Oricle",1,
    IF(G1210="Other Brands",1,
    IF(G1210="Oricle Prio",0.3,""))),"")))</f>
        <v>133.74</v>
      </c>
      <c r="H1211" s="204">
        <f t="shared" si="467"/>
        <v>145.02</v>
      </c>
      <c r="I1211" s="204">
        <f>IF(I1201&lt;I1202,I1202,I1201) *
IF(I1209="AM",
    IF(I1210="Oricle",3.5,
    IF(I1210="Other Brands",4,
    IF(I1210="Oricle Prio",0.6,""))),
 IF(I1209="MID",
    IF(I1210="Oricle",2.5,
    IF(I1210="Other Brands",3,
    IF(I1210="Oricle Prio",0.6,""))),
 IF(I1209="GY",
    IF(I1210="Oricle",1,
    IF(I1210="Other Brands",1,
    IF(I1210="Oricle Prio",0.3,""))),"")))</f>
        <v>100</v>
      </c>
    </row>
    <row r="1212" hidden="1" outlineLevel="2">
      <c r="A1212" s="64" t="s">
        <v>98</v>
      </c>
      <c r="B1212" s="457" t="s">
        <v>407</v>
      </c>
      <c r="C1212" s="458" t="s">
        <v>1085</v>
      </c>
      <c r="D1212" s="458" t="s">
        <v>299</v>
      </c>
      <c r="E1212" s="458" t="s">
        <v>372</v>
      </c>
      <c r="F1212" s="458" t="s">
        <v>479</v>
      </c>
      <c r="G1212" s="458" t="s">
        <v>333</v>
      </c>
      <c r="H1212" s="458" t="s">
        <v>201</v>
      </c>
      <c r="I1212" s="458" t="s">
        <v>522</v>
      </c>
    </row>
    <row r="1213" hidden="1" outlineLevel="2">
      <c r="A1213" s="64" t="s">
        <v>107</v>
      </c>
      <c r="B1213" s="457" t="s">
        <v>688</v>
      </c>
      <c r="C1213" s="458" t="s">
        <v>99</v>
      </c>
      <c r="D1213" s="458" t="s">
        <v>519</v>
      </c>
      <c r="E1213" s="458" t="s">
        <v>521</v>
      </c>
      <c r="F1213" s="458" t="s">
        <v>374</v>
      </c>
      <c r="G1213" s="458" t="s">
        <v>99</v>
      </c>
      <c r="H1213" s="458" t="s">
        <v>373</v>
      </c>
      <c r="I1213" s="458" t="s">
        <v>639</v>
      </c>
    </row>
    <row r="1214" hidden="1" outlineLevel="2">
      <c r="A1214" s="69" t="s">
        <v>115</v>
      </c>
      <c r="B1214" s="108">
        <f t="shared" ref="B1214:I1214" si="468">IF(B1212&gt;0,B1213/B1212,0)</f>
        <v>0.9680851064</v>
      </c>
      <c r="C1214" s="110">
        <f t="shared" si="468"/>
        <v>0.9863013699</v>
      </c>
      <c r="D1214" s="110">
        <f t="shared" si="468"/>
        <v>0.95</v>
      </c>
      <c r="E1214" s="110">
        <f t="shared" si="468"/>
        <v>0.963963964</v>
      </c>
      <c r="F1214" s="110">
        <f t="shared" si="468"/>
        <v>0.9180327869</v>
      </c>
      <c r="G1214" s="110">
        <f t="shared" si="468"/>
        <v>0.966442953</v>
      </c>
      <c r="H1214" s="110">
        <f t="shared" si="468"/>
        <v>0.9806451613</v>
      </c>
      <c r="I1214" s="111">
        <f t="shared" si="468"/>
        <v>0.9764705882</v>
      </c>
    </row>
    <row r="1215" hidden="1" outlineLevel="2">
      <c r="A1215" s="69" t="s">
        <v>119</v>
      </c>
      <c r="B1215" s="108">
        <f t="shared" ref="B1215:I1215" si="469">IF(B1211&gt;0,B1213/B1211,0)</f>
        <v>0.7583333333</v>
      </c>
      <c r="C1215" s="110">
        <f t="shared" si="469"/>
        <v>1.076474546</v>
      </c>
      <c r="D1215" s="110">
        <f t="shared" si="469"/>
        <v>0.5809213208</v>
      </c>
      <c r="E1215" s="110">
        <f t="shared" si="469"/>
        <v>0.9292227529</v>
      </c>
      <c r="F1215" s="110">
        <f t="shared" si="469"/>
        <v>0.7386888273</v>
      </c>
      <c r="G1215" s="110">
        <f t="shared" si="469"/>
        <v>1.076716016</v>
      </c>
      <c r="H1215" s="110">
        <f t="shared" si="469"/>
        <v>1.048131292</v>
      </c>
      <c r="I1215" s="111">
        <f t="shared" si="469"/>
        <v>0.83</v>
      </c>
    </row>
    <row r="1216" hidden="1" outlineLevel="2">
      <c r="A1216" s="116" t="s">
        <v>82</v>
      </c>
      <c r="B1216" s="252">
        <f t="shared" ref="B1216:I1216" si="470">average(B1214:B1215)</f>
        <v>0.8632092199</v>
      </c>
      <c r="C1216" s="253">
        <f t="shared" si="470"/>
        <v>1.031387958</v>
      </c>
      <c r="D1216" s="253">
        <f t="shared" si="470"/>
        <v>0.7654606604</v>
      </c>
      <c r="E1216" s="253">
        <f t="shared" si="470"/>
        <v>0.9465933584</v>
      </c>
      <c r="F1216" s="253">
        <f t="shared" si="470"/>
        <v>0.8283608071</v>
      </c>
      <c r="G1216" s="253">
        <f t="shared" si="470"/>
        <v>1.021579485</v>
      </c>
      <c r="H1216" s="253">
        <f t="shared" si="470"/>
        <v>1.014388227</v>
      </c>
      <c r="I1216" s="256">
        <f t="shared" si="470"/>
        <v>0.9032352941</v>
      </c>
    </row>
    <row r="1217" hidden="1" outlineLevel="2">
      <c r="A1217" s="32" t="s">
        <v>121</v>
      </c>
      <c r="B1217" s="459"/>
      <c r="C1217" s="2"/>
      <c r="D1217" s="2"/>
      <c r="E1217" s="2"/>
      <c r="F1217" s="2"/>
      <c r="G1217" s="2"/>
      <c r="H1217" s="2"/>
      <c r="I1217" s="3"/>
    </row>
    <row r="1218" hidden="1" outlineLevel="2">
      <c r="A1218" s="64" t="s">
        <v>122</v>
      </c>
      <c r="B1218" s="354">
        <v>8.94</v>
      </c>
      <c r="C1218" s="355">
        <v>8.65</v>
      </c>
      <c r="D1218" s="355">
        <v>9.11</v>
      </c>
      <c r="E1218" s="355">
        <v>7.98</v>
      </c>
      <c r="F1218" s="355">
        <v>8.66</v>
      </c>
      <c r="G1218" s="355">
        <v>7.68</v>
      </c>
      <c r="H1218" s="355">
        <v>9.85</v>
      </c>
      <c r="I1218" s="355">
        <v>7.06</v>
      </c>
    </row>
    <row r="1219" hidden="1" outlineLevel="2">
      <c r="A1219" s="69" t="s">
        <v>128</v>
      </c>
      <c r="B1219" s="119">
        <v>10.0</v>
      </c>
      <c r="C1219" s="120">
        <v>10.0</v>
      </c>
      <c r="D1219" s="120">
        <v>10.0</v>
      </c>
      <c r="E1219" s="120">
        <v>10.0</v>
      </c>
      <c r="F1219" s="120">
        <v>10.0</v>
      </c>
      <c r="G1219" s="120">
        <v>10.0</v>
      </c>
      <c r="H1219" s="120">
        <v>10.0</v>
      </c>
      <c r="I1219" s="121">
        <v>10.0</v>
      </c>
    </row>
    <row r="1220" hidden="1" outlineLevel="2">
      <c r="A1220" s="54" t="s">
        <v>130</v>
      </c>
      <c r="B1220" s="252">
        <f t="shared" ref="B1220:I1220" si="471">IF(B1218=0,0,B1218/B1219)</f>
        <v>0.894</v>
      </c>
      <c r="C1220" s="253">
        <f t="shared" si="471"/>
        <v>0.865</v>
      </c>
      <c r="D1220" s="253">
        <f t="shared" si="471"/>
        <v>0.911</v>
      </c>
      <c r="E1220" s="253">
        <f t="shared" si="471"/>
        <v>0.798</v>
      </c>
      <c r="F1220" s="253">
        <f t="shared" si="471"/>
        <v>0.866</v>
      </c>
      <c r="G1220" s="253">
        <f t="shared" si="471"/>
        <v>0.768</v>
      </c>
      <c r="H1220" s="253">
        <f t="shared" si="471"/>
        <v>0.985</v>
      </c>
      <c r="I1220" s="256">
        <f t="shared" si="471"/>
        <v>0.706</v>
      </c>
    </row>
    <row r="1221" hidden="1" outlineLevel="2">
      <c r="A1221" s="32" t="s">
        <v>131</v>
      </c>
      <c r="B1221" s="448"/>
      <c r="C1221" s="2"/>
      <c r="D1221" s="2"/>
      <c r="E1221" s="2"/>
      <c r="F1221" s="2"/>
      <c r="G1221" s="2"/>
      <c r="H1221" s="2"/>
      <c r="I1221" s="36"/>
    </row>
    <row r="1222" hidden="1" outlineLevel="2">
      <c r="A1222" s="64" t="s">
        <v>132</v>
      </c>
      <c r="B1222" s="460"/>
      <c r="C1222" s="461"/>
      <c r="D1222" s="461"/>
      <c r="E1222" s="461"/>
      <c r="F1222" s="461"/>
      <c r="G1222" s="461"/>
      <c r="H1222" s="461"/>
      <c r="I1222" s="462"/>
    </row>
    <row r="1223" hidden="1" outlineLevel="2">
      <c r="A1223" s="127" t="s">
        <v>134</v>
      </c>
      <c r="B1223" s="448"/>
      <c r="C1223" s="2"/>
      <c r="D1223" s="2"/>
      <c r="E1223" s="2"/>
      <c r="F1223" s="2"/>
      <c r="G1223" s="2"/>
      <c r="H1223" s="2"/>
      <c r="I1223" s="36"/>
    </row>
    <row r="1224" hidden="1" outlineLevel="2">
      <c r="A1224" s="69" t="s">
        <v>136</v>
      </c>
      <c r="B1224" s="129">
        <f t="shared" ref="B1224:I1224" si="472">B1203*25</f>
        <v>25</v>
      </c>
      <c r="C1224" s="130">
        <f t="shared" si="472"/>
        <v>27.86875</v>
      </c>
      <c r="D1224" s="130">
        <f t="shared" si="472"/>
        <v>30.6625</v>
      </c>
      <c r="E1224" s="130">
        <f t="shared" si="472"/>
        <v>28.7875</v>
      </c>
      <c r="F1224" s="130">
        <f t="shared" si="472"/>
        <v>31.5875</v>
      </c>
      <c r="G1224" s="130">
        <f t="shared" si="472"/>
        <v>27.8625</v>
      </c>
      <c r="H1224" s="130">
        <f t="shared" si="472"/>
        <v>30.2125</v>
      </c>
      <c r="I1224" s="132">
        <f t="shared" si="472"/>
        <v>25</v>
      </c>
    </row>
    <row r="1225" hidden="1" outlineLevel="2">
      <c r="A1225" s="69" t="s">
        <v>144</v>
      </c>
      <c r="B1225" s="129">
        <f t="shared" ref="B1225:I1225" si="473">B1207*35</f>
        <v>35</v>
      </c>
      <c r="C1225" s="130">
        <f t="shared" si="473"/>
        <v>35</v>
      </c>
      <c r="D1225" s="130">
        <f t="shared" si="473"/>
        <v>35</v>
      </c>
      <c r="E1225" s="130">
        <f t="shared" si="473"/>
        <v>35</v>
      </c>
      <c r="F1225" s="130">
        <f t="shared" si="473"/>
        <v>35</v>
      </c>
      <c r="G1225" s="130">
        <f t="shared" si="473"/>
        <v>35</v>
      </c>
      <c r="H1225" s="130">
        <f t="shared" si="473"/>
        <v>35</v>
      </c>
      <c r="I1225" s="132">
        <f t="shared" si="473"/>
        <v>35</v>
      </c>
    </row>
    <row r="1226" hidden="1" outlineLevel="2">
      <c r="A1226" s="69" t="s">
        <v>146</v>
      </c>
      <c r="B1226" s="129">
        <f t="shared" ref="B1226:I1226" si="474">IF(AND(B1207&lt;85%, B1216&gt;100%), 25, B1216*25)</f>
        <v>21.5802305</v>
      </c>
      <c r="C1226" s="130">
        <f t="shared" si="474"/>
        <v>25.78469895</v>
      </c>
      <c r="D1226" s="130">
        <f t="shared" si="474"/>
        <v>19.13651651</v>
      </c>
      <c r="E1226" s="130">
        <f t="shared" si="474"/>
        <v>23.66483396</v>
      </c>
      <c r="F1226" s="130">
        <f t="shared" si="474"/>
        <v>20.70902018</v>
      </c>
      <c r="G1226" s="130">
        <f t="shared" si="474"/>
        <v>25.53948711</v>
      </c>
      <c r="H1226" s="130">
        <f t="shared" si="474"/>
        <v>25.35970567</v>
      </c>
      <c r="I1226" s="132">
        <f t="shared" si="474"/>
        <v>22.58088235</v>
      </c>
    </row>
    <row r="1227" hidden="1" outlineLevel="2">
      <c r="A1227" s="69" t="s">
        <v>148</v>
      </c>
      <c r="B1227" s="129">
        <f t="shared" ref="B1227:I1227" si="475">B1220*15</f>
        <v>13.41</v>
      </c>
      <c r="C1227" s="130">
        <f t="shared" si="475"/>
        <v>12.975</v>
      </c>
      <c r="D1227" s="130">
        <f t="shared" si="475"/>
        <v>13.665</v>
      </c>
      <c r="E1227" s="130">
        <f t="shared" si="475"/>
        <v>11.97</v>
      </c>
      <c r="F1227" s="130">
        <f t="shared" si="475"/>
        <v>12.99</v>
      </c>
      <c r="G1227" s="130">
        <f t="shared" si="475"/>
        <v>11.52</v>
      </c>
      <c r="H1227" s="130">
        <f t="shared" si="475"/>
        <v>14.775</v>
      </c>
      <c r="I1227" s="132">
        <f t="shared" si="475"/>
        <v>10.59</v>
      </c>
    </row>
    <row r="1228" hidden="1" outlineLevel="2">
      <c r="A1228" s="69" t="s">
        <v>149</v>
      </c>
      <c r="B1228" s="129">
        <f t="shared" ref="B1228:I1228" si="476">B1222*-10</f>
        <v>0</v>
      </c>
      <c r="C1228" s="130">
        <f t="shared" si="476"/>
        <v>0</v>
      </c>
      <c r="D1228" s="130">
        <f t="shared" si="476"/>
        <v>0</v>
      </c>
      <c r="E1228" s="130">
        <f t="shared" si="476"/>
        <v>0</v>
      </c>
      <c r="F1228" s="130">
        <f t="shared" si="476"/>
        <v>0</v>
      </c>
      <c r="G1228" s="130">
        <f t="shared" si="476"/>
        <v>0</v>
      </c>
      <c r="H1228" s="130">
        <f t="shared" si="476"/>
        <v>0</v>
      </c>
      <c r="I1228" s="132">
        <f t="shared" si="476"/>
        <v>0</v>
      </c>
    </row>
    <row r="1229" hidden="1" outlineLevel="2">
      <c r="A1229" s="142" t="s">
        <v>150</v>
      </c>
      <c r="B1229" s="129">
        <f t="shared" ref="B1229:I1229" si="477">B1224+B1225+B1226+B1227+B1228</f>
        <v>94.9902305</v>
      </c>
      <c r="C1229" s="130">
        <f t="shared" si="477"/>
        <v>101.6284489</v>
      </c>
      <c r="D1229" s="130">
        <f t="shared" si="477"/>
        <v>98.46401651</v>
      </c>
      <c r="E1229" s="130">
        <f t="shared" si="477"/>
        <v>99.42233396</v>
      </c>
      <c r="F1229" s="130">
        <f t="shared" si="477"/>
        <v>100.2865202</v>
      </c>
      <c r="G1229" s="130">
        <f t="shared" si="477"/>
        <v>99.92198711</v>
      </c>
      <c r="H1229" s="130">
        <f t="shared" si="477"/>
        <v>105.3472057</v>
      </c>
      <c r="I1229" s="132">
        <f t="shared" si="477"/>
        <v>93.17088235</v>
      </c>
    </row>
    <row r="1230" hidden="1" outlineLevel="2">
      <c r="A1230" s="54" t="s">
        <v>152</v>
      </c>
      <c r="B1230" s="58">
        <f t="shared" ref="B1230:I1230" si="478">B1229/100</f>
        <v>0.949902305</v>
      </c>
      <c r="C1230" s="61">
        <f t="shared" si="478"/>
        <v>1.016284489</v>
      </c>
      <c r="D1230" s="61">
        <f t="shared" si="478"/>
        <v>0.9846401651</v>
      </c>
      <c r="E1230" s="61">
        <f t="shared" si="478"/>
        <v>0.9942233396</v>
      </c>
      <c r="F1230" s="61">
        <f t="shared" si="478"/>
        <v>1.002865202</v>
      </c>
      <c r="G1230" s="61">
        <f t="shared" si="478"/>
        <v>0.9992198711</v>
      </c>
      <c r="H1230" s="61">
        <f t="shared" si="478"/>
        <v>1.053472057</v>
      </c>
      <c r="I1230" s="62">
        <f t="shared" si="478"/>
        <v>0.9317088235</v>
      </c>
    </row>
    <row r="1231" hidden="1" outlineLevel="2">
      <c r="A1231" s="127" t="s">
        <v>154</v>
      </c>
      <c r="B1231" s="349" t="s">
        <v>155</v>
      </c>
      <c r="C1231" s="350" t="s">
        <v>155</v>
      </c>
      <c r="D1231" s="350" t="s">
        <v>155</v>
      </c>
      <c r="E1231" s="350" t="s">
        <v>155</v>
      </c>
      <c r="F1231" s="350" t="s">
        <v>155</v>
      </c>
      <c r="G1231" s="350" t="s">
        <v>155</v>
      </c>
      <c r="H1231" s="350" t="s">
        <v>156</v>
      </c>
      <c r="I1231" s="350" t="s">
        <v>155</v>
      </c>
    </row>
    <row r="1232" hidden="1" outlineLevel="2">
      <c r="A1232" s="127" t="s">
        <v>158</v>
      </c>
      <c r="B1232" s="464"/>
      <c r="C1232" s="465"/>
      <c r="D1232" s="465"/>
      <c r="E1232" s="465"/>
      <c r="F1232" s="465"/>
      <c r="G1232" s="465"/>
      <c r="H1232" s="465"/>
      <c r="I1232" s="466"/>
    </row>
    <row r="1233" hidden="1" outlineLevel="1" collapsed="1">
      <c r="A1233" s="442"/>
      <c r="B1233" s="467" t="s">
        <v>427</v>
      </c>
      <c r="C1233" s="14"/>
      <c r="D1233" s="14"/>
      <c r="E1233" s="14"/>
      <c r="F1233" s="14"/>
      <c r="G1233" s="14"/>
      <c r="H1233" s="14"/>
      <c r="I1233" s="15"/>
    </row>
    <row r="1234" hidden="1" outlineLevel="2">
      <c r="A1234" s="482"/>
      <c r="B1234" s="483" t="s">
        <v>29</v>
      </c>
      <c r="C1234" s="484" t="s">
        <v>4</v>
      </c>
      <c r="D1234" s="484" t="s">
        <v>19</v>
      </c>
      <c r="E1234" s="484" t="s">
        <v>30</v>
      </c>
      <c r="F1234" s="484" t="s">
        <v>31</v>
      </c>
      <c r="G1234" s="484" t="s">
        <v>32</v>
      </c>
      <c r="H1234" s="485" t="s">
        <v>13</v>
      </c>
      <c r="I1234" s="486" t="s">
        <v>350</v>
      </c>
    </row>
    <row r="1235" hidden="1" outlineLevel="2">
      <c r="A1235" s="25" t="s">
        <v>36</v>
      </c>
      <c r="B1235" s="243" t="s">
        <v>427</v>
      </c>
      <c r="C1235" s="244"/>
      <c r="D1235" s="244"/>
      <c r="E1235" s="244"/>
      <c r="F1235" s="244"/>
      <c r="G1235" s="244"/>
      <c r="H1235" s="244"/>
      <c r="I1235" s="245"/>
    </row>
    <row r="1236" hidden="1" outlineLevel="2">
      <c r="A1236" s="32" t="s">
        <v>45</v>
      </c>
      <c r="B1236" s="448"/>
      <c r="C1236" s="2"/>
      <c r="D1236" s="2"/>
      <c r="E1236" s="2"/>
      <c r="F1236" s="2"/>
      <c r="G1236" s="2"/>
      <c r="H1236" s="2"/>
      <c r="I1236" s="36"/>
    </row>
    <row r="1237" hidden="1" outlineLevel="2">
      <c r="A1237" s="64" t="s">
        <v>49</v>
      </c>
      <c r="B1237" s="354">
        <v>50.0</v>
      </c>
      <c r="C1237" s="355">
        <v>35.46</v>
      </c>
      <c r="D1237" s="355">
        <v>47.11</v>
      </c>
      <c r="E1237" s="355">
        <v>46.0</v>
      </c>
      <c r="F1237" s="355">
        <v>47.45</v>
      </c>
      <c r="G1237" s="355">
        <v>45.21</v>
      </c>
      <c r="H1237" s="355">
        <v>47.21</v>
      </c>
      <c r="I1237" s="449">
        <v>40.0</v>
      </c>
    </row>
    <row r="1238" hidden="1" outlineLevel="2">
      <c r="A1238" s="69" t="s">
        <v>53</v>
      </c>
      <c r="B1238" s="51">
        <v>40.0</v>
      </c>
      <c r="C1238" s="51">
        <v>40.0</v>
      </c>
      <c r="D1238" s="51">
        <v>40.0</v>
      </c>
      <c r="E1238" s="51">
        <v>40.0</v>
      </c>
      <c r="F1238" s="51">
        <v>40.0</v>
      </c>
      <c r="G1238" s="51">
        <v>40.0</v>
      </c>
      <c r="H1238" s="51">
        <v>40.0</v>
      </c>
      <c r="I1238" s="346">
        <v>40.0</v>
      </c>
    </row>
    <row r="1239" hidden="1" outlineLevel="2">
      <c r="A1239" s="54" t="s">
        <v>57</v>
      </c>
      <c r="B1239" s="252">
        <f t="shared" ref="B1239:I1239" si="479">B1237/B1238</f>
        <v>1.25</v>
      </c>
      <c r="C1239" s="253">
        <f t="shared" si="479"/>
        <v>0.8865</v>
      </c>
      <c r="D1239" s="253">
        <f t="shared" si="479"/>
        <v>1.17775</v>
      </c>
      <c r="E1239" s="253">
        <f t="shared" si="479"/>
        <v>1.15</v>
      </c>
      <c r="F1239" s="253">
        <f t="shared" si="479"/>
        <v>1.18625</v>
      </c>
      <c r="G1239" s="253">
        <f t="shared" si="479"/>
        <v>1.13025</v>
      </c>
      <c r="H1239" s="253">
        <f t="shared" si="479"/>
        <v>1.18025</v>
      </c>
      <c r="I1239" s="256">
        <f t="shared" si="479"/>
        <v>1</v>
      </c>
    </row>
    <row r="1240" hidden="1" outlineLevel="2">
      <c r="A1240" s="32" t="s">
        <v>66</v>
      </c>
      <c r="B1240" s="448"/>
      <c r="C1240" s="2"/>
      <c r="D1240" s="2"/>
      <c r="E1240" s="2"/>
      <c r="F1240" s="2"/>
      <c r="G1240" s="2"/>
      <c r="H1240" s="2"/>
      <c r="I1240" s="36"/>
    </row>
    <row r="1241" hidden="1" outlineLevel="2">
      <c r="A1241" s="64" t="s">
        <v>67</v>
      </c>
      <c r="B1241" s="487">
        <v>40.0</v>
      </c>
      <c r="C1241" s="488">
        <v>40.0</v>
      </c>
      <c r="D1241" s="488">
        <v>40.0</v>
      </c>
      <c r="E1241" s="488">
        <v>40.0</v>
      </c>
      <c r="F1241" s="488">
        <v>40.0</v>
      </c>
      <c r="G1241" s="488">
        <v>40.0</v>
      </c>
      <c r="H1241" s="488">
        <v>40.0</v>
      </c>
      <c r="I1241" s="489">
        <v>40.0</v>
      </c>
    </row>
    <row r="1242" hidden="1" outlineLevel="2">
      <c r="A1242" s="69" t="s">
        <v>72</v>
      </c>
      <c r="B1242" s="186">
        <v>40.0</v>
      </c>
      <c r="C1242" s="187">
        <v>40.0</v>
      </c>
      <c r="D1242" s="187">
        <v>40.0</v>
      </c>
      <c r="E1242" s="187">
        <v>40.0</v>
      </c>
      <c r="F1242" s="187">
        <v>40.0</v>
      </c>
      <c r="G1242" s="187">
        <v>40.0</v>
      </c>
      <c r="H1242" s="187">
        <v>40.0</v>
      </c>
      <c r="I1242" s="188">
        <v>40.0</v>
      </c>
    </row>
    <row r="1243" hidden="1" outlineLevel="2">
      <c r="A1243" s="54" t="s">
        <v>74</v>
      </c>
      <c r="B1243" s="252">
        <f t="shared" ref="B1243:I1243" si="480">B1241/B1242</f>
        <v>1</v>
      </c>
      <c r="C1243" s="253">
        <f t="shared" si="480"/>
        <v>1</v>
      </c>
      <c r="D1243" s="253">
        <f t="shared" si="480"/>
        <v>1</v>
      </c>
      <c r="E1243" s="253">
        <f t="shared" si="480"/>
        <v>1</v>
      </c>
      <c r="F1243" s="253">
        <f t="shared" si="480"/>
        <v>1</v>
      </c>
      <c r="G1243" s="253">
        <f t="shared" si="480"/>
        <v>1</v>
      </c>
      <c r="H1243" s="253">
        <f t="shared" si="480"/>
        <v>1</v>
      </c>
      <c r="I1243" s="256">
        <f t="shared" si="480"/>
        <v>1</v>
      </c>
    </row>
    <row r="1244" hidden="1" outlineLevel="2">
      <c r="A1244" s="32" t="s">
        <v>75</v>
      </c>
      <c r="B1244" s="448"/>
      <c r="C1244" s="2"/>
      <c r="D1244" s="2"/>
      <c r="E1244" s="2"/>
      <c r="F1244" s="2"/>
      <c r="G1244" s="2"/>
      <c r="H1244" s="2"/>
      <c r="I1244" s="36"/>
    </row>
    <row r="1245" hidden="1" outlineLevel="2">
      <c r="A1245" s="64" t="s">
        <v>76</v>
      </c>
      <c r="B1245" s="185" t="s">
        <v>79</v>
      </c>
      <c r="C1245" s="78" t="s">
        <v>80</v>
      </c>
      <c r="D1245" s="78" t="s">
        <v>80</v>
      </c>
      <c r="E1245" s="78" t="s">
        <v>79</v>
      </c>
      <c r="F1245" s="78" t="s">
        <v>79</v>
      </c>
      <c r="G1245" s="78" t="s">
        <v>80</v>
      </c>
      <c r="H1245" s="78" t="s">
        <v>80</v>
      </c>
      <c r="I1245" s="79" t="s">
        <v>79</v>
      </c>
    </row>
    <row r="1246" hidden="1" outlineLevel="2">
      <c r="A1246" s="64" t="s">
        <v>81</v>
      </c>
      <c r="B1246" s="185" t="s">
        <v>83</v>
      </c>
      <c r="C1246" s="78" t="s">
        <v>85</v>
      </c>
      <c r="D1246" s="78" t="s">
        <v>83</v>
      </c>
      <c r="E1246" s="78" t="s">
        <v>85</v>
      </c>
      <c r="F1246" s="78" t="s">
        <v>83</v>
      </c>
      <c r="G1246" s="78" t="s">
        <v>85</v>
      </c>
      <c r="H1246" s="78" t="s">
        <v>85</v>
      </c>
      <c r="I1246" s="79" t="s">
        <v>85</v>
      </c>
    </row>
    <row r="1247" hidden="1" outlineLevel="2">
      <c r="A1247" s="64" t="s">
        <v>86</v>
      </c>
      <c r="B1247" s="194">
        <f>IF(B1237&lt;B1238,B1238,B1237) *
IF(B1245="AM",
    IF(B1246="Oricle",3.5,
    IF(B1246="Other Brands",3,
    IF(B1246="Oricle Prio",0.6,""))),
 IF(B1245="MID",
    IF(B1246="Oricle",2.5,
    IF(B1246="Other Brands",3,
    IF(B1246="Oricle Prio",0.6,""))),
 IF(B1245="GY",
    IF(B1246="Oricle",1,
    IF(B1246="Other Brands",1,
    IF(B1246="Oricle Prio",0.3,""))),"")))</f>
        <v>150</v>
      </c>
      <c r="C1247" s="204">
        <f>IF(C1237&lt;C1238,C1238,C1237) *
IF(C1245="AM",
    IF(C1246="Oricle",3,
    IF(C1246="Other Brands",4,
    IF(C1246="Oricle Prio",0.6,""))),
 IF(C1245="MID",
    IF(C1246="Oricle",2.5,
    IF(C1246="Other Brands",3,
    IF(C1246="Oricle Prio",0.6,""))),
 IF(C1245="GY",
    IF(C1246="Oricle",1,
    IF(C1246="Other Brands",1,
    IF(C1246="Oricle Prio",0.3,""))),"")))</f>
        <v>120</v>
      </c>
      <c r="D1247" s="204">
        <f t="shared" ref="D1247:F1247" si="481">IF(D1237&lt;D1238,D1238,D1237) *
IF(D1245="AM",
    IF(D1246="Oricle",3.5,
    IF(D1246="Other Brands",4,
    IF(D1246="Oricle Prio",0.6,""))),
 IF(D1245="MID",
    IF(D1246="Oricle",2.5,
    IF(D1246="Other Brands",3,
    IF(D1246="Oricle Prio",0.6,""))),
 IF(D1245="GY",
    IF(D1246="Oricle",1,
    IF(D1246="Other Brands",1,
    IF(D1246="Oricle Prio",0.3,""))),"")))</f>
        <v>188.44</v>
      </c>
      <c r="E1247" s="204">
        <f t="shared" si="481"/>
        <v>115</v>
      </c>
      <c r="F1247" s="204">
        <f t="shared" si="481"/>
        <v>142.35</v>
      </c>
      <c r="G1247" s="204">
        <f t="shared" ref="G1247:H1247" si="482">IF(G1237&lt;G1238,G1238,G1237) *
IF(G1245="AM",
    IF(G1246="Oricle",3,
    IF(G1246="Other Brands",4,
    IF(G1246="Oricle Prio",0.6,""))),
 IF(G1245="MID",
    IF(G1246="Oricle",2.5,
    IF(G1246="Other Brands",3,
    IF(G1246="Oricle Prio",0.6,""))),
 IF(G1245="GY",
    IF(G1246="Oricle",1,
    IF(G1246="Other Brands",1,
    IF(G1246="Oricle Prio",0.3,""))),"")))</f>
        <v>135.63</v>
      </c>
      <c r="H1247" s="204">
        <f t="shared" si="482"/>
        <v>141.63</v>
      </c>
      <c r="I1247" s="204">
        <f>IF(I1237&lt;I1238,I1238,I1237) *
IF(I1245="AM",
    IF(I1246="Oricle",3.5,
    IF(I1246="Other Brands",4,
    IF(I1246="Oricle Prio",0.6,""))),
 IF(I1245="MID",
    IF(I1246="Oricle",2.5,
    IF(I1246="Other Brands",3,
    IF(I1246="Oricle Prio",0.6,""))),
 IF(I1245="GY",
    IF(I1246="Oricle",1,
    IF(I1246="Other Brands",1,
    IF(I1246="Oricle Prio",0.3,""))),"")))</f>
        <v>100</v>
      </c>
    </row>
    <row r="1248" hidden="1" outlineLevel="2">
      <c r="A1248" s="64" t="s">
        <v>98</v>
      </c>
      <c r="B1248" s="457" t="s">
        <v>407</v>
      </c>
      <c r="C1248" s="458" t="s">
        <v>519</v>
      </c>
      <c r="D1248" s="458" t="s">
        <v>521</v>
      </c>
      <c r="E1248" s="458" t="s">
        <v>1252</v>
      </c>
      <c r="F1248" s="458" t="s">
        <v>407</v>
      </c>
      <c r="G1248" s="458" t="s">
        <v>202</v>
      </c>
      <c r="H1248" s="458" t="s">
        <v>441</v>
      </c>
      <c r="I1248" s="458" t="s">
        <v>913</v>
      </c>
    </row>
    <row r="1249" hidden="1" outlineLevel="2">
      <c r="A1249" s="64" t="s">
        <v>107</v>
      </c>
      <c r="B1249" s="457" t="s">
        <v>638</v>
      </c>
      <c r="C1249" s="458" t="s">
        <v>372</v>
      </c>
      <c r="D1249" s="458" t="s">
        <v>518</v>
      </c>
      <c r="E1249" s="458" t="s">
        <v>326</v>
      </c>
      <c r="F1249" s="458" t="s">
        <v>407</v>
      </c>
      <c r="G1249" s="458" t="s">
        <v>302</v>
      </c>
      <c r="H1249" s="458" t="s">
        <v>406</v>
      </c>
      <c r="I1249" s="458" t="s">
        <v>639</v>
      </c>
    </row>
    <row r="1250" hidden="1" outlineLevel="2">
      <c r="A1250" s="69" t="s">
        <v>115</v>
      </c>
      <c r="B1250" s="108">
        <f t="shared" ref="B1250:I1250" si="483">IF(B1248&gt;0,B1249/B1248,0)</f>
        <v>0.9787234043</v>
      </c>
      <c r="C1250" s="110">
        <f t="shared" si="483"/>
        <v>0.9736842105</v>
      </c>
      <c r="D1250" s="110">
        <f t="shared" si="483"/>
        <v>0.9813084112</v>
      </c>
      <c r="E1250" s="110">
        <f t="shared" si="483"/>
        <v>0.9453125</v>
      </c>
      <c r="F1250" s="110">
        <f t="shared" si="483"/>
        <v>1</v>
      </c>
      <c r="G1250" s="110">
        <f t="shared" si="483"/>
        <v>0.9269662921</v>
      </c>
      <c r="H1250" s="110">
        <f t="shared" si="483"/>
        <v>0.962962963</v>
      </c>
      <c r="I1250" s="111">
        <f t="shared" si="483"/>
        <v>0.9880952381</v>
      </c>
    </row>
    <row r="1251" hidden="1" outlineLevel="2">
      <c r="A1251" s="69" t="s">
        <v>119</v>
      </c>
      <c r="B1251" s="108">
        <f t="shared" ref="B1251:I1251" si="484">IF(B1247&gt;0,B1249/B1247,0)</f>
        <v>0.6133333333</v>
      </c>
      <c r="C1251" s="110">
        <f t="shared" si="484"/>
        <v>0.925</v>
      </c>
      <c r="D1251" s="110">
        <f t="shared" si="484"/>
        <v>0.5572065379</v>
      </c>
      <c r="E1251" s="110">
        <f t="shared" si="484"/>
        <v>1.052173913</v>
      </c>
      <c r="F1251" s="110">
        <f t="shared" si="484"/>
        <v>0.660344222</v>
      </c>
      <c r="G1251" s="110">
        <f t="shared" si="484"/>
        <v>1.216545012</v>
      </c>
      <c r="H1251" s="110">
        <f t="shared" si="484"/>
        <v>1.101461555</v>
      </c>
      <c r="I1251" s="111">
        <f t="shared" si="484"/>
        <v>0.83</v>
      </c>
    </row>
    <row r="1252" hidden="1" outlineLevel="2">
      <c r="A1252" s="116" t="s">
        <v>82</v>
      </c>
      <c r="B1252" s="252">
        <f t="shared" ref="B1252:I1252" si="485">average(B1250:B1251)</f>
        <v>0.7960283688</v>
      </c>
      <c r="C1252" s="253">
        <f t="shared" si="485"/>
        <v>0.9493421053</v>
      </c>
      <c r="D1252" s="253">
        <f t="shared" si="485"/>
        <v>0.7692574746</v>
      </c>
      <c r="E1252" s="253">
        <f t="shared" si="485"/>
        <v>0.9987432065</v>
      </c>
      <c r="F1252" s="253">
        <f t="shared" si="485"/>
        <v>0.830172111</v>
      </c>
      <c r="G1252" s="253">
        <f t="shared" si="485"/>
        <v>1.071755652</v>
      </c>
      <c r="H1252" s="253">
        <f t="shared" si="485"/>
        <v>1.032212259</v>
      </c>
      <c r="I1252" s="256">
        <f t="shared" si="485"/>
        <v>0.909047619</v>
      </c>
    </row>
    <row r="1253" hidden="1" outlineLevel="2">
      <c r="A1253" s="32" t="s">
        <v>121</v>
      </c>
      <c r="B1253" s="459"/>
      <c r="C1253" s="2"/>
      <c r="D1253" s="2"/>
      <c r="E1253" s="2"/>
      <c r="F1253" s="2"/>
      <c r="G1253" s="2"/>
      <c r="H1253" s="2"/>
      <c r="I1253" s="3"/>
    </row>
    <row r="1254" hidden="1" outlineLevel="2">
      <c r="A1254" s="64" t="s">
        <v>122</v>
      </c>
      <c r="B1254" s="354">
        <v>9.0</v>
      </c>
      <c r="C1254" s="355">
        <v>7.07</v>
      </c>
      <c r="D1254" s="355">
        <v>8.67</v>
      </c>
      <c r="E1254" s="355">
        <v>8.48</v>
      </c>
      <c r="F1254" s="355">
        <v>9.33</v>
      </c>
      <c r="G1254" s="355">
        <v>8.1</v>
      </c>
      <c r="H1254" s="355">
        <v>9.34</v>
      </c>
      <c r="I1254" s="355">
        <v>7.16</v>
      </c>
    </row>
    <row r="1255" hidden="1" outlineLevel="2">
      <c r="A1255" s="69" t="s">
        <v>128</v>
      </c>
      <c r="B1255" s="119">
        <v>10.0</v>
      </c>
      <c r="C1255" s="120">
        <v>10.0</v>
      </c>
      <c r="D1255" s="120">
        <v>10.0</v>
      </c>
      <c r="E1255" s="120">
        <v>10.0</v>
      </c>
      <c r="F1255" s="120">
        <v>10.0</v>
      </c>
      <c r="G1255" s="120">
        <v>10.0</v>
      </c>
      <c r="H1255" s="120">
        <v>10.0</v>
      </c>
      <c r="I1255" s="121">
        <v>10.0</v>
      </c>
    </row>
    <row r="1256" hidden="1" outlineLevel="2">
      <c r="A1256" s="54" t="s">
        <v>130</v>
      </c>
      <c r="B1256" s="252">
        <f t="shared" ref="B1256:I1256" si="486">IF(B1254=0,0,B1254/B1255)</f>
        <v>0.9</v>
      </c>
      <c r="C1256" s="253">
        <f t="shared" si="486"/>
        <v>0.707</v>
      </c>
      <c r="D1256" s="253">
        <f t="shared" si="486"/>
        <v>0.867</v>
      </c>
      <c r="E1256" s="253">
        <f t="shared" si="486"/>
        <v>0.848</v>
      </c>
      <c r="F1256" s="253">
        <f t="shared" si="486"/>
        <v>0.933</v>
      </c>
      <c r="G1256" s="253">
        <f t="shared" si="486"/>
        <v>0.81</v>
      </c>
      <c r="H1256" s="253">
        <f t="shared" si="486"/>
        <v>0.934</v>
      </c>
      <c r="I1256" s="256">
        <f t="shared" si="486"/>
        <v>0.716</v>
      </c>
    </row>
    <row r="1257" hidden="1" outlineLevel="2">
      <c r="A1257" s="32" t="s">
        <v>131</v>
      </c>
      <c r="B1257" s="448"/>
      <c r="C1257" s="2"/>
      <c r="D1257" s="2"/>
      <c r="E1257" s="2"/>
      <c r="F1257" s="2"/>
      <c r="G1257" s="2"/>
      <c r="H1257" s="2"/>
      <c r="I1257" s="36"/>
    </row>
    <row r="1258" hidden="1" outlineLevel="2">
      <c r="A1258" s="64" t="s">
        <v>132</v>
      </c>
      <c r="B1258" s="460"/>
      <c r="C1258" s="461"/>
      <c r="D1258" s="461"/>
      <c r="E1258" s="461"/>
      <c r="F1258" s="461"/>
      <c r="G1258" s="461"/>
      <c r="H1258" s="461"/>
      <c r="I1258" s="462"/>
    </row>
    <row r="1259" hidden="1" outlineLevel="2">
      <c r="A1259" s="127" t="s">
        <v>134</v>
      </c>
      <c r="B1259" s="448"/>
      <c r="C1259" s="2"/>
      <c r="D1259" s="2"/>
      <c r="E1259" s="2"/>
      <c r="F1259" s="2"/>
      <c r="G1259" s="2"/>
      <c r="H1259" s="2"/>
      <c r="I1259" s="36"/>
    </row>
    <row r="1260" hidden="1" outlineLevel="2">
      <c r="A1260" s="69" t="s">
        <v>136</v>
      </c>
      <c r="B1260" s="129">
        <f t="shared" ref="B1260:I1260" si="487">B1239*25</f>
        <v>31.25</v>
      </c>
      <c r="C1260" s="130">
        <f t="shared" si="487"/>
        <v>22.1625</v>
      </c>
      <c r="D1260" s="130">
        <f t="shared" si="487"/>
        <v>29.44375</v>
      </c>
      <c r="E1260" s="130">
        <f t="shared" si="487"/>
        <v>28.75</v>
      </c>
      <c r="F1260" s="130">
        <f t="shared" si="487"/>
        <v>29.65625</v>
      </c>
      <c r="G1260" s="130">
        <f t="shared" si="487"/>
        <v>28.25625</v>
      </c>
      <c r="H1260" s="130">
        <f t="shared" si="487"/>
        <v>29.50625</v>
      </c>
      <c r="I1260" s="132">
        <f t="shared" si="487"/>
        <v>25</v>
      </c>
    </row>
    <row r="1261" hidden="1" outlineLevel="2">
      <c r="A1261" s="69" t="s">
        <v>144</v>
      </c>
      <c r="B1261" s="129">
        <f t="shared" ref="B1261:I1261" si="488">B1243*35</f>
        <v>35</v>
      </c>
      <c r="C1261" s="130">
        <f t="shared" si="488"/>
        <v>35</v>
      </c>
      <c r="D1261" s="130">
        <f t="shared" si="488"/>
        <v>35</v>
      </c>
      <c r="E1261" s="130">
        <f t="shared" si="488"/>
        <v>35</v>
      </c>
      <c r="F1261" s="130">
        <f t="shared" si="488"/>
        <v>35</v>
      </c>
      <c r="G1261" s="130">
        <f t="shared" si="488"/>
        <v>35</v>
      </c>
      <c r="H1261" s="130">
        <f t="shared" si="488"/>
        <v>35</v>
      </c>
      <c r="I1261" s="132">
        <f t="shared" si="488"/>
        <v>35</v>
      </c>
    </row>
    <row r="1262" hidden="1" outlineLevel="2">
      <c r="A1262" s="69" t="s">
        <v>146</v>
      </c>
      <c r="B1262" s="129">
        <f t="shared" ref="B1262:I1262" si="489">IF(AND(B1243&lt;85%, B1252&gt;100%), 25, B1252*25)</f>
        <v>19.90070922</v>
      </c>
      <c r="C1262" s="130">
        <f t="shared" si="489"/>
        <v>23.73355263</v>
      </c>
      <c r="D1262" s="130">
        <f t="shared" si="489"/>
        <v>19.23143686</v>
      </c>
      <c r="E1262" s="130">
        <f t="shared" si="489"/>
        <v>24.96858016</v>
      </c>
      <c r="F1262" s="130">
        <f t="shared" si="489"/>
        <v>20.75430277</v>
      </c>
      <c r="G1262" s="130">
        <f t="shared" si="489"/>
        <v>26.7938913</v>
      </c>
      <c r="H1262" s="130">
        <f t="shared" si="489"/>
        <v>25.80530647</v>
      </c>
      <c r="I1262" s="132">
        <f t="shared" si="489"/>
        <v>22.72619048</v>
      </c>
    </row>
    <row r="1263" hidden="1" outlineLevel="2">
      <c r="A1263" s="69" t="s">
        <v>148</v>
      </c>
      <c r="B1263" s="129">
        <f t="shared" ref="B1263:I1263" si="490">B1256*15</f>
        <v>13.5</v>
      </c>
      <c r="C1263" s="130">
        <f t="shared" si="490"/>
        <v>10.605</v>
      </c>
      <c r="D1263" s="130">
        <f t="shared" si="490"/>
        <v>13.005</v>
      </c>
      <c r="E1263" s="130">
        <f t="shared" si="490"/>
        <v>12.72</v>
      </c>
      <c r="F1263" s="130">
        <f t="shared" si="490"/>
        <v>13.995</v>
      </c>
      <c r="G1263" s="130">
        <f t="shared" si="490"/>
        <v>12.15</v>
      </c>
      <c r="H1263" s="130">
        <f t="shared" si="490"/>
        <v>14.01</v>
      </c>
      <c r="I1263" s="132">
        <f t="shared" si="490"/>
        <v>10.74</v>
      </c>
    </row>
    <row r="1264" hidden="1" outlineLevel="2">
      <c r="A1264" s="69" t="s">
        <v>149</v>
      </c>
      <c r="B1264" s="129">
        <f t="shared" ref="B1264:I1264" si="491">B1258*-10</f>
        <v>0</v>
      </c>
      <c r="C1264" s="130">
        <f t="shared" si="491"/>
        <v>0</v>
      </c>
      <c r="D1264" s="130">
        <f t="shared" si="491"/>
        <v>0</v>
      </c>
      <c r="E1264" s="130">
        <f t="shared" si="491"/>
        <v>0</v>
      </c>
      <c r="F1264" s="130">
        <f t="shared" si="491"/>
        <v>0</v>
      </c>
      <c r="G1264" s="130">
        <f t="shared" si="491"/>
        <v>0</v>
      </c>
      <c r="H1264" s="130">
        <f t="shared" si="491"/>
        <v>0</v>
      </c>
      <c r="I1264" s="132">
        <f t="shared" si="491"/>
        <v>0</v>
      </c>
    </row>
    <row r="1265" hidden="1" outlineLevel="2">
      <c r="A1265" s="142" t="s">
        <v>150</v>
      </c>
      <c r="B1265" s="129">
        <f t="shared" ref="B1265:I1265" si="492">B1260+B1261+B1262+B1263+B1264</f>
        <v>99.65070922</v>
      </c>
      <c r="C1265" s="130">
        <f t="shared" si="492"/>
        <v>91.50105263</v>
      </c>
      <c r="D1265" s="130">
        <f t="shared" si="492"/>
        <v>96.68018686</v>
      </c>
      <c r="E1265" s="130">
        <f t="shared" si="492"/>
        <v>101.4385802</v>
      </c>
      <c r="F1265" s="130">
        <f t="shared" si="492"/>
        <v>99.40555277</v>
      </c>
      <c r="G1265" s="130">
        <f t="shared" si="492"/>
        <v>102.2001413</v>
      </c>
      <c r="H1265" s="130">
        <f t="shared" si="492"/>
        <v>104.3215565</v>
      </c>
      <c r="I1265" s="132">
        <f t="shared" si="492"/>
        <v>93.46619048</v>
      </c>
    </row>
    <row r="1266" hidden="1" outlineLevel="2">
      <c r="A1266" s="54" t="s">
        <v>152</v>
      </c>
      <c r="B1266" s="58">
        <f t="shared" ref="B1266:I1266" si="493">B1265/100</f>
        <v>0.9965070922</v>
      </c>
      <c r="C1266" s="61">
        <f t="shared" si="493"/>
        <v>0.9150105263</v>
      </c>
      <c r="D1266" s="61">
        <f t="shared" si="493"/>
        <v>0.9668018686</v>
      </c>
      <c r="E1266" s="61">
        <f t="shared" si="493"/>
        <v>1.014385802</v>
      </c>
      <c r="F1266" s="61">
        <f t="shared" si="493"/>
        <v>0.9940555277</v>
      </c>
      <c r="G1266" s="61">
        <f t="shared" si="493"/>
        <v>1.022001413</v>
      </c>
      <c r="H1266" s="61">
        <f t="shared" si="493"/>
        <v>1.043215565</v>
      </c>
      <c r="I1266" s="62">
        <f t="shared" si="493"/>
        <v>0.9346619048</v>
      </c>
    </row>
    <row r="1267" hidden="1" outlineLevel="2">
      <c r="A1267" s="127" t="s">
        <v>154</v>
      </c>
      <c r="B1267" s="349" t="s">
        <v>155</v>
      </c>
      <c r="C1267" s="350" t="s">
        <v>155</v>
      </c>
      <c r="D1267" s="350" t="s">
        <v>155</v>
      </c>
      <c r="E1267" s="350" t="s">
        <v>155</v>
      </c>
      <c r="F1267" s="350" t="s">
        <v>155</v>
      </c>
      <c r="G1267" s="350" t="s">
        <v>155</v>
      </c>
      <c r="H1267" s="350" t="s">
        <v>156</v>
      </c>
      <c r="I1267" s="350" t="s">
        <v>155</v>
      </c>
    </row>
    <row r="1268" hidden="1" outlineLevel="2">
      <c r="A1268" s="127" t="s">
        <v>158</v>
      </c>
      <c r="B1268" s="464"/>
      <c r="C1268" s="465"/>
      <c r="D1268" s="465"/>
      <c r="E1268" s="465"/>
      <c r="F1268" s="465"/>
      <c r="G1268" s="465"/>
      <c r="H1268" s="465"/>
      <c r="I1268" s="466"/>
    </row>
    <row r="1269" hidden="1" outlineLevel="1">
      <c r="A1269" s="442"/>
      <c r="B1269" s="467" t="s">
        <v>1584</v>
      </c>
      <c r="C1269" s="14"/>
      <c r="D1269" s="14"/>
      <c r="E1269" s="14"/>
      <c r="F1269" s="14"/>
      <c r="G1269" s="14"/>
      <c r="H1269" s="14"/>
      <c r="I1269" s="15"/>
    </row>
    <row r="1270" hidden="1" outlineLevel="1">
      <c r="A1270" s="482"/>
      <c r="B1270" s="483" t="s">
        <v>29</v>
      </c>
      <c r="C1270" s="484" t="s">
        <v>4</v>
      </c>
      <c r="D1270" s="484" t="s">
        <v>19</v>
      </c>
      <c r="E1270" s="484" t="s">
        <v>30</v>
      </c>
      <c r="F1270" s="484" t="s">
        <v>31</v>
      </c>
      <c r="G1270" s="484" t="s">
        <v>32</v>
      </c>
      <c r="H1270" s="485" t="s">
        <v>13</v>
      </c>
      <c r="I1270" s="486" t="s">
        <v>350</v>
      </c>
    </row>
    <row r="1271" hidden="1" outlineLevel="1">
      <c r="A1271" s="25" t="s">
        <v>36</v>
      </c>
      <c r="B1271" s="243" t="s">
        <v>1584</v>
      </c>
      <c r="C1271" s="244"/>
      <c r="D1271" s="244"/>
      <c r="E1271" s="244"/>
      <c r="F1271" s="244"/>
      <c r="G1271" s="244"/>
      <c r="H1271" s="244"/>
      <c r="I1271" s="245"/>
    </row>
    <row r="1272" hidden="1" outlineLevel="1">
      <c r="A1272" s="32" t="s">
        <v>45</v>
      </c>
      <c r="B1272" s="448"/>
      <c r="C1272" s="2"/>
      <c r="D1272" s="2"/>
      <c r="E1272" s="2"/>
      <c r="F1272" s="2"/>
      <c r="G1272" s="2"/>
      <c r="H1272" s="2"/>
      <c r="I1272" s="36"/>
    </row>
    <row r="1273" hidden="1" outlineLevel="1">
      <c r="A1273" s="64" t="s">
        <v>49</v>
      </c>
      <c r="B1273" s="354">
        <v>44.0</v>
      </c>
      <c r="C1273" s="355"/>
      <c r="D1273" s="355">
        <v>46.05</v>
      </c>
      <c r="E1273" s="355">
        <v>48.0</v>
      </c>
      <c r="F1273" s="355">
        <v>46.18</v>
      </c>
      <c r="G1273" s="355">
        <v>44.59</v>
      </c>
      <c r="H1273" s="355">
        <v>36.0</v>
      </c>
      <c r="I1273" s="449">
        <v>40.0</v>
      </c>
    </row>
    <row r="1274" hidden="1" outlineLevel="1">
      <c r="A1274" s="69" t="s">
        <v>53</v>
      </c>
      <c r="B1274" s="51">
        <v>40.0</v>
      </c>
      <c r="C1274" s="51">
        <v>40.0</v>
      </c>
      <c r="D1274" s="51">
        <v>40.0</v>
      </c>
      <c r="E1274" s="51">
        <v>40.0</v>
      </c>
      <c r="F1274" s="51">
        <v>40.0</v>
      </c>
      <c r="G1274" s="51">
        <v>40.0</v>
      </c>
      <c r="H1274" s="51">
        <v>40.0</v>
      </c>
      <c r="I1274" s="346">
        <v>40.0</v>
      </c>
    </row>
    <row r="1275" hidden="1" outlineLevel="1">
      <c r="A1275" s="54" t="s">
        <v>57</v>
      </c>
      <c r="B1275" s="252">
        <f t="shared" ref="B1275:I1275" si="494">B1273/B1274</f>
        <v>1.1</v>
      </c>
      <c r="C1275" s="253">
        <f t="shared" si="494"/>
        <v>0</v>
      </c>
      <c r="D1275" s="253">
        <f t="shared" si="494"/>
        <v>1.15125</v>
      </c>
      <c r="E1275" s="253">
        <f t="shared" si="494"/>
        <v>1.2</v>
      </c>
      <c r="F1275" s="253">
        <f t="shared" si="494"/>
        <v>1.1545</v>
      </c>
      <c r="G1275" s="253">
        <f t="shared" si="494"/>
        <v>1.11475</v>
      </c>
      <c r="H1275" s="253">
        <f t="shared" si="494"/>
        <v>0.9</v>
      </c>
      <c r="I1275" s="256">
        <f t="shared" si="494"/>
        <v>1</v>
      </c>
    </row>
    <row r="1276" hidden="1" outlineLevel="1">
      <c r="A1276" s="32" t="s">
        <v>66</v>
      </c>
      <c r="B1276" s="448"/>
      <c r="C1276" s="2"/>
      <c r="D1276" s="2"/>
      <c r="E1276" s="2"/>
      <c r="F1276" s="2"/>
      <c r="G1276" s="2"/>
      <c r="H1276" s="2"/>
      <c r="I1276" s="36"/>
    </row>
    <row r="1277" hidden="1" outlineLevel="1">
      <c r="A1277" s="64" t="s">
        <v>67</v>
      </c>
      <c r="B1277" s="487">
        <v>40.0</v>
      </c>
      <c r="C1277" s="488"/>
      <c r="D1277" s="488">
        <v>40.0</v>
      </c>
      <c r="E1277" s="488">
        <v>40.0</v>
      </c>
      <c r="F1277" s="488">
        <v>40.0</v>
      </c>
      <c r="G1277" s="488">
        <v>40.0</v>
      </c>
      <c r="H1277" s="488">
        <v>40.0</v>
      </c>
      <c r="I1277" s="489">
        <v>40.0</v>
      </c>
    </row>
    <row r="1278" hidden="1" outlineLevel="1">
      <c r="A1278" s="69" t="s">
        <v>72</v>
      </c>
      <c r="B1278" s="186">
        <v>40.0</v>
      </c>
      <c r="C1278" s="187">
        <v>40.0</v>
      </c>
      <c r="D1278" s="187">
        <v>40.0</v>
      </c>
      <c r="E1278" s="187">
        <v>40.0</v>
      </c>
      <c r="F1278" s="187">
        <v>40.0</v>
      </c>
      <c r="G1278" s="187">
        <v>40.0</v>
      </c>
      <c r="H1278" s="187">
        <v>40.0</v>
      </c>
      <c r="I1278" s="188">
        <v>40.0</v>
      </c>
    </row>
    <row r="1279" hidden="1" outlineLevel="1">
      <c r="A1279" s="54" t="s">
        <v>74</v>
      </c>
      <c r="B1279" s="252">
        <f t="shared" ref="B1279:I1279" si="495">B1277/B1278</f>
        <v>1</v>
      </c>
      <c r="C1279" s="253">
        <f t="shared" si="495"/>
        <v>0</v>
      </c>
      <c r="D1279" s="253">
        <f t="shared" si="495"/>
        <v>1</v>
      </c>
      <c r="E1279" s="253">
        <f t="shared" si="495"/>
        <v>1</v>
      </c>
      <c r="F1279" s="253">
        <f t="shared" si="495"/>
        <v>1</v>
      </c>
      <c r="G1279" s="253">
        <f t="shared" si="495"/>
        <v>1</v>
      </c>
      <c r="H1279" s="253">
        <f t="shared" si="495"/>
        <v>1</v>
      </c>
      <c r="I1279" s="256">
        <f t="shared" si="495"/>
        <v>1</v>
      </c>
    </row>
    <row r="1280" hidden="1" outlineLevel="1">
      <c r="A1280" s="32" t="s">
        <v>75</v>
      </c>
      <c r="B1280" s="448"/>
      <c r="C1280" s="2"/>
      <c r="D1280" s="2"/>
      <c r="E1280" s="2"/>
      <c r="F1280" s="2"/>
      <c r="G1280" s="2"/>
      <c r="H1280" s="2"/>
      <c r="I1280" s="36"/>
    </row>
    <row r="1281" hidden="1" outlineLevel="1">
      <c r="A1281" s="64" t="s">
        <v>76</v>
      </c>
      <c r="B1281" s="185" t="s">
        <v>79</v>
      </c>
      <c r="C1281" s="78" t="s">
        <v>80</v>
      </c>
      <c r="D1281" s="78" t="s">
        <v>80</v>
      </c>
      <c r="E1281" s="78" t="s">
        <v>79</v>
      </c>
      <c r="F1281" s="78" t="s">
        <v>79</v>
      </c>
      <c r="G1281" s="78" t="s">
        <v>80</v>
      </c>
      <c r="H1281" s="78" t="s">
        <v>80</v>
      </c>
      <c r="I1281" s="79" t="s">
        <v>79</v>
      </c>
    </row>
    <row r="1282" hidden="1" outlineLevel="1">
      <c r="A1282" s="64" t="s">
        <v>81</v>
      </c>
      <c r="B1282" s="185" t="s">
        <v>83</v>
      </c>
      <c r="C1282" s="78" t="s">
        <v>85</v>
      </c>
      <c r="D1282" s="78" t="s">
        <v>83</v>
      </c>
      <c r="E1282" s="78" t="s">
        <v>85</v>
      </c>
      <c r="F1282" s="78" t="s">
        <v>83</v>
      </c>
      <c r="G1282" s="78" t="s">
        <v>85</v>
      </c>
      <c r="H1282" s="78" t="s">
        <v>85</v>
      </c>
      <c r="I1282" s="79" t="s">
        <v>85</v>
      </c>
    </row>
    <row r="1283" hidden="1" outlineLevel="1">
      <c r="A1283" s="64" t="s">
        <v>86</v>
      </c>
      <c r="B1283" s="194">
        <f>IF(B1273&lt;B1274,B1274,B1273) *
IF(B1281="AM",
    IF(B1282="Oricle",3.5,
    IF(B1282="Other Brands",3,
    IF(B1282="Oricle Prio",0.6,""))),
 IF(B1281="MID",
    IF(B1282="Oricle",2.5,
    IF(B1282="Other Brands",3,
    IF(B1282="Oricle Prio",0.6,""))),
 IF(B1281="GY",
    IF(B1282="Oricle",1,
    IF(B1282="Other Brands",1,
    IF(B1282="Oricle Prio",0.3,""))),"")))</f>
        <v>132</v>
      </c>
      <c r="C1283" s="204">
        <f>IF(C1273&lt;C1274,C1274,C1273) *
IF(C1281="AM",
    IF(C1282="Oricle",3,
    IF(C1282="Other Brands",4,
    IF(C1282="Oricle Prio",0.6,""))),
 IF(C1281="MID",
    IF(C1282="Oricle",2.5,
    IF(C1282="Other Brands",3,
    IF(C1282="Oricle Prio",0.6,""))),
 IF(C1281="GY",
    IF(C1282="Oricle",1,
    IF(C1282="Other Brands",1,
    IF(C1282="Oricle Prio",0.3,""))),"")))</f>
        <v>120</v>
      </c>
      <c r="D1283" s="204">
        <f t="shared" ref="D1283:F1283" si="496">IF(D1273&lt;D1274,D1274,D1273) *
IF(D1281="AM",
    IF(D1282="Oricle",3.5,
    IF(D1282="Other Brands",4,
    IF(D1282="Oricle Prio",0.6,""))),
 IF(D1281="MID",
    IF(D1282="Oricle",2.5,
    IF(D1282="Other Brands",3,
    IF(D1282="Oricle Prio",0.6,""))),
 IF(D1281="GY",
    IF(D1282="Oricle",1,
    IF(D1282="Other Brands",1,
    IF(D1282="Oricle Prio",0.3,""))),"")))</f>
        <v>184.2</v>
      </c>
      <c r="E1283" s="204">
        <f t="shared" si="496"/>
        <v>120</v>
      </c>
      <c r="F1283" s="204">
        <f t="shared" si="496"/>
        <v>138.54</v>
      </c>
      <c r="G1283" s="204">
        <f t="shared" ref="G1283:H1283" si="497">IF(G1273&lt;G1274,G1274,G1273) *
IF(G1281="AM",
    IF(G1282="Oricle",3,
    IF(G1282="Other Brands",4,
    IF(G1282="Oricle Prio",0.6,""))),
 IF(G1281="MID",
    IF(G1282="Oricle",2.5,
    IF(G1282="Other Brands",3,
    IF(G1282="Oricle Prio",0.6,""))),
 IF(G1281="GY",
    IF(G1282="Oricle",1,
    IF(G1282="Other Brands",1,
    IF(G1282="Oricle Prio",0.3,""))),"")))</f>
        <v>133.77</v>
      </c>
      <c r="H1283" s="204">
        <f t="shared" si="497"/>
        <v>120</v>
      </c>
      <c r="I1283" s="204">
        <f>IF(I1273&lt;I1274,I1274,I1273) *
IF(I1281="AM",
    IF(I1282="Oricle",3.5,
    IF(I1282="Other Brands",4,
    IF(I1282="Oricle Prio",0.6,""))),
 IF(I1281="MID",
    IF(I1282="Oricle",2.5,
    IF(I1282="Other Brands",3,
    IF(I1282="Oricle Prio",0.6,""))),
 IF(I1281="GY",
    IF(I1282="Oricle",1,
    IF(I1282="Other Brands",1,
    IF(I1282="Oricle Prio",0.3,""))),"")))</f>
        <v>100</v>
      </c>
    </row>
    <row r="1284" hidden="1" outlineLevel="1">
      <c r="A1284" s="64" t="s">
        <v>98</v>
      </c>
      <c r="B1284" s="457" t="s">
        <v>638</v>
      </c>
      <c r="C1284" s="458"/>
      <c r="D1284" s="458" t="s">
        <v>519</v>
      </c>
      <c r="E1284" s="458" t="s">
        <v>200</v>
      </c>
      <c r="F1284" s="458" t="s">
        <v>442</v>
      </c>
      <c r="G1284" s="458" t="s">
        <v>302</v>
      </c>
      <c r="H1284" s="458" t="s">
        <v>110</v>
      </c>
      <c r="I1284" s="458" t="s">
        <v>688</v>
      </c>
    </row>
    <row r="1285" hidden="1" outlineLevel="1">
      <c r="A1285" s="64" t="s">
        <v>107</v>
      </c>
      <c r="B1285" s="457" t="s">
        <v>638</v>
      </c>
      <c r="C1285" s="458"/>
      <c r="D1285" s="458" t="s">
        <v>442</v>
      </c>
      <c r="E1285" s="458" t="s">
        <v>332</v>
      </c>
      <c r="F1285" s="458" t="s">
        <v>301</v>
      </c>
      <c r="G1285" s="458" t="s">
        <v>257</v>
      </c>
      <c r="H1285" s="458" t="s">
        <v>329</v>
      </c>
      <c r="I1285" s="458" t="s">
        <v>203</v>
      </c>
    </row>
    <row r="1286" hidden="1" outlineLevel="1">
      <c r="A1286" s="69" t="s">
        <v>115</v>
      </c>
      <c r="B1286" s="108">
        <f t="shared" ref="B1286:I1286" si="498">IF(B1284&gt;0,B1285/B1284,0)</f>
        <v>1</v>
      </c>
      <c r="C1286" s="110">
        <f t="shared" si="498"/>
        <v>0</v>
      </c>
      <c r="D1286" s="110">
        <f t="shared" si="498"/>
        <v>0.9649122807</v>
      </c>
      <c r="E1286" s="110">
        <f t="shared" si="498"/>
        <v>0.9461538462</v>
      </c>
      <c r="F1286" s="110">
        <f t="shared" si="498"/>
        <v>0.9636363636</v>
      </c>
      <c r="G1286" s="110">
        <f t="shared" si="498"/>
        <v>0.9757575758</v>
      </c>
      <c r="H1286" s="110">
        <f t="shared" si="498"/>
        <v>0.9694656489</v>
      </c>
      <c r="I1286" s="111">
        <f t="shared" si="498"/>
        <v>0.989010989</v>
      </c>
    </row>
    <row r="1287" hidden="1" outlineLevel="1">
      <c r="A1287" s="69" t="s">
        <v>119</v>
      </c>
      <c r="B1287" s="108">
        <f t="shared" ref="B1287:I1287" si="499">IF(B1283&gt;0,B1285/B1283,0)</f>
        <v>0.696969697</v>
      </c>
      <c r="C1287" s="110">
        <f t="shared" si="499"/>
        <v>0</v>
      </c>
      <c r="D1287" s="110">
        <f t="shared" si="499"/>
        <v>0.5971769815</v>
      </c>
      <c r="E1287" s="110">
        <f t="shared" si="499"/>
        <v>1.025</v>
      </c>
      <c r="F1287" s="110">
        <f t="shared" si="499"/>
        <v>0.7651219864</v>
      </c>
      <c r="G1287" s="110">
        <f t="shared" si="499"/>
        <v>1.203558346</v>
      </c>
      <c r="H1287" s="110">
        <f t="shared" si="499"/>
        <v>1.058333333</v>
      </c>
      <c r="I1287" s="111">
        <f t="shared" si="499"/>
        <v>0.9</v>
      </c>
    </row>
    <row r="1288" hidden="1" outlineLevel="1">
      <c r="A1288" s="116" t="s">
        <v>82</v>
      </c>
      <c r="B1288" s="252">
        <f t="shared" ref="B1288:I1288" si="500">average(B1286:B1287)</f>
        <v>0.8484848485</v>
      </c>
      <c r="C1288" s="253">
        <f t="shared" si="500"/>
        <v>0</v>
      </c>
      <c r="D1288" s="253">
        <f t="shared" si="500"/>
        <v>0.7810446311</v>
      </c>
      <c r="E1288" s="253">
        <f t="shared" si="500"/>
        <v>0.9855769231</v>
      </c>
      <c r="F1288" s="253">
        <f t="shared" si="500"/>
        <v>0.864379175</v>
      </c>
      <c r="G1288" s="253">
        <f t="shared" si="500"/>
        <v>1.089657961</v>
      </c>
      <c r="H1288" s="253">
        <f t="shared" si="500"/>
        <v>1.013899491</v>
      </c>
      <c r="I1288" s="256">
        <f t="shared" si="500"/>
        <v>0.9445054945</v>
      </c>
    </row>
    <row r="1289" hidden="1" outlineLevel="1">
      <c r="A1289" s="32" t="s">
        <v>121</v>
      </c>
      <c r="B1289" s="459"/>
      <c r="C1289" s="2"/>
      <c r="D1289" s="2"/>
      <c r="E1289" s="2"/>
      <c r="F1289" s="2"/>
      <c r="G1289" s="2"/>
      <c r="H1289" s="2"/>
      <c r="I1289" s="3"/>
    </row>
    <row r="1290" hidden="1" outlineLevel="1">
      <c r="A1290" s="64" t="s">
        <v>122</v>
      </c>
      <c r="B1290" s="354">
        <v>9.33</v>
      </c>
      <c r="C1290" s="355"/>
      <c r="D1290" s="355">
        <v>9.36</v>
      </c>
      <c r="E1290" s="355">
        <v>8.27</v>
      </c>
      <c r="F1290" s="355">
        <v>9.66</v>
      </c>
      <c r="G1290" s="355">
        <v>8.2</v>
      </c>
      <c r="H1290" s="355">
        <v>8.12</v>
      </c>
      <c r="I1290" s="355">
        <v>7.75</v>
      </c>
    </row>
    <row r="1291" hidden="1" outlineLevel="1">
      <c r="A1291" s="69" t="s">
        <v>128</v>
      </c>
      <c r="B1291" s="119">
        <v>10.0</v>
      </c>
      <c r="C1291" s="120">
        <v>10.0</v>
      </c>
      <c r="D1291" s="120">
        <v>10.0</v>
      </c>
      <c r="E1291" s="120">
        <v>10.0</v>
      </c>
      <c r="F1291" s="120">
        <v>10.0</v>
      </c>
      <c r="G1291" s="120">
        <v>10.0</v>
      </c>
      <c r="H1291" s="120">
        <v>10.0</v>
      </c>
      <c r="I1291" s="121">
        <v>10.0</v>
      </c>
    </row>
    <row r="1292" hidden="1" outlineLevel="1">
      <c r="A1292" s="54" t="s">
        <v>130</v>
      </c>
      <c r="B1292" s="252">
        <f t="shared" ref="B1292:I1292" si="501">IF(B1290=0,0,B1290/B1291)</f>
        <v>0.933</v>
      </c>
      <c r="C1292" s="253">
        <f t="shared" si="501"/>
        <v>0</v>
      </c>
      <c r="D1292" s="253">
        <f t="shared" si="501"/>
        <v>0.936</v>
      </c>
      <c r="E1292" s="253">
        <f t="shared" si="501"/>
        <v>0.827</v>
      </c>
      <c r="F1292" s="253">
        <f t="shared" si="501"/>
        <v>0.966</v>
      </c>
      <c r="G1292" s="253">
        <f t="shared" si="501"/>
        <v>0.82</v>
      </c>
      <c r="H1292" s="253">
        <f t="shared" si="501"/>
        <v>0.812</v>
      </c>
      <c r="I1292" s="256">
        <f t="shared" si="501"/>
        <v>0.775</v>
      </c>
    </row>
    <row r="1293" hidden="1" outlineLevel="1">
      <c r="A1293" s="32" t="s">
        <v>131</v>
      </c>
      <c r="B1293" s="448"/>
      <c r="C1293" s="2"/>
      <c r="D1293" s="2"/>
      <c r="E1293" s="2"/>
      <c r="F1293" s="2"/>
      <c r="G1293" s="2"/>
      <c r="H1293" s="2"/>
      <c r="I1293" s="36"/>
    </row>
    <row r="1294" hidden="1" outlineLevel="1">
      <c r="A1294" s="64" t="s">
        <v>132</v>
      </c>
      <c r="B1294" s="460"/>
      <c r="C1294" s="461"/>
      <c r="D1294" s="461"/>
      <c r="E1294" s="461"/>
      <c r="F1294" s="461"/>
      <c r="G1294" s="461"/>
      <c r="H1294" s="461"/>
      <c r="I1294" s="462"/>
    </row>
    <row r="1295" hidden="1" outlineLevel="1">
      <c r="A1295" s="127" t="s">
        <v>134</v>
      </c>
      <c r="B1295" s="448"/>
      <c r="C1295" s="2"/>
      <c r="D1295" s="2"/>
      <c r="E1295" s="2"/>
      <c r="F1295" s="2"/>
      <c r="G1295" s="2"/>
      <c r="H1295" s="2"/>
      <c r="I1295" s="36"/>
    </row>
    <row r="1296" hidden="1" outlineLevel="1">
      <c r="A1296" s="69" t="s">
        <v>136</v>
      </c>
      <c r="B1296" s="129">
        <f t="shared" ref="B1296:I1296" si="502">B1275*25</f>
        <v>27.5</v>
      </c>
      <c r="C1296" s="130">
        <f t="shared" si="502"/>
        <v>0</v>
      </c>
      <c r="D1296" s="130">
        <f t="shared" si="502"/>
        <v>28.78125</v>
      </c>
      <c r="E1296" s="130">
        <f t="shared" si="502"/>
        <v>30</v>
      </c>
      <c r="F1296" s="130">
        <f t="shared" si="502"/>
        <v>28.8625</v>
      </c>
      <c r="G1296" s="130">
        <f t="shared" si="502"/>
        <v>27.86875</v>
      </c>
      <c r="H1296" s="130">
        <f t="shared" si="502"/>
        <v>22.5</v>
      </c>
      <c r="I1296" s="132">
        <f t="shared" si="502"/>
        <v>25</v>
      </c>
    </row>
    <row r="1297" hidden="1" outlineLevel="1">
      <c r="A1297" s="69" t="s">
        <v>144</v>
      </c>
      <c r="B1297" s="129">
        <f t="shared" ref="B1297:I1297" si="503">B1279*35</f>
        <v>35</v>
      </c>
      <c r="C1297" s="130">
        <f t="shared" si="503"/>
        <v>0</v>
      </c>
      <c r="D1297" s="130">
        <f t="shared" si="503"/>
        <v>35</v>
      </c>
      <c r="E1297" s="130">
        <f t="shared" si="503"/>
        <v>35</v>
      </c>
      <c r="F1297" s="130">
        <f t="shared" si="503"/>
        <v>35</v>
      </c>
      <c r="G1297" s="130">
        <f t="shared" si="503"/>
        <v>35</v>
      </c>
      <c r="H1297" s="130">
        <f t="shared" si="503"/>
        <v>35</v>
      </c>
      <c r="I1297" s="132">
        <f t="shared" si="503"/>
        <v>35</v>
      </c>
    </row>
    <row r="1298" hidden="1" outlineLevel="1">
      <c r="A1298" s="69" t="s">
        <v>146</v>
      </c>
      <c r="B1298" s="129">
        <f t="shared" ref="B1298:I1298" si="504">IF(AND(B1279&lt;85%, B1288&gt;100%), 25, B1288*25)</f>
        <v>21.21212121</v>
      </c>
      <c r="C1298" s="130">
        <f t="shared" si="504"/>
        <v>0</v>
      </c>
      <c r="D1298" s="130">
        <f t="shared" si="504"/>
        <v>19.52611578</v>
      </c>
      <c r="E1298" s="130">
        <f t="shared" si="504"/>
        <v>24.63942308</v>
      </c>
      <c r="F1298" s="130">
        <f t="shared" si="504"/>
        <v>21.60947938</v>
      </c>
      <c r="G1298" s="130">
        <f t="shared" si="504"/>
        <v>27.24144903</v>
      </c>
      <c r="H1298" s="130">
        <f t="shared" si="504"/>
        <v>25.34748728</v>
      </c>
      <c r="I1298" s="132">
        <f t="shared" si="504"/>
        <v>23.61263736</v>
      </c>
    </row>
    <row r="1299" hidden="1" outlineLevel="1">
      <c r="A1299" s="69" t="s">
        <v>148</v>
      </c>
      <c r="B1299" s="129">
        <f t="shared" ref="B1299:I1299" si="505">B1292*15</f>
        <v>13.995</v>
      </c>
      <c r="C1299" s="130">
        <f t="shared" si="505"/>
        <v>0</v>
      </c>
      <c r="D1299" s="130">
        <f t="shared" si="505"/>
        <v>14.04</v>
      </c>
      <c r="E1299" s="130">
        <f t="shared" si="505"/>
        <v>12.405</v>
      </c>
      <c r="F1299" s="130">
        <f t="shared" si="505"/>
        <v>14.49</v>
      </c>
      <c r="G1299" s="130">
        <f t="shared" si="505"/>
        <v>12.3</v>
      </c>
      <c r="H1299" s="130">
        <f t="shared" si="505"/>
        <v>12.18</v>
      </c>
      <c r="I1299" s="132">
        <f t="shared" si="505"/>
        <v>11.625</v>
      </c>
    </row>
    <row r="1300" hidden="1" outlineLevel="1">
      <c r="A1300" s="69" t="s">
        <v>149</v>
      </c>
      <c r="B1300" s="129">
        <f t="shared" ref="B1300:I1300" si="506">B1294*-10</f>
        <v>0</v>
      </c>
      <c r="C1300" s="130">
        <f t="shared" si="506"/>
        <v>0</v>
      </c>
      <c r="D1300" s="130">
        <f t="shared" si="506"/>
        <v>0</v>
      </c>
      <c r="E1300" s="130">
        <f t="shared" si="506"/>
        <v>0</v>
      </c>
      <c r="F1300" s="130">
        <f t="shared" si="506"/>
        <v>0</v>
      </c>
      <c r="G1300" s="130">
        <f t="shared" si="506"/>
        <v>0</v>
      </c>
      <c r="H1300" s="130">
        <f t="shared" si="506"/>
        <v>0</v>
      </c>
      <c r="I1300" s="132">
        <f t="shared" si="506"/>
        <v>0</v>
      </c>
    </row>
    <row r="1301" hidden="1" outlineLevel="1">
      <c r="A1301" s="142" t="s">
        <v>150</v>
      </c>
      <c r="B1301" s="129">
        <f t="shared" ref="B1301:I1301" si="507">B1296+B1297+B1298+B1299+B1300</f>
        <v>97.70712121</v>
      </c>
      <c r="C1301" s="130">
        <f t="shared" si="507"/>
        <v>0</v>
      </c>
      <c r="D1301" s="130">
        <f t="shared" si="507"/>
        <v>97.34736578</v>
      </c>
      <c r="E1301" s="130">
        <f t="shared" si="507"/>
        <v>102.0444231</v>
      </c>
      <c r="F1301" s="130">
        <f t="shared" si="507"/>
        <v>99.96197938</v>
      </c>
      <c r="G1301" s="130">
        <f t="shared" si="507"/>
        <v>102.410199</v>
      </c>
      <c r="H1301" s="130">
        <f t="shared" si="507"/>
        <v>95.02748728</v>
      </c>
      <c r="I1301" s="132">
        <f t="shared" si="507"/>
        <v>95.23763736</v>
      </c>
    </row>
    <row r="1302" hidden="1" outlineLevel="1">
      <c r="A1302" s="54" t="s">
        <v>152</v>
      </c>
      <c r="B1302" s="58">
        <f t="shared" ref="B1302:I1302" si="508">B1301/100</f>
        <v>0.9770712121</v>
      </c>
      <c r="C1302" s="61">
        <f t="shared" si="508"/>
        <v>0</v>
      </c>
      <c r="D1302" s="61">
        <f t="shared" si="508"/>
        <v>0.9734736578</v>
      </c>
      <c r="E1302" s="61">
        <f t="shared" si="508"/>
        <v>1.020444231</v>
      </c>
      <c r="F1302" s="61">
        <f t="shared" si="508"/>
        <v>0.9996197938</v>
      </c>
      <c r="G1302" s="61">
        <f t="shared" si="508"/>
        <v>1.02410199</v>
      </c>
      <c r="H1302" s="61">
        <f t="shared" si="508"/>
        <v>0.9502748728</v>
      </c>
      <c r="I1302" s="62">
        <f t="shared" si="508"/>
        <v>0.9523763736</v>
      </c>
    </row>
    <row r="1303" hidden="1" outlineLevel="1">
      <c r="A1303" s="127" t="s">
        <v>154</v>
      </c>
      <c r="B1303" s="349" t="s">
        <v>155</v>
      </c>
      <c r="C1303" s="350" t="s">
        <v>155</v>
      </c>
      <c r="D1303" s="350" t="s">
        <v>155</v>
      </c>
      <c r="E1303" s="350" t="s">
        <v>155</v>
      </c>
      <c r="F1303" s="350" t="s">
        <v>155</v>
      </c>
      <c r="G1303" s="350" t="s">
        <v>156</v>
      </c>
      <c r="H1303" s="350" t="s">
        <v>155</v>
      </c>
      <c r="I1303" s="350" t="s">
        <v>155</v>
      </c>
    </row>
    <row r="1304" hidden="1" outlineLevel="1">
      <c r="A1304" s="127" t="s">
        <v>158</v>
      </c>
      <c r="B1304" s="464"/>
      <c r="C1304" s="491" t="s">
        <v>1618</v>
      </c>
      <c r="D1304" s="465"/>
      <c r="E1304" s="465"/>
      <c r="F1304" s="465"/>
      <c r="G1304" s="465"/>
      <c r="H1304" s="465"/>
      <c r="I1304" s="466"/>
    </row>
    <row r="1305">
      <c r="A1305" s="442"/>
      <c r="B1305" s="467" t="s">
        <v>1619</v>
      </c>
      <c r="C1305" s="14"/>
      <c r="D1305" s="14"/>
      <c r="E1305" s="14"/>
      <c r="F1305" s="14"/>
      <c r="G1305" s="14"/>
      <c r="H1305" s="14"/>
      <c r="I1305" s="15"/>
    </row>
    <row r="1306" outlineLevel="1">
      <c r="A1306" s="482"/>
      <c r="B1306" s="483" t="s">
        <v>29</v>
      </c>
      <c r="C1306" s="484" t="s">
        <v>4</v>
      </c>
      <c r="D1306" s="484" t="s">
        <v>19</v>
      </c>
      <c r="E1306" s="484" t="s">
        <v>30</v>
      </c>
      <c r="F1306" s="484" t="s">
        <v>31</v>
      </c>
      <c r="G1306" s="484" t="s">
        <v>32</v>
      </c>
      <c r="H1306" s="485" t="s">
        <v>13</v>
      </c>
      <c r="I1306" s="486" t="s">
        <v>350</v>
      </c>
    </row>
    <row r="1307" outlineLevel="1">
      <c r="A1307" s="25" t="s">
        <v>36</v>
      </c>
      <c r="B1307" s="243" t="s">
        <v>511</v>
      </c>
      <c r="C1307" s="244"/>
      <c r="D1307" s="244"/>
      <c r="E1307" s="244"/>
      <c r="F1307" s="244"/>
      <c r="G1307" s="244"/>
      <c r="H1307" s="244"/>
      <c r="I1307" s="245"/>
    </row>
    <row r="1308" outlineLevel="1">
      <c r="A1308" s="32" t="s">
        <v>45</v>
      </c>
      <c r="B1308" s="448"/>
      <c r="C1308" s="2"/>
      <c r="D1308" s="2"/>
      <c r="E1308" s="2"/>
      <c r="F1308" s="2"/>
      <c r="G1308" s="2"/>
      <c r="H1308" s="2"/>
      <c r="I1308" s="36"/>
    </row>
    <row r="1309" outlineLevel="1">
      <c r="A1309" s="64" t="s">
        <v>49</v>
      </c>
      <c r="B1309" s="354">
        <v>46.05</v>
      </c>
      <c r="C1309" s="355">
        <v>44.5</v>
      </c>
      <c r="D1309" s="355">
        <v>48.46</v>
      </c>
      <c r="E1309" s="355">
        <v>44.06</v>
      </c>
      <c r="F1309" s="355">
        <v>50.16</v>
      </c>
      <c r="G1309" s="355">
        <v>44.54</v>
      </c>
      <c r="H1309" s="355">
        <v>49.34</v>
      </c>
      <c r="I1309" s="449">
        <v>42.05</v>
      </c>
    </row>
    <row r="1310" outlineLevel="1">
      <c r="A1310" s="69" t="s">
        <v>53</v>
      </c>
      <c r="B1310" s="51">
        <v>40.0</v>
      </c>
      <c r="C1310" s="51">
        <v>40.0</v>
      </c>
      <c r="D1310" s="51">
        <v>40.0</v>
      </c>
      <c r="E1310" s="51">
        <v>40.0</v>
      </c>
      <c r="F1310" s="51">
        <v>40.0</v>
      </c>
      <c r="G1310" s="51">
        <v>40.0</v>
      </c>
      <c r="H1310" s="51">
        <v>40.0</v>
      </c>
      <c r="I1310" s="346">
        <v>40.0</v>
      </c>
    </row>
    <row r="1311" outlineLevel="1">
      <c r="A1311" s="54" t="s">
        <v>57</v>
      </c>
      <c r="B1311" s="252">
        <f t="shared" ref="B1311:I1311" si="509">B1309/B1310</f>
        <v>1.15125</v>
      </c>
      <c r="C1311" s="253">
        <f t="shared" si="509"/>
        <v>1.1125</v>
      </c>
      <c r="D1311" s="253">
        <f t="shared" si="509"/>
        <v>1.2115</v>
      </c>
      <c r="E1311" s="253">
        <f t="shared" si="509"/>
        <v>1.1015</v>
      </c>
      <c r="F1311" s="253">
        <f t="shared" si="509"/>
        <v>1.254</v>
      </c>
      <c r="G1311" s="253">
        <f t="shared" si="509"/>
        <v>1.1135</v>
      </c>
      <c r="H1311" s="253">
        <f t="shared" si="509"/>
        <v>1.2335</v>
      </c>
      <c r="I1311" s="256">
        <f t="shared" si="509"/>
        <v>1.05125</v>
      </c>
    </row>
    <row r="1312" outlineLevel="1">
      <c r="A1312" s="32" t="s">
        <v>66</v>
      </c>
      <c r="B1312" s="448"/>
      <c r="C1312" s="2"/>
      <c r="D1312" s="2"/>
      <c r="E1312" s="2"/>
      <c r="F1312" s="2"/>
      <c r="G1312" s="2"/>
      <c r="H1312" s="2"/>
      <c r="I1312" s="36"/>
    </row>
    <row r="1313" outlineLevel="1">
      <c r="A1313" s="64" t="s">
        <v>67</v>
      </c>
      <c r="B1313" s="487">
        <v>40.0</v>
      </c>
      <c r="C1313" s="488">
        <v>40.0</v>
      </c>
      <c r="D1313" s="488">
        <v>40.0</v>
      </c>
      <c r="E1313" s="488">
        <v>40.0</v>
      </c>
      <c r="F1313" s="488">
        <v>35.5</v>
      </c>
      <c r="G1313" s="488">
        <v>40.0</v>
      </c>
      <c r="H1313" s="488">
        <v>28.0</v>
      </c>
      <c r="I1313" s="489">
        <v>28.0</v>
      </c>
    </row>
    <row r="1314" outlineLevel="1">
      <c r="A1314" s="69" t="s">
        <v>72</v>
      </c>
      <c r="B1314" s="186">
        <v>40.0</v>
      </c>
      <c r="C1314" s="187">
        <v>40.0</v>
      </c>
      <c r="D1314" s="187">
        <v>40.0</v>
      </c>
      <c r="E1314" s="187">
        <v>40.0</v>
      </c>
      <c r="F1314" s="187">
        <v>40.0</v>
      </c>
      <c r="G1314" s="187">
        <v>40.0</v>
      </c>
      <c r="H1314" s="187">
        <v>40.0</v>
      </c>
      <c r="I1314" s="188">
        <v>40.0</v>
      </c>
    </row>
    <row r="1315" outlineLevel="1">
      <c r="A1315" s="54" t="s">
        <v>74</v>
      </c>
      <c r="B1315" s="252">
        <f t="shared" ref="B1315:I1315" si="510">B1313/B1314</f>
        <v>1</v>
      </c>
      <c r="C1315" s="253">
        <f t="shared" si="510"/>
        <v>1</v>
      </c>
      <c r="D1315" s="253">
        <f t="shared" si="510"/>
        <v>1</v>
      </c>
      <c r="E1315" s="253">
        <f t="shared" si="510"/>
        <v>1</v>
      </c>
      <c r="F1315" s="253">
        <f t="shared" si="510"/>
        <v>0.8875</v>
      </c>
      <c r="G1315" s="253">
        <f t="shared" si="510"/>
        <v>1</v>
      </c>
      <c r="H1315" s="253">
        <f t="shared" si="510"/>
        <v>0.7</v>
      </c>
      <c r="I1315" s="256">
        <f t="shared" si="510"/>
        <v>0.7</v>
      </c>
    </row>
    <row r="1316" outlineLevel="1">
      <c r="A1316" s="32" t="s">
        <v>75</v>
      </c>
      <c r="B1316" s="448"/>
      <c r="C1316" s="2"/>
      <c r="D1316" s="2"/>
      <c r="E1316" s="2"/>
      <c r="F1316" s="2"/>
      <c r="G1316" s="2"/>
      <c r="H1316" s="2"/>
      <c r="I1316" s="36"/>
    </row>
    <row r="1317" outlineLevel="1">
      <c r="A1317" s="64" t="s">
        <v>76</v>
      </c>
      <c r="B1317" s="185" t="s">
        <v>79</v>
      </c>
      <c r="C1317" s="78" t="s">
        <v>80</v>
      </c>
      <c r="D1317" s="78" t="s">
        <v>80</v>
      </c>
      <c r="E1317" s="78" t="s">
        <v>79</v>
      </c>
      <c r="F1317" s="78" t="s">
        <v>79</v>
      </c>
      <c r="G1317" s="78" t="s">
        <v>80</v>
      </c>
      <c r="H1317" s="78" t="s">
        <v>80</v>
      </c>
      <c r="I1317" s="79" t="s">
        <v>79</v>
      </c>
    </row>
    <row r="1318" outlineLevel="1">
      <c r="A1318" s="64" t="s">
        <v>81</v>
      </c>
      <c r="B1318" s="185" t="s">
        <v>83</v>
      </c>
      <c r="C1318" s="78" t="s">
        <v>85</v>
      </c>
      <c r="D1318" s="78" t="s">
        <v>83</v>
      </c>
      <c r="E1318" s="78" t="s">
        <v>85</v>
      </c>
      <c r="F1318" s="78" t="s">
        <v>83</v>
      </c>
      <c r="G1318" s="78" t="s">
        <v>85</v>
      </c>
      <c r="H1318" s="78" t="s">
        <v>85</v>
      </c>
      <c r="I1318" s="79" t="s">
        <v>85</v>
      </c>
    </row>
    <row r="1319" outlineLevel="1">
      <c r="A1319" s="64" t="s">
        <v>86</v>
      </c>
      <c r="B1319" s="194">
        <f>IF(B1309&lt;B1310,B1310,B1309) *
IF(B1317="AM",
    IF(B1318="Oricle",3.5,
    IF(B1318="Other Brands",3,
    IF(B1318="Oricle Prio",0.6,""))),
 IF(B1317="MID",
    IF(B1318="Oricle",2.5,
    IF(B1318="Other Brands",3,
    IF(B1318="Oricle Prio",0.6,""))),
 IF(B1317="GY",
    IF(B1318="Oricle",1,
    IF(B1318="Other Brands",1,
    IF(B1318="Oricle Prio",0.3,""))),"")))</f>
        <v>138.15</v>
      </c>
      <c r="C1319" s="204">
        <f>IF(C1309&lt;C1310,C1310,C1309) *
IF(C1317="AM",
    IF(C1318="Oricle",3,
    IF(C1318="Other Brands",4,
    IF(C1318="Oricle Prio",0.6,""))),
 IF(C1317="MID",
    IF(C1318="Oricle",2.5,
    IF(C1318="Other Brands",3,
    IF(C1318="Oricle Prio",0.6,""))),
 IF(C1317="GY",
    IF(C1318="Oricle",1,
    IF(C1318="Other Brands",1,
    IF(C1318="Oricle Prio",0.3,""))),"")))</f>
        <v>133.5</v>
      </c>
      <c r="D1319" s="204">
        <f t="shared" ref="D1319:F1319" si="511">IF(D1309&lt;D1310,D1310,D1309) *
IF(D1317="AM",
    IF(D1318="Oricle",3.5,
    IF(D1318="Other Brands",4,
    IF(D1318="Oricle Prio",0.6,""))),
 IF(D1317="MID",
    IF(D1318="Oricle",2.5,
    IF(D1318="Other Brands",3,
    IF(D1318="Oricle Prio",0.6,""))),
 IF(D1317="GY",
    IF(D1318="Oricle",1,
    IF(D1318="Other Brands",1,
    IF(D1318="Oricle Prio",0.3,""))),"")))</f>
        <v>193.84</v>
      </c>
      <c r="E1319" s="204">
        <f t="shared" si="511"/>
        <v>110.15</v>
      </c>
      <c r="F1319" s="204">
        <f t="shared" si="511"/>
        <v>150.48</v>
      </c>
      <c r="G1319" s="204">
        <f t="shared" ref="G1319:H1319" si="512">IF(G1309&lt;G1310,G1310,G1309) *
IF(G1317="AM",
    IF(G1318="Oricle",3,
    IF(G1318="Other Brands",4,
    IF(G1318="Oricle Prio",0.6,""))),
 IF(G1317="MID",
    IF(G1318="Oricle",2.5,
    IF(G1318="Other Brands",3,
    IF(G1318="Oricle Prio",0.6,""))),
 IF(G1317="GY",
    IF(G1318="Oricle",1,
    IF(G1318="Other Brands",1,
    IF(G1318="Oricle Prio",0.3,""))),"")))</f>
        <v>133.62</v>
      </c>
      <c r="H1319" s="204">
        <f t="shared" si="512"/>
        <v>148.02</v>
      </c>
      <c r="I1319" s="204">
        <f>IF(I1309&lt;I1310,I1310,I1309) *
IF(I1317="AM",
    IF(I1318="Oricle",3.5,
    IF(I1318="Other Brands",4,
    IF(I1318="Oricle Prio",0.6,""))),
 IF(I1317="MID",
    IF(I1318="Oricle",2.5,
    IF(I1318="Other Brands",3,
    IF(I1318="Oricle Prio",0.6,""))),
 IF(I1317="GY",
    IF(I1318="Oricle",1,
    IF(I1318="Other Brands",1,
    IF(I1318="Oricle Prio",0.3,""))),"")))</f>
        <v>105.125</v>
      </c>
    </row>
    <row r="1320" outlineLevel="1">
      <c r="A1320" s="64" t="s">
        <v>98</v>
      </c>
      <c r="B1320" s="457" t="s">
        <v>521</v>
      </c>
      <c r="C1320" s="458" t="s">
        <v>105</v>
      </c>
      <c r="D1320" s="458" t="s">
        <v>1131</v>
      </c>
      <c r="E1320" s="458" t="s">
        <v>480</v>
      </c>
      <c r="F1320" s="458" t="s">
        <v>518</v>
      </c>
      <c r="G1320" s="458" t="s">
        <v>690</v>
      </c>
      <c r="H1320" s="458" t="s">
        <v>329</v>
      </c>
      <c r="I1320" s="458" t="s">
        <v>562</v>
      </c>
    </row>
    <row r="1321" outlineLevel="1">
      <c r="A1321" s="64" t="s">
        <v>107</v>
      </c>
      <c r="B1321" s="457" t="s">
        <v>589</v>
      </c>
      <c r="C1321" s="458" t="s">
        <v>1130</v>
      </c>
      <c r="D1321" s="458" t="s">
        <v>442</v>
      </c>
      <c r="E1321" s="458" t="s">
        <v>300</v>
      </c>
      <c r="F1321" s="458" t="s">
        <v>376</v>
      </c>
      <c r="G1321" s="458" t="s">
        <v>690</v>
      </c>
      <c r="H1321" s="458" t="s">
        <v>329</v>
      </c>
      <c r="I1321" s="458" t="s">
        <v>638</v>
      </c>
    </row>
    <row r="1322" outlineLevel="1">
      <c r="A1322" s="69" t="s">
        <v>115</v>
      </c>
      <c r="B1322" s="108">
        <f t="shared" ref="B1322:I1322" si="513">IF(B1320&gt;0,B1321/B1320,0)</f>
        <v>0.9719626168</v>
      </c>
      <c r="C1322" s="110">
        <f t="shared" si="513"/>
        <v>0.9689922481</v>
      </c>
      <c r="D1322" s="110">
        <f t="shared" si="513"/>
        <v>0.9565217391</v>
      </c>
      <c r="E1322" s="110">
        <f t="shared" si="513"/>
        <v>0.9611650485</v>
      </c>
      <c r="F1322" s="110">
        <f t="shared" si="513"/>
        <v>0.9619047619</v>
      </c>
      <c r="G1322" s="110">
        <f t="shared" si="513"/>
        <v>1</v>
      </c>
      <c r="H1322" s="110">
        <f t="shared" si="513"/>
        <v>1</v>
      </c>
      <c r="I1322" s="111">
        <f t="shared" si="513"/>
        <v>0.9583333333</v>
      </c>
    </row>
    <row r="1323" outlineLevel="1">
      <c r="A1323" s="69" t="s">
        <v>119</v>
      </c>
      <c r="B1323" s="108">
        <f t="shared" ref="B1323:I1323" si="514">IF(B1319&gt;0,B1321/B1319,0)</f>
        <v>0.7528049222</v>
      </c>
      <c r="C1323" s="110">
        <f t="shared" si="514"/>
        <v>0.936329588</v>
      </c>
      <c r="D1323" s="110">
        <f t="shared" si="514"/>
        <v>0.5674783326</v>
      </c>
      <c r="E1323" s="110">
        <f t="shared" si="514"/>
        <v>0.8987743985</v>
      </c>
      <c r="F1323" s="110">
        <f t="shared" si="514"/>
        <v>0.6711855396</v>
      </c>
      <c r="G1323" s="110">
        <f t="shared" si="514"/>
        <v>0.9878760665</v>
      </c>
      <c r="H1323" s="110">
        <f t="shared" si="514"/>
        <v>0.8579921632</v>
      </c>
      <c r="I1323" s="111">
        <f t="shared" si="514"/>
        <v>0.8751486326</v>
      </c>
    </row>
    <row r="1324" outlineLevel="1">
      <c r="A1324" s="116" t="s">
        <v>82</v>
      </c>
      <c r="B1324" s="252">
        <f t="shared" ref="B1324:I1324" si="515">average(B1322:B1323)</f>
        <v>0.8623837695</v>
      </c>
      <c r="C1324" s="253">
        <f t="shared" si="515"/>
        <v>0.952660918</v>
      </c>
      <c r="D1324" s="253">
        <f t="shared" si="515"/>
        <v>0.7620000359</v>
      </c>
      <c r="E1324" s="253">
        <f t="shared" si="515"/>
        <v>0.9299697235</v>
      </c>
      <c r="F1324" s="253">
        <f t="shared" si="515"/>
        <v>0.8165451508</v>
      </c>
      <c r="G1324" s="253">
        <f t="shared" si="515"/>
        <v>0.9939380332</v>
      </c>
      <c r="H1324" s="253">
        <f t="shared" si="515"/>
        <v>0.9289960816</v>
      </c>
      <c r="I1324" s="256">
        <f t="shared" si="515"/>
        <v>0.916740983</v>
      </c>
    </row>
    <row r="1325" outlineLevel="1">
      <c r="A1325" s="32" t="s">
        <v>121</v>
      </c>
      <c r="B1325" s="459"/>
      <c r="C1325" s="2"/>
      <c r="D1325" s="2"/>
      <c r="E1325" s="2"/>
      <c r="F1325" s="2"/>
      <c r="G1325" s="2"/>
      <c r="H1325" s="2"/>
      <c r="I1325" s="3"/>
    </row>
    <row r="1326" outlineLevel="1">
      <c r="A1326" s="64" t="s">
        <v>122</v>
      </c>
      <c r="B1326" s="354">
        <v>9.66</v>
      </c>
      <c r="C1326" s="355">
        <v>9.21</v>
      </c>
      <c r="D1326" s="355">
        <v>9.24</v>
      </c>
      <c r="E1326" s="355">
        <v>8.28</v>
      </c>
      <c r="F1326" s="355">
        <v>9.66</v>
      </c>
      <c r="G1326" s="355">
        <v>8.66</v>
      </c>
      <c r="H1326" s="355">
        <v>9.82</v>
      </c>
      <c r="I1326" s="355">
        <v>7.62</v>
      </c>
    </row>
    <row r="1327" outlineLevel="1">
      <c r="A1327" s="69" t="s">
        <v>128</v>
      </c>
      <c r="B1327" s="119">
        <v>10.0</v>
      </c>
      <c r="C1327" s="120">
        <v>10.0</v>
      </c>
      <c r="D1327" s="120">
        <v>10.0</v>
      </c>
      <c r="E1327" s="120">
        <v>10.0</v>
      </c>
      <c r="F1327" s="120">
        <v>10.0</v>
      </c>
      <c r="G1327" s="120">
        <v>10.0</v>
      </c>
      <c r="H1327" s="120">
        <v>10.0</v>
      </c>
      <c r="I1327" s="121">
        <v>10.0</v>
      </c>
    </row>
    <row r="1328" outlineLevel="1">
      <c r="A1328" s="54" t="s">
        <v>130</v>
      </c>
      <c r="B1328" s="252">
        <f t="shared" ref="B1328:I1328" si="516">IF(B1326=0,0,B1326/B1327)</f>
        <v>0.966</v>
      </c>
      <c r="C1328" s="253">
        <f t="shared" si="516"/>
        <v>0.921</v>
      </c>
      <c r="D1328" s="253">
        <f t="shared" si="516"/>
        <v>0.924</v>
      </c>
      <c r="E1328" s="253">
        <f t="shared" si="516"/>
        <v>0.828</v>
      </c>
      <c r="F1328" s="253">
        <f t="shared" si="516"/>
        <v>0.966</v>
      </c>
      <c r="G1328" s="253">
        <f t="shared" si="516"/>
        <v>0.866</v>
      </c>
      <c r="H1328" s="253">
        <f t="shared" si="516"/>
        <v>0.982</v>
      </c>
      <c r="I1328" s="256">
        <f t="shared" si="516"/>
        <v>0.762</v>
      </c>
    </row>
    <row r="1329" outlineLevel="1">
      <c r="A1329" s="32" t="s">
        <v>131</v>
      </c>
      <c r="B1329" s="448"/>
      <c r="C1329" s="2"/>
      <c r="D1329" s="2"/>
      <c r="E1329" s="2"/>
      <c r="F1329" s="2"/>
      <c r="G1329" s="2"/>
      <c r="H1329" s="2"/>
      <c r="I1329" s="36"/>
    </row>
    <row r="1330" outlineLevel="1">
      <c r="A1330" s="64" t="s">
        <v>132</v>
      </c>
      <c r="B1330" s="460"/>
      <c r="C1330" s="461"/>
      <c r="D1330" s="461"/>
      <c r="E1330" s="461"/>
      <c r="F1330" s="461"/>
      <c r="G1330" s="461"/>
      <c r="H1330" s="461"/>
      <c r="I1330" s="462"/>
    </row>
    <row r="1331" outlineLevel="1">
      <c r="A1331" s="127" t="s">
        <v>134</v>
      </c>
      <c r="B1331" s="448"/>
      <c r="C1331" s="2"/>
      <c r="D1331" s="2"/>
      <c r="E1331" s="2"/>
      <c r="F1331" s="2"/>
      <c r="G1331" s="2"/>
      <c r="H1331" s="2"/>
      <c r="I1331" s="36"/>
    </row>
    <row r="1332" outlineLevel="1">
      <c r="A1332" s="69" t="s">
        <v>136</v>
      </c>
      <c r="B1332" s="129">
        <f t="shared" ref="B1332:I1332" si="517">B1311*25</f>
        <v>28.78125</v>
      </c>
      <c r="C1332" s="130">
        <f t="shared" si="517"/>
        <v>27.8125</v>
      </c>
      <c r="D1332" s="130">
        <f t="shared" si="517"/>
        <v>30.2875</v>
      </c>
      <c r="E1332" s="130">
        <f t="shared" si="517"/>
        <v>27.5375</v>
      </c>
      <c r="F1332" s="130">
        <f t="shared" si="517"/>
        <v>31.35</v>
      </c>
      <c r="G1332" s="130">
        <f t="shared" si="517"/>
        <v>27.8375</v>
      </c>
      <c r="H1332" s="130">
        <f t="shared" si="517"/>
        <v>30.8375</v>
      </c>
      <c r="I1332" s="132">
        <f t="shared" si="517"/>
        <v>26.28125</v>
      </c>
    </row>
    <row r="1333" outlineLevel="1">
      <c r="A1333" s="69" t="s">
        <v>144</v>
      </c>
      <c r="B1333" s="129">
        <f t="shared" ref="B1333:I1333" si="518">B1315*35</f>
        <v>35</v>
      </c>
      <c r="C1333" s="130">
        <f t="shared" si="518"/>
        <v>35</v>
      </c>
      <c r="D1333" s="130">
        <f t="shared" si="518"/>
        <v>35</v>
      </c>
      <c r="E1333" s="130">
        <f t="shared" si="518"/>
        <v>35</v>
      </c>
      <c r="F1333" s="130">
        <f t="shared" si="518"/>
        <v>31.0625</v>
      </c>
      <c r="G1333" s="130">
        <f t="shared" si="518"/>
        <v>35</v>
      </c>
      <c r="H1333" s="130">
        <f t="shared" si="518"/>
        <v>24.5</v>
      </c>
      <c r="I1333" s="132">
        <f t="shared" si="518"/>
        <v>24.5</v>
      </c>
    </row>
    <row r="1334" outlineLevel="1">
      <c r="A1334" s="69" t="s">
        <v>146</v>
      </c>
      <c r="B1334" s="129">
        <f t="shared" ref="B1334:I1334" si="519">IF(AND(B1315&lt;85%, B1324&gt;100%), 25, B1324*25)</f>
        <v>21.55959424</v>
      </c>
      <c r="C1334" s="130">
        <f t="shared" si="519"/>
        <v>23.81652295</v>
      </c>
      <c r="D1334" s="130">
        <f t="shared" si="519"/>
        <v>19.0500009</v>
      </c>
      <c r="E1334" s="130">
        <f t="shared" si="519"/>
        <v>23.24924309</v>
      </c>
      <c r="F1334" s="130">
        <f t="shared" si="519"/>
        <v>20.41362877</v>
      </c>
      <c r="G1334" s="130">
        <f t="shared" si="519"/>
        <v>24.84845083</v>
      </c>
      <c r="H1334" s="130">
        <f t="shared" si="519"/>
        <v>23.22490204</v>
      </c>
      <c r="I1334" s="132">
        <f t="shared" si="519"/>
        <v>22.91852457</v>
      </c>
    </row>
    <row r="1335" outlineLevel="1">
      <c r="A1335" s="69" t="s">
        <v>148</v>
      </c>
      <c r="B1335" s="129">
        <f t="shared" ref="B1335:I1335" si="520">B1328*15</f>
        <v>14.49</v>
      </c>
      <c r="C1335" s="130">
        <f t="shared" si="520"/>
        <v>13.815</v>
      </c>
      <c r="D1335" s="130">
        <f t="shared" si="520"/>
        <v>13.86</v>
      </c>
      <c r="E1335" s="130">
        <f t="shared" si="520"/>
        <v>12.42</v>
      </c>
      <c r="F1335" s="130">
        <f t="shared" si="520"/>
        <v>14.49</v>
      </c>
      <c r="G1335" s="130">
        <f t="shared" si="520"/>
        <v>12.99</v>
      </c>
      <c r="H1335" s="130">
        <f t="shared" si="520"/>
        <v>14.73</v>
      </c>
      <c r="I1335" s="132">
        <f t="shared" si="520"/>
        <v>11.43</v>
      </c>
    </row>
    <row r="1336" outlineLevel="1">
      <c r="A1336" s="69" t="s">
        <v>149</v>
      </c>
      <c r="B1336" s="129">
        <f t="shared" ref="B1336:I1336" si="521">B1330*-10</f>
        <v>0</v>
      </c>
      <c r="C1336" s="130">
        <f t="shared" si="521"/>
        <v>0</v>
      </c>
      <c r="D1336" s="130">
        <f t="shared" si="521"/>
        <v>0</v>
      </c>
      <c r="E1336" s="130">
        <f t="shared" si="521"/>
        <v>0</v>
      </c>
      <c r="F1336" s="130">
        <f t="shared" si="521"/>
        <v>0</v>
      </c>
      <c r="G1336" s="130">
        <f t="shared" si="521"/>
        <v>0</v>
      </c>
      <c r="H1336" s="130">
        <f t="shared" si="521"/>
        <v>0</v>
      </c>
      <c r="I1336" s="132">
        <f t="shared" si="521"/>
        <v>0</v>
      </c>
    </row>
    <row r="1337" outlineLevel="1">
      <c r="A1337" s="142" t="s">
        <v>150</v>
      </c>
      <c r="B1337" s="129">
        <f t="shared" ref="B1337:I1337" si="522">B1332+B1333+B1334+B1335+B1336</f>
        <v>99.83084424</v>
      </c>
      <c r="C1337" s="130">
        <f t="shared" si="522"/>
        <v>100.444023</v>
      </c>
      <c r="D1337" s="130">
        <f t="shared" si="522"/>
        <v>98.1975009</v>
      </c>
      <c r="E1337" s="130">
        <f t="shared" si="522"/>
        <v>98.20674309</v>
      </c>
      <c r="F1337" s="130">
        <f t="shared" si="522"/>
        <v>97.31612877</v>
      </c>
      <c r="G1337" s="130">
        <f t="shared" si="522"/>
        <v>100.6759508</v>
      </c>
      <c r="H1337" s="130">
        <f t="shared" si="522"/>
        <v>93.29240204</v>
      </c>
      <c r="I1337" s="132">
        <f t="shared" si="522"/>
        <v>85.12977457</v>
      </c>
    </row>
    <row r="1338" outlineLevel="1">
      <c r="A1338" s="54" t="s">
        <v>152</v>
      </c>
      <c r="B1338" s="58">
        <f t="shared" ref="B1338:I1338" si="523">B1337/100</f>
        <v>0.9983084424</v>
      </c>
      <c r="C1338" s="61">
        <f t="shared" si="523"/>
        <v>1.00444023</v>
      </c>
      <c r="D1338" s="61">
        <f t="shared" si="523"/>
        <v>0.981975009</v>
      </c>
      <c r="E1338" s="61">
        <f t="shared" si="523"/>
        <v>0.9820674309</v>
      </c>
      <c r="F1338" s="61">
        <f t="shared" si="523"/>
        <v>0.9731612877</v>
      </c>
      <c r="G1338" s="61">
        <f t="shared" si="523"/>
        <v>1.006759508</v>
      </c>
      <c r="H1338" s="61">
        <f t="shared" si="523"/>
        <v>0.9329240204</v>
      </c>
      <c r="I1338" s="62">
        <f t="shared" si="523"/>
        <v>0.8512977457</v>
      </c>
    </row>
    <row r="1339" outlineLevel="1">
      <c r="A1339" s="127" t="s">
        <v>154</v>
      </c>
      <c r="B1339" s="349" t="s">
        <v>155</v>
      </c>
      <c r="C1339" s="350" t="s">
        <v>155</v>
      </c>
      <c r="D1339" s="350" t="s">
        <v>155</v>
      </c>
      <c r="E1339" s="350" t="s">
        <v>155</v>
      </c>
      <c r="F1339" s="350" t="s">
        <v>155</v>
      </c>
      <c r="G1339" s="350" t="s">
        <v>156</v>
      </c>
      <c r="H1339" s="350" t="s">
        <v>155</v>
      </c>
      <c r="I1339" s="350" t="s">
        <v>155</v>
      </c>
    </row>
    <row r="1340" outlineLevel="1">
      <c r="A1340" s="127" t="s">
        <v>158</v>
      </c>
      <c r="B1340" s="464"/>
      <c r="C1340" s="491"/>
      <c r="D1340" s="465"/>
      <c r="E1340" s="465"/>
      <c r="F1340" s="465"/>
      <c r="G1340" s="465"/>
      <c r="H1340" s="465"/>
      <c r="I1340" s="466"/>
    </row>
    <row r="1341">
      <c r="A1341" s="493"/>
      <c r="B1341" s="494"/>
      <c r="C1341" s="494"/>
      <c r="D1341" s="494"/>
      <c r="E1341" s="494"/>
      <c r="F1341" s="494"/>
      <c r="G1341" s="494"/>
      <c r="H1341" s="494"/>
      <c r="I1341" s="373"/>
    </row>
    <row r="1342">
      <c r="A1342" s="493"/>
      <c r="B1342" s="494"/>
      <c r="C1342" s="494"/>
      <c r="D1342" s="494"/>
      <c r="E1342" s="494"/>
      <c r="F1342" s="494"/>
      <c r="G1342" s="494"/>
      <c r="H1342" s="494"/>
      <c r="I1342" s="373"/>
    </row>
    <row r="1343">
      <c r="A1343" s="493"/>
      <c r="B1343" s="494"/>
      <c r="C1343" s="494"/>
      <c r="D1343" s="494"/>
      <c r="E1343" s="494"/>
      <c r="F1343" s="494"/>
      <c r="G1343" s="494"/>
      <c r="H1343" s="494"/>
      <c r="I1343" s="373"/>
    </row>
    <row r="1344">
      <c r="A1344" s="493"/>
      <c r="B1344" s="494"/>
      <c r="C1344" s="494"/>
      <c r="D1344" s="494"/>
      <c r="E1344" s="494"/>
      <c r="F1344" s="494"/>
      <c r="G1344" s="494"/>
      <c r="H1344" s="494"/>
      <c r="I1344" s="373"/>
    </row>
    <row r="1345">
      <c r="A1345" s="493"/>
      <c r="B1345" s="494"/>
      <c r="C1345" s="494"/>
      <c r="D1345" s="494"/>
      <c r="E1345" s="494"/>
      <c r="F1345" s="494"/>
      <c r="G1345" s="494"/>
      <c r="H1345" s="494"/>
      <c r="I1345" s="373"/>
    </row>
    <row r="1346">
      <c r="A1346" s="493"/>
      <c r="B1346" s="494"/>
      <c r="C1346" s="494"/>
      <c r="D1346" s="494"/>
      <c r="E1346" s="494"/>
      <c r="F1346" s="494"/>
      <c r="G1346" s="494"/>
      <c r="H1346" s="494"/>
      <c r="I1346" s="373"/>
    </row>
    <row r="1347">
      <c r="A1347" s="493"/>
      <c r="B1347" s="494"/>
      <c r="C1347" s="494"/>
      <c r="D1347" s="494"/>
      <c r="E1347" s="494"/>
      <c r="F1347" s="494"/>
      <c r="G1347" s="494"/>
      <c r="H1347" s="494"/>
      <c r="I1347" s="373"/>
    </row>
    <row r="1348">
      <c r="A1348" s="493"/>
      <c r="B1348" s="494"/>
      <c r="C1348" s="494"/>
      <c r="D1348" s="494"/>
      <c r="E1348" s="494"/>
      <c r="F1348" s="494"/>
      <c r="G1348" s="494"/>
      <c r="H1348" s="494"/>
      <c r="I1348" s="373"/>
    </row>
    <row r="1349">
      <c r="A1349" s="493"/>
      <c r="B1349" s="494"/>
      <c r="C1349" s="494"/>
      <c r="D1349" s="494"/>
      <c r="E1349" s="494"/>
      <c r="F1349" s="494"/>
      <c r="G1349" s="494"/>
      <c r="H1349" s="494"/>
      <c r="I1349" s="373"/>
    </row>
    <row r="1350">
      <c r="A1350" s="493"/>
      <c r="B1350" s="494"/>
      <c r="C1350" s="494"/>
      <c r="D1350" s="494"/>
      <c r="E1350" s="494"/>
      <c r="F1350" s="494"/>
      <c r="G1350" s="494"/>
      <c r="H1350" s="494"/>
      <c r="I1350" s="373"/>
    </row>
    <row r="1351">
      <c r="A1351" s="493"/>
      <c r="B1351" s="494"/>
      <c r="C1351" s="494"/>
      <c r="D1351" s="494"/>
      <c r="E1351" s="494"/>
      <c r="F1351" s="494"/>
      <c r="G1351" s="494"/>
      <c r="H1351" s="494"/>
      <c r="I1351" s="373"/>
    </row>
    <row r="1352">
      <c r="A1352" s="493"/>
      <c r="B1352" s="494"/>
      <c r="C1352" s="494"/>
      <c r="D1352" s="494"/>
      <c r="E1352" s="494"/>
      <c r="F1352" s="494"/>
      <c r="G1352" s="494"/>
      <c r="H1352" s="494"/>
      <c r="I1352" s="373"/>
    </row>
    <row r="1353">
      <c r="A1353" s="493"/>
      <c r="B1353" s="494"/>
      <c r="C1353" s="494"/>
      <c r="D1353" s="494"/>
      <c r="E1353" s="494"/>
      <c r="F1353" s="494"/>
      <c r="G1353" s="494"/>
      <c r="H1353" s="494"/>
      <c r="I1353" s="373"/>
    </row>
    <row r="1354">
      <c r="A1354" s="493"/>
      <c r="B1354" s="494"/>
      <c r="C1354" s="494"/>
      <c r="D1354" s="494"/>
      <c r="E1354" s="494"/>
      <c r="F1354" s="494"/>
      <c r="G1354" s="494"/>
      <c r="H1354" s="494"/>
      <c r="I1354" s="373"/>
    </row>
    <row r="1355">
      <c r="A1355" s="493"/>
      <c r="B1355" s="494"/>
      <c r="C1355" s="494"/>
      <c r="D1355" s="494"/>
      <c r="E1355" s="494"/>
      <c r="F1355" s="494"/>
      <c r="G1355" s="494"/>
      <c r="H1355" s="494"/>
      <c r="I1355" s="373"/>
    </row>
    <row r="1356">
      <c r="A1356" s="493"/>
      <c r="B1356" s="494"/>
      <c r="C1356" s="494"/>
      <c r="D1356" s="494"/>
      <c r="E1356" s="494"/>
      <c r="F1356" s="494"/>
      <c r="G1356" s="494"/>
      <c r="H1356" s="494"/>
      <c r="I1356" s="373"/>
    </row>
    <row r="1357">
      <c r="A1357" s="493"/>
      <c r="B1357" s="494"/>
      <c r="C1357" s="494"/>
      <c r="D1357" s="494"/>
      <c r="E1357" s="494"/>
      <c r="F1357" s="494"/>
      <c r="G1357" s="494"/>
      <c r="H1357" s="494"/>
      <c r="I1357" s="373"/>
    </row>
    <row r="1358">
      <c r="A1358" s="493"/>
      <c r="B1358" s="494"/>
      <c r="C1358" s="494"/>
      <c r="D1358" s="494"/>
      <c r="E1358" s="494"/>
      <c r="F1358" s="494"/>
      <c r="G1358" s="494"/>
      <c r="H1358" s="494"/>
      <c r="I1358" s="373"/>
    </row>
    <row r="1359">
      <c r="A1359" s="493"/>
      <c r="B1359" s="494"/>
      <c r="C1359" s="494"/>
      <c r="D1359" s="494"/>
      <c r="E1359" s="494"/>
      <c r="F1359" s="494"/>
      <c r="G1359" s="494"/>
      <c r="H1359" s="494"/>
      <c r="I1359" s="373"/>
    </row>
    <row r="1360">
      <c r="A1360" s="493"/>
      <c r="B1360" s="494"/>
      <c r="C1360" s="494"/>
      <c r="D1360" s="494"/>
      <c r="E1360" s="494"/>
      <c r="F1360" s="494"/>
      <c r="G1360" s="494"/>
      <c r="H1360" s="494"/>
      <c r="I1360" s="373"/>
    </row>
    <row r="1361">
      <c r="A1361" s="493"/>
      <c r="B1361" s="494"/>
      <c r="C1361" s="494"/>
      <c r="D1361" s="494"/>
      <c r="E1361" s="494"/>
      <c r="F1361" s="494"/>
      <c r="G1361" s="494"/>
      <c r="H1361" s="494"/>
      <c r="I1361" s="373"/>
    </row>
    <row r="1362">
      <c r="A1362" s="493"/>
      <c r="B1362" s="494"/>
      <c r="C1362" s="494"/>
      <c r="D1362" s="494"/>
      <c r="E1362" s="494"/>
      <c r="F1362" s="494"/>
      <c r="G1362" s="494"/>
      <c r="H1362" s="494"/>
      <c r="I1362" s="373"/>
    </row>
    <row r="1363">
      <c r="A1363" s="493"/>
      <c r="B1363" s="494"/>
      <c r="C1363" s="494"/>
      <c r="D1363" s="494"/>
      <c r="E1363" s="494"/>
      <c r="F1363" s="494"/>
      <c r="G1363" s="494"/>
      <c r="H1363" s="494"/>
      <c r="I1363" s="373"/>
    </row>
    <row r="1364">
      <c r="A1364" s="493"/>
      <c r="B1364" s="494"/>
      <c r="C1364" s="494"/>
      <c r="D1364" s="494"/>
      <c r="E1364" s="494"/>
      <c r="F1364" s="494"/>
      <c r="G1364" s="494"/>
      <c r="H1364" s="494"/>
      <c r="I1364" s="373"/>
    </row>
    <row r="1365">
      <c r="A1365" s="493"/>
      <c r="B1365" s="494"/>
      <c r="C1365" s="494"/>
      <c r="D1365" s="494"/>
      <c r="E1365" s="494"/>
      <c r="F1365" s="494"/>
      <c r="G1365" s="494"/>
      <c r="H1365" s="494"/>
      <c r="I1365" s="373"/>
    </row>
    <row r="1366">
      <c r="A1366" s="493"/>
      <c r="B1366" s="494"/>
      <c r="C1366" s="494"/>
      <c r="D1366" s="494"/>
      <c r="E1366" s="494"/>
      <c r="F1366" s="494"/>
      <c r="G1366" s="494"/>
      <c r="H1366" s="494"/>
      <c r="I1366" s="373"/>
    </row>
    <row r="1367">
      <c r="A1367" s="493"/>
      <c r="B1367" s="494"/>
      <c r="C1367" s="494"/>
      <c r="D1367" s="494"/>
      <c r="E1367" s="494"/>
      <c r="F1367" s="494"/>
      <c r="G1367" s="494"/>
      <c r="H1367" s="494"/>
      <c r="I1367" s="373"/>
    </row>
    <row r="1368">
      <c r="A1368" s="493"/>
      <c r="B1368" s="494"/>
      <c r="C1368" s="494"/>
      <c r="D1368" s="494"/>
      <c r="E1368" s="494"/>
      <c r="F1368" s="494"/>
      <c r="G1368" s="494"/>
      <c r="H1368" s="494"/>
      <c r="I1368" s="373"/>
    </row>
    <row r="1369">
      <c r="A1369" s="493"/>
      <c r="B1369" s="494"/>
      <c r="C1369" s="494"/>
      <c r="D1369" s="494"/>
      <c r="E1369" s="494"/>
      <c r="F1369" s="494"/>
      <c r="G1369" s="494"/>
      <c r="H1369" s="494"/>
      <c r="I1369" s="373"/>
    </row>
    <row r="1370">
      <c r="A1370" s="493"/>
      <c r="B1370" s="494"/>
      <c r="C1370" s="494"/>
      <c r="D1370" s="494"/>
      <c r="E1370" s="494"/>
      <c r="F1370" s="494"/>
      <c r="G1370" s="494"/>
      <c r="H1370" s="494"/>
      <c r="I1370" s="373"/>
    </row>
    <row r="1371">
      <c r="A1371" s="493"/>
      <c r="B1371" s="494"/>
      <c r="C1371" s="494"/>
      <c r="D1371" s="494"/>
      <c r="E1371" s="494"/>
      <c r="F1371" s="494"/>
      <c r="G1371" s="494"/>
      <c r="H1371" s="494"/>
      <c r="I1371" s="373"/>
    </row>
    <row r="1372">
      <c r="A1372" s="493"/>
      <c r="B1372" s="494"/>
      <c r="C1372" s="494"/>
      <c r="D1372" s="494"/>
      <c r="E1372" s="494"/>
      <c r="F1372" s="494"/>
      <c r="G1372" s="494"/>
      <c r="H1372" s="494"/>
      <c r="I1372" s="373"/>
    </row>
    <row r="1373">
      <c r="A1373" s="493"/>
      <c r="B1373" s="494"/>
      <c r="C1373" s="494"/>
      <c r="D1373" s="494"/>
      <c r="E1373" s="494"/>
      <c r="F1373" s="494"/>
      <c r="G1373" s="494"/>
      <c r="H1373" s="494"/>
      <c r="I1373" s="373"/>
    </row>
    <row r="1374">
      <c r="A1374" s="493"/>
      <c r="B1374" s="494"/>
      <c r="C1374" s="494"/>
      <c r="D1374" s="494"/>
      <c r="E1374" s="494"/>
      <c r="F1374" s="494"/>
      <c r="G1374" s="494"/>
      <c r="H1374" s="494"/>
      <c r="I1374" s="373"/>
    </row>
    <row r="1375">
      <c r="A1375" s="493"/>
      <c r="B1375" s="494"/>
      <c r="C1375" s="494"/>
      <c r="D1375" s="494"/>
      <c r="E1375" s="494"/>
      <c r="F1375" s="494"/>
      <c r="G1375" s="494"/>
      <c r="H1375" s="494"/>
      <c r="I1375" s="373"/>
    </row>
    <row r="1376">
      <c r="A1376" s="493"/>
      <c r="B1376" s="494"/>
      <c r="C1376" s="494"/>
      <c r="D1376" s="494"/>
      <c r="E1376" s="494"/>
      <c r="F1376" s="494"/>
      <c r="G1376" s="494"/>
      <c r="H1376" s="494"/>
      <c r="I1376" s="373"/>
    </row>
    <row r="1377">
      <c r="A1377" s="493"/>
      <c r="B1377" s="494"/>
      <c r="C1377" s="494"/>
      <c r="D1377" s="494"/>
      <c r="E1377" s="494"/>
      <c r="F1377" s="494"/>
      <c r="G1377" s="494"/>
      <c r="H1377" s="494"/>
      <c r="I1377" s="373"/>
    </row>
    <row r="1378">
      <c r="A1378" s="493"/>
      <c r="B1378" s="494"/>
      <c r="C1378" s="494"/>
      <c r="D1378" s="494"/>
      <c r="E1378" s="494"/>
      <c r="F1378" s="494"/>
      <c r="G1378" s="494"/>
      <c r="H1378" s="494"/>
      <c r="I1378" s="373"/>
    </row>
    <row r="1379">
      <c r="A1379" s="493"/>
      <c r="B1379" s="494"/>
      <c r="C1379" s="494"/>
      <c r="D1379" s="494"/>
      <c r="E1379" s="494"/>
      <c r="F1379" s="494"/>
      <c r="G1379" s="494"/>
      <c r="H1379" s="494"/>
      <c r="I1379" s="373"/>
    </row>
    <row r="1380">
      <c r="A1380" s="493"/>
      <c r="B1380" s="494"/>
      <c r="C1380" s="494"/>
      <c r="D1380" s="494"/>
      <c r="E1380" s="494"/>
      <c r="F1380" s="494"/>
      <c r="G1380" s="494"/>
      <c r="H1380" s="494"/>
      <c r="I1380" s="373"/>
    </row>
    <row r="1381">
      <c r="A1381" s="493"/>
      <c r="B1381" s="494"/>
      <c r="C1381" s="494"/>
      <c r="D1381" s="494"/>
      <c r="E1381" s="494"/>
      <c r="F1381" s="494"/>
      <c r="G1381" s="494"/>
      <c r="H1381" s="494"/>
      <c r="I1381" s="373"/>
    </row>
    <row r="1382">
      <c r="A1382" s="493"/>
      <c r="B1382" s="494"/>
      <c r="C1382" s="494"/>
      <c r="D1382" s="494"/>
      <c r="E1382" s="494"/>
      <c r="F1382" s="494"/>
      <c r="G1382" s="494"/>
      <c r="H1382" s="494"/>
      <c r="I1382" s="373"/>
    </row>
    <row r="1383">
      <c r="A1383" s="493"/>
      <c r="B1383" s="494"/>
      <c r="C1383" s="494"/>
      <c r="D1383" s="494"/>
      <c r="E1383" s="494"/>
      <c r="F1383" s="494"/>
      <c r="G1383" s="494"/>
      <c r="H1383" s="494"/>
      <c r="I1383" s="373"/>
    </row>
    <row r="1384">
      <c r="A1384" s="493"/>
      <c r="B1384" s="494"/>
      <c r="C1384" s="494"/>
      <c r="D1384" s="494"/>
      <c r="E1384" s="494"/>
      <c r="F1384" s="494"/>
      <c r="G1384" s="494"/>
      <c r="H1384" s="494"/>
      <c r="I1384" s="373"/>
    </row>
    <row r="1385">
      <c r="A1385" s="493"/>
      <c r="B1385" s="494"/>
      <c r="C1385" s="494"/>
      <c r="D1385" s="494"/>
      <c r="E1385" s="494"/>
      <c r="F1385" s="494"/>
      <c r="G1385" s="494"/>
      <c r="H1385" s="494"/>
      <c r="I1385" s="373"/>
    </row>
    <row r="1386">
      <c r="A1386" s="493"/>
      <c r="B1386" s="494"/>
      <c r="C1386" s="494"/>
      <c r="D1386" s="494"/>
      <c r="E1386" s="494"/>
      <c r="F1386" s="494"/>
      <c r="G1386" s="494"/>
      <c r="H1386" s="494"/>
      <c r="I1386" s="373"/>
    </row>
    <row r="1387">
      <c r="A1387" s="493"/>
      <c r="B1387" s="494"/>
      <c r="C1387" s="494"/>
      <c r="D1387" s="494"/>
      <c r="E1387" s="494"/>
      <c r="F1387" s="494"/>
      <c r="G1387" s="494"/>
      <c r="H1387" s="494"/>
      <c r="I1387" s="373"/>
    </row>
    <row r="1388">
      <c r="A1388" s="493"/>
      <c r="B1388" s="494"/>
      <c r="C1388" s="494"/>
      <c r="D1388" s="494"/>
      <c r="E1388" s="494"/>
      <c r="F1388" s="494"/>
      <c r="G1388" s="494"/>
      <c r="H1388" s="494"/>
      <c r="I1388" s="373"/>
    </row>
    <row r="1389">
      <c r="A1389" s="493"/>
      <c r="B1389" s="494"/>
      <c r="C1389" s="494"/>
      <c r="D1389" s="494"/>
      <c r="E1389" s="494"/>
      <c r="F1389" s="494"/>
      <c r="G1389" s="494"/>
      <c r="H1389" s="494"/>
      <c r="I1389" s="373"/>
    </row>
    <row r="1390">
      <c r="A1390" s="493"/>
      <c r="B1390" s="494"/>
      <c r="C1390" s="494"/>
      <c r="D1390" s="494"/>
      <c r="E1390" s="494"/>
      <c r="F1390" s="494"/>
      <c r="G1390" s="494"/>
      <c r="H1390" s="494"/>
      <c r="I1390" s="373"/>
    </row>
    <row r="1391">
      <c r="A1391" s="493"/>
      <c r="B1391" s="494"/>
      <c r="C1391" s="494"/>
      <c r="D1391" s="494"/>
      <c r="E1391" s="494"/>
      <c r="F1391" s="494"/>
      <c r="G1391" s="494"/>
      <c r="H1391" s="494"/>
      <c r="I1391" s="373"/>
    </row>
    <row r="1392">
      <c r="A1392" s="493"/>
      <c r="B1392" s="494"/>
      <c r="C1392" s="494"/>
      <c r="D1392" s="494"/>
      <c r="E1392" s="494"/>
      <c r="F1392" s="494"/>
      <c r="G1392" s="494"/>
      <c r="H1392" s="494"/>
      <c r="I1392" s="373"/>
    </row>
    <row r="1393">
      <c r="A1393" s="493"/>
      <c r="B1393" s="494"/>
      <c r="C1393" s="494"/>
      <c r="D1393" s="494"/>
      <c r="E1393" s="494"/>
      <c r="F1393" s="494"/>
      <c r="G1393" s="494"/>
      <c r="H1393" s="494"/>
      <c r="I1393" s="373"/>
    </row>
    <row r="1394">
      <c r="A1394" s="493"/>
      <c r="B1394" s="494"/>
      <c r="C1394" s="494"/>
      <c r="D1394" s="494"/>
      <c r="E1394" s="494"/>
      <c r="F1394" s="494"/>
      <c r="G1394" s="494"/>
      <c r="H1394" s="494"/>
      <c r="I1394" s="373"/>
    </row>
    <row r="1395">
      <c r="A1395" s="493"/>
      <c r="B1395" s="494"/>
      <c r="C1395" s="494"/>
      <c r="D1395" s="494"/>
      <c r="E1395" s="494"/>
      <c r="F1395" s="494"/>
      <c r="G1395" s="494"/>
      <c r="H1395" s="494"/>
      <c r="I1395" s="373"/>
    </row>
    <row r="1396">
      <c r="A1396" s="493"/>
      <c r="B1396" s="494"/>
      <c r="C1396" s="494"/>
      <c r="D1396" s="494"/>
      <c r="E1396" s="494"/>
      <c r="F1396" s="494"/>
      <c r="G1396" s="494"/>
      <c r="H1396" s="494"/>
      <c r="I1396" s="373"/>
    </row>
    <row r="1397">
      <c r="A1397" s="493"/>
      <c r="B1397" s="494"/>
      <c r="C1397" s="494"/>
      <c r="D1397" s="494"/>
      <c r="E1397" s="494"/>
      <c r="F1397" s="494"/>
      <c r="G1397" s="494"/>
      <c r="H1397" s="494"/>
      <c r="I1397" s="373"/>
    </row>
    <row r="1398">
      <c r="A1398" s="493"/>
      <c r="B1398" s="494"/>
      <c r="C1398" s="494"/>
      <c r="D1398" s="494"/>
      <c r="E1398" s="494"/>
      <c r="F1398" s="494"/>
      <c r="G1398" s="494"/>
      <c r="H1398" s="494"/>
      <c r="I1398" s="373"/>
    </row>
    <row r="1399">
      <c r="A1399" s="493"/>
      <c r="B1399" s="494"/>
      <c r="C1399" s="494"/>
      <c r="D1399" s="494"/>
      <c r="E1399" s="494"/>
      <c r="F1399" s="494"/>
      <c r="G1399" s="494"/>
      <c r="H1399" s="494"/>
      <c r="I1399" s="373"/>
    </row>
    <row r="1400">
      <c r="A1400" s="493"/>
      <c r="B1400" s="494"/>
      <c r="C1400" s="494"/>
      <c r="D1400" s="494"/>
      <c r="E1400" s="494"/>
      <c r="F1400" s="494"/>
      <c r="G1400" s="494"/>
      <c r="H1400" s="494"/>
      <c r="I1400" s="373"/>
    </row>
    <row r="1401">
      <c r="A1401" s="493"/>
      <c r="B1401" s="494"/>
      <c r="C1401" s="494"/>
      <c r="D1401" s="494"/>
      <c r="E1401" s="494"/>
      <c r="F1401" s="494"/>
      <c r="G1401" s="494"/>
      <c r="H1401" s="494"/>
      <c r="I1401" s="373"/>
    </row>
    <row r="1402">
      <c r="A1402" s="493"/>
      <c r="B1402" s="494"/>
      <c r="C1402" s="494"/>
      <c r="D1402" s="494"/>
      <c r="E1402" s="494"/>
      <c r="F1402" s="494"/>
      <c r="G1402" s="494"/>
      <c r="H1402" s="494"/>
      <c r="I1402" s="373"/>
    </row>
    <row r="1403">
      <c r="A1403" s="493"/>
      <c r="B1403" s="494"/>
      <c r="C1403" s="494"/>
      <c r="D1403" s="494"/>
      <c r="E1403" s="494"/>
      <c r="F1403" s="494"/>
      <c r="G1403" s="494"/>
      <c r="H1403" s="494"/>
      <c r="I1403" s="373"/>
    </row>
    <row r="1404">
      <c r="A1404" s="493"/>
      <c r="B1404" s="494"/>
      <c r="C1404" s="494"/>
      <c r="D1404" s="494"/>
      <c r="E1404" s="494"/>
      <c r="F1404" s="494"/>
      <c r="G1404" s="494"/>
      <c r="H1404" s="494"/>
      <c r="I1404" s="373"/>
    </row>
    <row r="1405">
      <c r="A1405" s="493"/>
      <c r="B1405" s="494"/>
      <c r="C1405" s="494"/>
      <c r="D1405" s="494"/>
      <c r="E1405" s="494"/>
      <c r="F1405" s="494"/>
      <c r="G1405" s="494"/>
      <c r="H1405" s="494"/>
      <c r="I1405" s="373"/>
    </row>
    <row r="1406">
      <c r="A1406" s="493"/>
      <c r="B1406" s="494"/>
      <c r="C1406" s="494"/>
      <c r="D1406" s="494"/>
      <c r="E1406" s="494"/>
      <c r="F1406" s="494"/>
      <c r="G1406" s="494"/>
      <c r="H1406" s="494"/>
      <c r="I1406" s="373"/>
    </row>
    <row r="1407">
      <c r="A1407" s="493"/>
      <c r="B1407" s="494"/>
      <c r="C1407" s="494"/>
      <c r="D1407" s="494"/>
      <c r="E1407" s="494"/>
      <c r="F1407" s="494"/>
      <c r="G1407" s="494"/>
      <c r="H1407" s="494"/>
      <c r="I1407" s="373"/>
    </row>
    <row r="1408">
      <c r="A1408" s="493"/>
      <c r="B1408" s="494"/>
      <c r="C1408" s="494"/>
      <c r="D1408" s="494"/>
      <c r="E1408" s="494"/>
      <c r="F1408" s="494"/>
      <c r="G1408" s="494"/>
      <c r="H1408" s="494"/>
      <c r="I1408" s="373"/>
    </row>
    <row r="1409">
      <c r="A1409" s="493"/>
      <c r="B1409" s="494"/>
      <c r="C1409" s="494"/>
      <c r="D1409" s="494"/>
      <c r="E1409" s="494"/>
      <c r="F1409" s="494"/>
      <c r="G1409" s="494"/>
      <c r="H1409" s="494"/>
      <c r="I1409" s="373"/>
    </row>
    <row r="1410">
      <c r="A1410" s="493"/>
      <c r="B1410" s="494"/>
      <c r="C1410" s="494"/>
      <c r="D1410" s="494"/>
      <c r="E1410" s="494"/>
      <c r="F1410" s="494"/>
      <c r="G1410" s="494"/>
      <c r="H1410" s="494"/>
      <c r="I1410" s="373"/>
    </row>
    <row r="1411">
      <c r="A1411" s="493"/>
      <c r="B1411" s="494"/>
      <c r="C1411" s="494"/>
      <c r="D1411" s="494"/>
      <c r="E1411" s="494"/>
      <c r="F1411" s="494"/>
      <c r="G1411" s="494"/>
      <c r="H1411" s="494"/>
      <c r="I1411" s="373"/>
    </row>
    <row r="1412">
      <c r="A1412" s="493"/>
      <c r="B1412" s="494"/>
      <c r="C1412" s="494"/>
      <c r="D1412" s="494"/>
      <c r="E1412" s="494"/>
      <c r="F1412" s="494"/>
      <c r="G1412" s="494"/>
      <c r="H1412" s="494"/>
      <c r="I1412" s="373"/>
    </row>
    <row r="1413">
      <c r="A1413" s="493"/>
      <c r="B1413" s="494"/>
      <c r="C1413" s="494"/>
      <c r="D1413" s="494"/>
      <c r="E1413" s="494"/>
      <c r="F1413" s="494"/>
      <c r="G1413" s="494"/>
      <c r="H1413" s="494"/>
      <c r="I1413" s="373"/>
    </row>
    <row r="1414">
      <c r="A1414" s="493"/>
      <c r="B1414" s="494"/>
      <c r="C1414" s="494"/>
      <c r="D1414" s="494"/>
      <c r="E1414" s="494"/>
      <c r="F1414" s="494"/>
      <c r="G1414" s="494"/>
      <c r="H1414" s="494"/>
      <c r="I1414" s="373"/>
    </row>
    <row r="1415">
      <c r="A1415" s="493"/>
      <c r="B1415" s="494"/>
      <c r="C1415" s="494"/>
      <c r="D1415" s="494"/>
      <c r="E1415" s="494"/>
      <c r="F1415" s="494"/>
      <c r="G1415" s="494"/>
      <c r="H1415" s="494"/>
      <c r="I1415" s="373"/>
    </row>
    <row r="1416">
      <c r="A1416" s="493"/>
      <c r="B1416" s="494"/>
      <c r="C1416" s="494"/>
      <c r="D1416" s="494"/>
      <c r="E1416" s="494"/>
      <c r="F1416" s="494"/>
      <c r="G1416" s="494"/>
      <c r="H1416" s="494"/>
      <c r="I1416" s="373"/>
    </row>
    <row r="1417">
      <c r="A1417" s="493"/>
      <c r="B1417" s="494"/>
      <c r="C1417" s="494"/>
      <c r="D1417" s="494"/>
      <c r="E1417" s="494"/>
      <c r="F1417" s="494"/>
      <c r="G1417" s="494"/>
      <c r="H1417" s="494"/>
      <c r="I1417" s="373"/>
    </row>
    <row r="1418">
      <c r="A1418" s="493"/>
      <c r="B1418" s="494"/>
      <c r="C1418" s="494"/>
      <c r="D1418" s="494"/>
      <c r="E1418" s="494"/>
      <c r="F1418" s="494"/>
      <c r="G1418" s="494"/>
      <c r="H1418" s="494"/>
      <c r="I1418" s="373"/>
    </row>
    <row r="1419">
      <c r="A1419" s="493"/>
      <c r="B1419" s="494"/>
      <c r="C1419" s="494"/>
      <c r="D1419" s="494"/>
      <c r="E1419" s="494"/>
      <c r="F1419" s="494"/>
      <c r="G1419" s="494"/>
      <c r="H1419" s="494"/>
      <c r="I1419" s="373"/>
    </row>
    <row r="1420">
      <c r="A1420" s="493"/>
      <c r="B1420" s="494"/>
      <c r="C1420" s="494"/>
      <c r="D1420" s="494"/>
      <c r="E1420" s="494"/>
      <c r="F1420" s="494"/>
      <c r="G1420" s="494"/>
      <c r="H1420" s="494"/>
      <c r="I1420" s="373"/>
    </row>
    <row r="1421">
      <c r="A1421" s="493"/>
      <c r="B1421" s="494"/>
      <c r="C1421" s="494"/>
      <c r="D1421" s="494"/>
      <c r="E1421" s="494"/>
      <c r="F1421" s="494"/>
      <c r="G1421" s="494"/>
      <c r="H1421" s="494"/>
      <c r="I1421" s="373"/>
    </row>
    <row r="1422">
      <c r="A1422" s="493"/>
      <c r="B1422" s="494"/>
      <c r="C1422" s="494"/>
      <c r="D1422" s="494"/>
      <c r="E1422" s="494"/>
      <c r="F1422" s="494"/>
      <c r="G1422" s="494"/>
      <c r="H1422" s="494"/>
      <c r="I1422" s="373"/>
    </row>
    <row r="1423">
      <c r="A1423" s="493"/>
      <c r="B1423" s="494"/>
      <c r="C1423" s="494"/>
      <c r="D1423" s="494"/>
      <c r="E1423" s="494"/>
      <c r="F1423" s="494"/>
      <c r="G1423" s="494"/>
      <c r="H1423" s="494"/>
      <c r="I1423" s="373"/>
    </row>
    <row r="1424">
      <c r="A1424" s="493"/>
      <c r="B1424" s="494"/>
      <c r="C1424" s="494"/>
      <c r="D1424" s="494"/>
      <c r="E1424" s="494"/>
      <c r="F1424" s="494"/>
      <c r="G1424" s="494"/>
      <c r="H1424" s="494"/>
      <c r="I1424" s="373"/>
    </row>
    <row r="1425">
      <c r="A1425" s="493"/>
      <c r="B1425" s="494"/>
      <c r="C1425" s="494"/>
      <c r="D1425" s="494"/>
      <c r="E1425" s="494"/>
      <c r="F1425" s="494"/>
      <c r="G1425" s="494"/>
      <c r="H1425" s="494"/>
      <c r="I1425" s="373"/>
    </row>
    <row r="1426">
      <c r="A1426" s="493"/>
      <c r="B1426" s="494"/>
      <c r="C1426" s="494"/>
      <c r="D1426" s="494"/>
      <c r="E1426" s="494"/>
      <c r="F1426" s="494"/>
      <c r="G1426" s="494"/>
      <c r="H1426" s="494"/>
      <c r="I1426" s="373"/>
    </row>
    <row r="1427">
      <c r="A1427" s="493"/>
      <c r="B1427" s="494"/>
      <c r="C1427" s="494"/>
      <c r="D1427" s="494"/>
      <c r="E1427" s="494"/>
      <c r="F1427" s="494"/>
      <c r="G1427" s="494"/>
      <c r="H1427" s="494"/>
      <c r="I1427" s="373"/>
    </row>
    <row r="1428">
      <c r="A1428" s="493"/>
      <c r="B1428" s="494"/>
      <c r="C1428" s="494"/>
      <c r="D1428" s="494"/>
      <c r="E1428" s="494"/>
      <c r="F1428" s="494"/>
      <c r="G1428" s="494"/>
      <c r="H1428" s="494"/>
      <c r="I1428" s="373"/>
    </row>
    <row r="1429">
      <c r="A1429" s="493"/>
      <c r="B1429" s="494"/>
      <c r="C1429" s="494"/>
      <c r="D1429" s="494"/>
      <c r="E1429" s="494"/>
      <c r="F1429" s="494"/>
      <c r="G1429" s="494"/>
      <c r="H1429" s="494"/>
      <c r="I1429" s="373"/>
    </row>
    <row r="1430">
      <c r="A1430" s="493"/>
      <c r="B1430" s="494"/>
      <c r="C1430" s="494"/>
      <c r="D1430" s="494"/>
      <c r="E1430" s="494"/>
      <c r="F1430" s="494"/>
      <c r="G1430" s="494"/>
      <c r="H1430" s="494"/>
      <c r="I1430" s="373"/>
    </row>
    <row r="1431">
      <c r="A1431" s="493"/>
      <c r="B1431" s="494"/>
      <c r="C1431" s="494"/>
      <c r="D1431" s="494"/>
      <c r="E1431" s="494"/>
      <c r="F1431" s="494"/>
      <c r="G1431" s="494"/>
      <c r="H1431" s="494"/>
      <c r="I1431" s="373"/>
    </row>
    <row r="1432">
      <c r="A1432" s="493"/>
      <c r="B1432" s="494"/>
      <c r="C1432" s="494"/>
      <c r="D1432" s="494"/>
      <c r="E1432" s="494"/>
      <c r="F1432" s="494"/>
      <c r="G1432" s="494"/>
      <c r="H1432" s="494"/>
      <c r="I1432" s="373"/>
    </row>
    <row r="1433">
      <c r="A1433" s="493"/>
      <c r="B1433" s="494"/>
      <c r="C1433" s="494"/>
      <c r="D1433" s="494"/>
      <c r="E1433" s="494"/>
      <c r="F1433" s="494"/>
      <c r="G1433" s="494"/>
      <c r="H1433" s="494"/>
      <c r="I1433" s="373"/>
    </row>
    <row r="1434">
      <c r="A1434" s="493"/>
      <c r="B1434" s="494"/>
      <c r="C1434" s="494"/>
      <c r="D1434" s="494"/>
      <c r="E1434" s="494"/>
      <c r="F1434" s="494"/>
      <c r="G1434" s="494"/>
      <c r="H1434" s="494"/>
      <c r="I1434" s="373"/>
    </row>
    <row r="1435">
      <c r="A1435" s="493"/>
      <c r="B1435" s="494"/>
      <c r="C1435" s="494"/>
      <c r="D1435" s="494"/>
      <c r="E1435" s="494"/>
      <c r="F1435" s="494"/>
      <c r="G1435" s="494"/>
      <c r="H1435" s="494"/>
      <c r="I1435" s="373"/>
    </row>
    <row r="1436">
      <c r="A1436" s="493"/>
      <c r="B1436" s="494"/>
      <c r="C1436" s="494"/>
      <c r="D1436" s="494"/>
      <c r="E1436" s="494"/>
      <c r="F1436" s="494"/>
      <c r="G1436" s="494"/>
      <c r="H1436" s="494"/>
      <c r="I1436" s="373"/>
    </row>
    <row r="1437">
      <c r="A1437" s="493"/>
      <c r="B1437" s="494"/>
      <c r="C1437" s="494"/>
      <c r="D1437" s="494"/>
      <c r="E1437" s="494"/>
      <c r="F1437" s="494"/>
      <c r="G1437" s="494"/>
      <c r="H1437" s="494"/>
      <c r="I1437" s="373"/>
    </row>
    <row r="1438">
      <c r="A1438" s="493"/>
      <c r="B1438" s="494"/>
      <c r="C1438" s="494"/>
      <c r="D1438" s="494"/>
      <c r="E1438" s="494"/>
      <c r="F1438" s="494"/>
      <c r="G1438" s="494"/>
      <c r="H1438" s="494"/>
      <c r="I1438" s="373"/>
    </row>
    <row r="1439">
      <c r="A1439" s="493"/>
      <c r="B1439" s="494"/>
      <c r="C1439" s="494"/>
      <c r="D1439" s="494"/>
      <c r="E1439" s="494"/>
      <c r="F1439" s="494"/>
      <c r="G1439" s="494"/>
      <c r="H1439" s="494"/>
      <c r="I1439" s="373"/>
    </row>
    <row r="1440">
      <c r="A1440" s="493"/>
      <c r="B1440" s="494"/>
      <c r="C1440" s="494"/>
      <c r="D1440" s="494"/>
      <c r="E1440" s="494"/>
      <c r="F1440" s="494"/>
      <c r="G1440" s="494"/>
      <c r="H1440" s="494"/>
      <c r="I1440" s="373"/>
    </row>
    <row r="1441">
      <c r="A1441" s="493"/>
      <c r="B1441" s="494"/>
      <c r="C1441" s="494"/>
      <c r="D1441" s="494"/>
      <c r="E1441" s="494"/>
      <c r="F1441" s="494"/>
      <c r="G1441" s="494"/>
      <c r="H1441" s="494"/>
      <c r="I1441" s="373"/>
    </row>
    <row r="1442">
      <c r="A1442" s="493"/>
      <c r="B1442" s="494"/>
      <c r="C1442" s="494"/>
      <c r="D1442" s="494"/>
      <c r="E1442" s="494"/>
      <c r="F1442" s="494"/>
      <c r="G1442" s="494"/>
      <c r="H1442" s="494"/>
      <c r="I1442" s="373"/>
    </row>
    <row r="1443">
      <c r="A1443" s="493"/>
      <c r="B1443" s="494"/>
      <c r="C1443" s="494"/>
      <c r="D1443" s="494"/>
      <c r="E1443" s="494"/>
      <c r="F1443" s="494"/>
      <c r="G1443" s="494"/>
      <c r="H1443" s="494"/>
      <c r="I1443" s="373"/>
    </row>
    <row r="1444">
      <c r="A1444" s="493"/>
      <c r="B1444" s="494"/>
      <c r="C1444" s="494"/>
      <c r="D1444" s="494"/>
      <c r="E1444" s="494"/>
      <c r="F1444" s="494"/>
      <c r="G1444" s="494"/>
      <c r="H1444" s="494"/>
      <c r="I1444" s="373"/>
    </row>
    <row r="1445">
      <c r="A1445" s="493"/>
      <c r="B1445" s="494"/>
      <c r="C1445" s="494"/>
      <c r="D1445" s="494"/>
      <c r="E1445" s="494"/>
      <c r="F1445" s="494"/>
      <c r="G1445" s="494"/>
      <c r="H1445" s="494"/>
      <c r="I1445" s="373"/>
    </row>
    <row r="1446">
      <c r="A1446" s="493"/>
      <c r="B1446" s="494"/>
      <c r="C1446" s="494"/>
      <c r="D1446" s="494"/>
      <c r="E1446" s="494"/>
      <c r="F1446" s="494"/>
      <c r="G1446" s="494"/>
      <c r="H1446" s="494"/>
      <c r="I1446" s="373"/>
    </row>
    <row r="1447">
      <c r="A1447" s="493"/>
      <c r="B1447" s="494"/>
      <c r="C1447" s="494"/>
      <c r="D1447" s="494"/>
      <c r="E1447" s="494"/>
      <c r="F1447" s="494"/>
      <c r="G1447" s="494"/>
      <c r="H1447" s="494"/>
      <c r="I1447" s="373"/>
    </row>
    <row r="1448">
      <c r="A1448" s="493"/>
      <c r="B1448" s="494"/>
      <c r="C1448" s="494"/>
      <c r="D1448" s="494"/>
      <c r="E1448" s="494"/>
      <c r="F1448" s="494"/>
      <c r="G1448" s="494"/>
      <c r="H1448" s="494"/>
      <c r="I1448" s="373"/>
    </row>
    <row r="1449">
      <c r="A1449" s="493"/>
      <c r="B1449" s="494"/>
      <c r="C1449" s="494"/>
      <c r="D1449" s="494"/>
      <c r="E1449" s="494"/>
      <c r="F1449" s="494"/>
      <c r="G1449" s="494"/>
      <c r="H1449" s="494"/>
      <c r="I1449" s="373"/>
    </row>
    <row r="1450">
      <c r="A1450" s="493"/>
      <c r="B1450" s="494"/>
      <c r="C1450" s="494"/>
      <c r="D1450" s="494"/>
      <c r="E1450" s="494"/>
      <c r="F1450" s="494"/>
      <c r="G1450" s="494"/>
      <c r="H1450" s="494"/>
      <c r="I1450" s="373"/>
    </row>
    <row r="1451">
      <c r="A1451" s="493"/>
      <c r="B1451" s="494"/>
      <c r="C1451" s="494"/>
      <c r="D1451" s="494"/>
      <c r="E1451" s="494"/>
      <c r="F1451" s="494"/>
      <c r="G1451" s="494"/>
      <c r="H1451" s="494"/>
      <c r="I1451" s="373"/>
    </row>
    <row r="1452">
      <c r="A1452" s="493"/>
      <c r="B1452" s="494"/>
      <c r="C1452" s="494"/>
      <c r="D1452" s="494"/>
      <c r="E1452" s="494"/>
      <c r="F1452" s="494"/>
      <c r="G1452" s="494"/>
      <c r="H1452" s="494"/>
      <c r="I1452" s="373"/>
    </row>
    <row r="1453">
      <c r="A1453" s="493"/>
      <c r="B1453" s="494"/>
      <c r="C1453" s="494"/>
      <c r="D1453" s="494"/>
      <c r="E1453" s="494"/>
      <c r="F1453" s="494"/>
      <c r="G1453" s="494"/>
      <c r="H1453" s="494"/>
      <c r="I1453" s="373"/>
    </row>
    <row r="1454">
      <c r="A1454" s="493"/>
      <c r="B1454" s="494"/>
      <c r="C1454" s="494"/>
      <c r="D1454" s="494"/>
      <c r="E1454" s="494"/>
      <c r="F1454" s="494"/>
      <c r="G1454" s="494"/>
      <c r="H1454" s="494"/>
      <c r="I1454" s="373"/>
    </row>
    <row r="1455">
      <c r="A1455" s="493"/>
      <c r="B1455" s="494"/>
      <c r="C1455" s="494"/>
      <c r="D1455" s="494"/>
      <c r="E1455" s="494"/>
      <c r="F1455" s="494"/>
      <c r="G1455" s="494"/>
      <c r="H1455" s="494"/>
      <c r="I1455" s="373"/>
    </row>
    <row r="1456">
      <c r="A1456" s="493"/>
      <c r="B1456" s="494"/>
      <c r="C1456" s="494"/>
      <c r="D1456" s="494"/>
      <c r="E1456" s="494"/>
      <c r="F1456" s="494"/>
      <c r="G1456" s="494"/>
      <c r="H1456" s="494"/>
      <c r="I1456" s="373"/>
    </row>
    <row r="1457">
      <c r="A1457" s="493"/>
      <c r="B1457" s="494"/>
      <c r="C1457" s="494"/>
      <c r="D1457" s="494"/>
      <c r="E1457" s="494"/>
      <c r="F1457" s="494"/>
      <c r="G1457" s="494"/>
      <c r="H1457" s="494"/>
      <c r="I1457" s="373"/>
    </row>
    <row r="1458">
      <c r="A1458" s="493"/>
      <c r="B1458" s="494"/>
      <c r="C1458" s="494"/>
      <c r="D1458" s="494"/>
      <c r="E1458" s="494"/>
      <c r="F1458" s="494"/>
      <c r="G1458" s="494"/>
      <c r="H1458" s="494"/>
      <c r="I1458" s="373"/>
    </row>
    <row r="1459">
      <c r="A1459" s="493"/>
      <c r="B1459" s="494"/>
      <c r="C1459" s="494"/>
      <c r="D1459" s="494"/>
      <c r="E1459" s="494"/>
      <c r="F1459" s="494"/>
      <c r="G1459" s="494"/>
      <c r="H1459" s="494"/>
      <c r="I1459" s="373"/>
    </row>
    <row r="1460">
      <c r="A1460" s="493"/>
      <c r="B1460" s="494"/>
      <c r="C1460" s="494"/>
      <c r="D1460" s="494"/>
      <c r="E1460" s="494"/>
      <c r="F1460" s="494"/>
      <c r="G1460" s="494"/>
      <c r="H1460" s="494"/>
      <c r="I1460" s="373"/>
    </row>
    <row r="1461">
      <c r="A1461" s="493"/>
      <c r="B1461" s="494"/>
      <c r="C1461" s="494"/>
      <c r="D1461" s="494"/>
      <c r="E1461" s="494"/>
      <c r="F1461" s="494"/>
      <c r="G1461" s="494"/>
      <c r="H1461" s="494"/>
      <c r="I1461" s="373"/>
    </row>
    <row r="1462">
      <c r="A1462" s="493"/>
      <c r="B1462" s="494"/>
      <c r="C1462" s="494"/>
      <c r="D1462" s="494"/>
      <c r="E1462" s="494"/>
      <c r="F1462" s="494"/>
      <c r="G1462" s="494"/>
      <c r="H1462" s="494"/>
      <c r="I1462" s="373"/>
    </row>
    <row r="1463">
      <c r="A1463" s="493"/>
      <c r="B1463" s="494"/>
      <c r="C1463" s="494"/>
      <c r="D1463" s="494"/>
      <c r="E1463" s="494"/>
      <c r="F1463" s="494"/>
      <c r="G1463" s="494"/>
      <c r="H1463" s="494"/>
      <c r="I1463" s="373"/>
    </row>
    <row r="1464">
      <c r="A1464" s="493"/>
      <c r="B1464" s="494"/>
      <c r="C1464" s="494"/>
      <c r="D1464" s="494"/>
      <c r="E1464" s="494"/>
      <c r="F1464" s="494"/>
      <c r="G1464" s="494"/>
      <c r="H1464" s="494"/>
      <c r="I1464" s="373"/>
    </row>
    <row r="1465">
      <c r="A1465" s="493"/>
      <c r="B1465" s="494"/>
      <c r="C1465" s="494"/>
      <c r="D1465" s="494"/>
      <c r="E1465" s="494"/>
      <c r="F1465" s="494"/>
      <c r="G1465" s="494"/>
      <c r="H1465" s="494"/>
      <c r="I1465" s="373"/>
    </row>
    <row r="1466">
      <c r="A1466" s="493"/>
      <c r="B1466" s="494"/>
      <c r="C1466" s="494"/>
      <c r="D1466" s="494"/>
      <c r="E1466" s="494"/>
      <c r="F1466" s="494"/>
      <c r="G1466" s="494"/>
      <c r="H1466" s="494"/>
      <c r="I1466" s="373"/>
    </row>
    <row r="1467">
      <c r="A1467" s="493"/>
      <c r="B1467" s="494"/>
      <c r="C1467" s="494"/>
      <c r="D1467" s="494"/>
      <c r="E1467" s="494"/>
      <c r="F1467" s="494"/>
      <c r="G1467" s="494"/>
      <c r="H1467" s="494"/>
      <c r="I1467" s="373"/>
    </row>
    <row r="1468">
      <c r="A1468" s="493"/>
      <c r="B1468" s="494"/>
      <c r="C1468" s="494"/>
      <c r="D1468" s="494"/>
      <c r="E1468" s="494"/>
      <c r="F1468" s="494"/>
      <c r="G1468" s="494"/>
      <c r="H1468" s="494"/>
      <c r="I1468" s="373"/>
    </row>
    <row r="1469">
      <c r="A1469" s="493"/>
      <c r="B1469" s="494"/>
      <c r="C1469" s="494"/>
      <c r="D1469" s="494"/>
      <c r="E1469" s="494"/>
      <c r="F1469" s="494"/>
      <c r="G1469" s="494"/>
      <c r="H1469" s="494"/>
      <c r="I1469" s="373"/>
    </row>
    <row r="1470">
      <c r="A1470" s="493"/>
      <c r="B1470" s="494"/>
      <c r="C1470" s="494"/>
      <c r="D1470" s="494"/>
      <c r="E1470" s="494"/>
      <c r="F1470" s="494"/>
      <c r="G1470" s="494"/>
      <c r="H1470" s="494"/>
      <c r="I1470" s="373"/>
    </row>
    <row r="1471">
      <c r="A1471" s="493"/>
      <c r="B1471" s="494"/>
      <c r="C1471" s="494"/>
      <c r="D1471" s="494"/>
      <c r="E1471" s="494"/>
      <c r="F1471" s="494"/>
      <c r="G1471" s="494"/>
      <c r="H1471" s="494"/>
      <c r="I1471" s="373"/>
    </row>
    <row r="1472">
      <c r="A1472" s="493"/>
      <c r="B1472" s="494"/>
      <c r="C1472" s="494"/>
      <c r="D1472" s="494"/>
      <c r="E1472" s="494"/>
      <c r="F1472" s="494"/>
      <c r="G1472" s="494"/>
      <c r="H1472" s="494"/>
      <c r="I1472" s="373"/>
    </row>
    <row r="1473">
      <c r="A1473" s="493"/>
      <c r="B1473" s="494"/>
      <c r="C1473" s="494"/>
      <c r="D1473" s="494"/>
      <c r="E1473" s="494"/>
      <c r="F1473" s="494"/>
      <c r="G1473" s="494"/>
      <c r="H1473" s="494"/>
      <c r="I1473" s="373"/>
    </row>
    <row r="1474">
      <c r="A1474" s="493"/>
      <c r="B1474" s="494"/>
      <c r="C1474" s="494"/>
      <c r="D1474" s="494"/>
      <c r="E1474" s="494"/>
      <c r="F1474" s="494"/>
      <c r="G1474" s="494"/>
      <c r="H1474" s="494"/>
      <c r="I1474" s="373"/>
    </row>
    <row r="1475">
      <c r="A1475" s="493"/>
      <c r="B1475" s="494"/>
      <c r="C1475" s="494"/>
      <c r="D1475" s="494"/>
      <c r="E1475" s="494"/>
      <c r="F1475" s="494"/>
      <c r="G1475" s="494"/>
      <c r="H1475" s="494"/>
      <c r="I1475" s="373"/>
    </row>
    <row r="1476">
      <c r="A1476" s="493"/>
      <c r="B1476" s="494"/>
      <c r="C1476" s="494"/>
      <c r="D1476" s="494"/>
      <c r="E1476" s="494"/>
      <c r="F1476" s="494"/>
      <c r="G1476" s="494"/>
      <c r="H1476" s="494"/>
      <c r="I1476" s="373"/>
    </row>
    <row r="1477">
      <c r="A1477" s="493"/>
      <c r="B1477" s="494"/>
      <c r="C1477" s="494"/>
      <c r="D1477" s="494"/>
      <c r="E1477" s="494"/>
      <c r="F1477" s="494"/>
      <c r="G1477" s="494"/>
      <c r="H1477" s="494"/>
      <c r="I1477" s="373"/>
    </row>
    <row r="1478">
      <c r="A1478" s="493"/>
      <c r="B1478" s="494"/>
      <c r="C1478" s="494"/>
      <c r="D1478" s="494"/>
      <c r="E1478" s="494"/>
      <c r="F1478" s="494"/>
      <c r="G1478" s="494"/>
      <c r="H1478" s="494"/>
      <c r="I1478" s="373"/>
    </row>
    <row r="1479">
      <c r="A1479" s="493"/>
      <c r="B1479" s="494"/>
      <c r="C1479" s="494"/>
      <c r="D1479" s="494"/>
      <c r="E1479" s="494"/>
      <c r="F1479" s="494"/>
      <c r="G1479" s="494"/>
      <c r="H1479" s="494"/>
      <c r="I1479" s="373"/>
    </row>
    <row r="1480">
      <c r="A1480" s="493"/>
      <c r="B1480" s="494"/>
      <c r="C1480" s="494"/>
      <c r="D1480" s="494"/>
      <c r="E1480" s="494"/>
      <c r="F1480" s="494"/>
      <c r="G1480" s="494"/>
      <c r="H1480" s="494"/>
      <c r="I1480" s="373"/>
    </row>
    <row r="1481">
      <c r="A1481" s="493"/>
      <c r="B1481" s="494"/>
      <c r="C1481" s="494"/>
      <c r="D1481" s="494"/>
      <c r="E1481" s="494"/>
      <c r="F1481" s="494"/>
      <c r="G1481" s="494"/>
      <c r="H1481" s="494"/>
      <c r="I1481" s="373"/>
    </row>
    <row r="1482">
      <c r="A1482" s="493"/>
      <c r="B1482" s="494"/>
      <c r="C1482" s="494"/>
      <c r="D1482" s="494"/>
      <c r="E1482" s="494"/>
      <c r="F1482" s="494"/>
      <c r="G1482" s="494"/>
      <c r="H1482" s="494"/>
      <c r="I1482" s="373"/>
    </row>
    <row r="1483">
      <c r="A1483" s="493"/>
      <c r="B1483" s="494"/>
      <c r="C1483" s="494"/>
      <c r="D1483" s="494"/>
      <c r="E1483" s="494"/>
      <c r="F1483" s="494"/>
      <c r="G1483" s="494"/>
      <c r="H1483" s="494"/>
      <c r="I1483" s="373"/>
    </row>
    <row r="1484">
      <c r="A1484" s="493"/>
      <c r="B1484" s="494"/>
      <c r="C1484" s="494"/>
      <c r="D1484" s="494"/>
      <c r="E1484" s="494"/>
      <c r="F1484" s="494"/>
      <c r="G1484" s="494"/>
      <c r="H1484" s="494"/>
      <c r="I1484" s="373"/>
    </row>
    <row r="1485">
      <c r="A1485" s="493"/>
      <c r="B1485" s="494"/>
      <c r="C1485" s="494"/>
      <c r="D1485" s="494"/>
      <c r="E1485" s="494"/>
      <c r="F1485" s="494"/>
      <c r="G1485" s="494"/>
      <c r="H1485" s="494"/>
      <c r="I1485" s="373"/>
    </row>
    <row r="1486">
      <c r="A1486" s="493"/>
      <c r="B1486" s="494"/>
      <c r="C1486" s="494"/>
      <c r="D1486" s="494"/>
      <c r="E1486" s="494"/>
      <c r="F1486" s="494"/>
      <c r="G1486" s="494"/>
      <c r="H1486" s="494"/>
      <c r="I1486" s="373"/>
    </row>
    <row r="1487">
      <c r="A1487" s="493"/>
      <c r="B1487" s="494"/>
      <c r="C1487" s="494"/>
      <c r="D1487" s="494"/>
      <c r="E1487" s="494"/>
      <c r="F1487" s="494"/>
      <c r="G1487" s="494"/>
      <c r="H1487" s="494"/>
      <c r="I1487" s="373"/>
    </row>
    <row r="1488">
      <c r="A1488" s="493"/>
      <c r="B1488" s="494"/>
      <c r="C1488" s="494"/>
      <c r="D1488" s="494"/>
      <c r="E1488" s="494"/>
      <c r="F1488" s="494"/>
      <c r="G1488" s="494"/>
      <c r="H1488" s="494"/>
      <c r="I1488" s="373"/>
    </row>
    <row r="1489">
      <c r="A1489" s="493"/>
      <c r="B1489" s="494"/>
      <c r="C1489" s="494"/>
      <c r="D1489" s="494"/>
      <c r="E1489" s="494"/>
      <c r="F1489" s="494"/>
      <c r="G1489" s="494"/>
      <c r="H1489" s="494"/>
      <c r="I1489" s="373"/>
    </row>
    <row r="1490">
      <c r="A1490" s="493"/>
      <c r="B1490" s="494"/>
      <c r="C1490" s="494"/>
      <c r="D1490" s="494"/>
      <c r="E1490" s="494"/>
      <c r="F1490" s="494"/>
      <c r="G1490" s="494"/>
      <c r="H1490" s="494"/>
      <c r="I1490" s="373"/>
    </row>
    <row r="1491">
      <c r="A1491" s="493"/>
      <c r="B1491" s="494"/>
      <c r="C1491" s="494"/>
      <c r="D1491" s="494"/>
      <c r="E1491" s="494"/>
      <c r="F1491" s="494"/>
      <c r="G1491" s="494"/>
      <c r="H1491" s="494"/>
      <c r="I1491" s="373"/>
    </row>
    <row r="1492">
      <c r="A1492" s="493"/>
      <c r="B1492" s="494"/>
      <c r="C1492" s="494"/>
      <c r="D1492" s="494"/>
      <c r="E1492" s="494"/>
      <c r="F1492" s="494"/>
      <c r="G1492" s="494"/>
      <c r="H1492" s="494"/>
      <c r="I1492" s="373"/>
    </row>
    <row r="1493">
      <c r="A1493" s="493"/>
      <c r="B1493" s="494"/>
      <c r="C1493" s="494"/>
      <c r="D1493" s="494"/>
      <c r="E1493" s="494"/>
      <c r="F1493" s="494"/>
      <c r="G1493" s="494"/>
      <c r="H1493" s="494"/>
      <c r="I1493" s="373"/>
    </row>
    <row r="1494">
      <c r="A1494" s="493"/>
      <c r="B1494" s="494"/>
      <c r="C1494" s="494"/>
      <c r="D1494" s="494"/>
      <c r="E1494" s="494"/>
      <c r="F1494" s="494"/>
      <c r="G1494" s="494"/>
      <c r="H1494" s="494"/>
      <c r="I1494" s="373"/>
    </row>
    <row r="1495">
      <c r="A1495" s="493"/>
      <c r="B1495" s="494"/>
      <c r="C1495" s="494"/>
      <c r="D1495" s="494"/>
      <c r="E1495" s="494"/>
      <c r="F1495" s="494"/>
      <c r="G1495" s="494"/>
      <c r="H1495" s="494"/>
      <c r="I1495" s="373"/>
    </row>
    <row r="1496">
      <c r="A1496" s="493"/>
      <c r="B1496" s="494"/>
      <c r="C1496" s="494"/>
      <c r="D1496" s="494"/>
      <c r="E1496" s="494"/>
      <c r="F1496" s="494"/>
      <c r="G1496" s="494"/>
      <c r="H1496" s="494"/>
      <c r="I1496" s="373"/>
    </row>
    <row r="1497">
      <c r="A1497" s="493"/>
      <c r="B1497" s="494"/>
      <c r="C1497" s="494"/>
      <c r="D1497" s="494"/>
      <c r="E1497" s="494"/>
      <c r="F1497" s="494"/>
      <c r="G1497" s="494"/>
      <c r="H1497" s="494"/>
      <c r="I1497" s="373"/>
    </row>
    <row r="1498">
      <c r="A1498" s="493"/>
      <c r="B1498" s="494"/>
      <c r="C1498" s="494"/>
      <c r="D1498" s="494"/>
      <c r="E1498" s="494"/>
      <c r="F1498" s="494"/>
      <c r="G1498" s="494"/>
      <c r="H1498" s="494"/>
      <c r="I1498" s="373"/>
    </row>
    <row r="1499">
      <c r="A1499" s="493"/>
      <c r="B1499" s="494"/>
      <c r="C1499" s="494"/>
      <c r="D1499" s="494"/>
      <c r="E1499" s="494"/>
      <c r="F1499" s="494"/>
      <c r="G1499" s="494"/>
      <c r="H1499" s="494"/>
      <c r="I1499" s="373"/>
    </row>
    <row r="1500">
      <c r="A1500" s="493"/>
      <c r="B1500" s="494"/>
      <c r="C1500" s="494"/>
      <c r="D1500" s="494"/>
      <c r="E1500" s="494"/>
      <c r="F1500" s="494"/>
      <c r="G1500" s="494"/>
      <c r="H1500" s="494"/>
      <c r="I1500" s="373"/>
    </row>
    <row r="1501">
      <c r="A1501" s="493"/>
      <c r="B1501" s="494"/>
      <c r="C1501" s="494"/>
      <c r="D1501" s="494"/>
      <c r="E1501" s="494"/>
      <c r="F1501" s="494"/>
      <c r="G1501" s="494"/>
      <c r="H1501" s="494"/>
      <c r="I1501" s="373"/>
    </row>
    <row r="1502">
      <c r="A1502" s="493"/>
      <c r="B1502" s="494"/>
      <c r="C1502" s="494"/>
      <c r="D1502" s="494"/>
      <c r="E1502" s="494"/>
      <c r="F1502" s="494"/>
      <c r="G1502" s="494"/>
      <c r="H1502" s="494"/>
      <c r="I1502" s="373"/>
    </row>
    <row r="1503">
      <c r="A1503" s="493"/>
      <c r="B1503" s="494"/>
      <c r="C1503" s="494"/>
      <c r="D1503" s="494"/>
      <c r="E1503" s="494"/>
      <c r="F1503" s="494"/>
      <c r="G1503" s="494"/>
      <c r="H1503" s="494"/>
      <c r="I1503" s="373"/>
    </row>
    <row r="1504">
      <c r="A1504" s="493"/>
      <c r="B1504" s="494"/>
      <c r="C1504" s="494"/>
      <c r="D1504" s="494"/>
      <c r="E1504" s="494"/>
      <c r="F1504" s="494"/>
      <c r="G1504" s="494"/>
      <c r="H1504" s="494"/>
      <c r="I1504" s="373"/>
    </row>
    <row r="1505">
      <c r="A1505" s="493"/>
      <c r="B1505" s="494"/>
      <c r="C1505" s="494"/>
      <c r="D1505" s="494"/>
      <c r="E1505" s="494"/>
      <c r="F1505" s="494"/>
      <c r="G1505" s="494"/>
      <c r="H1505" s="494"/>
      <c r="I1505" s="373"/>
    </row>
    <row r="1506">
      <c r="A1506" s="493"/>
      <c r="B1506" s="494"/>
      <c r="C1506" s="494"/>
      <c r="D1506" s="494"/>
      <c r="E1506" s="494"/>
      <c r="F1506" s="494"/>
      <c r="G1506" s="494"/>
      <c r="H1506" s="494"/>
      <c r="I1506" s="373"/>
    </row>
    <row r="1507">
      <c r="A1507" s="493"/>
      <c r="B1507" s="494"/>
      <c r="C1507" s="494"/>
      <c r="D1507" s="494"/>
      <c r="E1507" s="494"/>
      <c r="F1507" s="494"/>
      <c r="G1507" s="494"/>
      <c r="H1507" s="494"/>
      <c r="I1507" s="373"/>
    </row>
    <row r="1508">
      <c r="A1508" s="493"/>
      <c r="B1508" s="494"/>
      <c r="C1508" s="494"/>
      <c r="D1508" s="494"/>
      <c r="E1508" s="494"/>
      <c r="F1508" s="494"/>
      <c r="G1508" s="494"/>
      <c r="H1508" s="494"/>
      <c r="I1508" s="373"/>
    </row>
    <row r="1509">
      <c r="A1509" s="493"/>
      <c r="B1509" s="494"/>
      <c r="C1509" s="494"/>
      <c r="D1509" s="494"/>
      <c r="E1509" s="494"/>
      <c r="F1509" s="494"/>
      <c r="G1509" s="494"/>
      <c r="H1509" s="494"/>
      <c r="I1509" s="373"/>
    </row>
    <row r="1510">
      <c r="A1510" s="493"/>
      <c r="B1510" s="494"/>
      <c r="C1510" s="494"/>
      <c r="D1510" s="494"/>
      <c r="E1510" s="494"/>
      <c r="F1510" s="494"/>
      <c r="G1510" s="494"/>
      <c r="H1510" s="494"/>
      <c r="I1510" s="373"/>
    </row>
    <row r="1511">
      <c r="A1511" s="493"/>
      <c r="B1511" s="494"/>
      <c r="C1511" s="494"/>
      <c r="D1511" s="494"/>
      <c r="E1511" s="494"/>
      <c r="F1511" s="494"/>
      <c r="G1511" s="494"/>
      <c r="H1511" s="494"/>
      <c r="I1511" s="373"/>
    </row>
    <row r="1512">
      <c r="A1512" s="493"/>
      <c r="B1512" s="494"/>
      <c r="C1512" s="494"/>
      <c r="D1512" s="494"/>
      <c r="E1512" s="494"/>
      <c r="F1512" s="494"/>
      <c r="G1512" s="494"/>
      <c r="H1512" s="494"/>
      <c r="I1512" s="373"/>
    </row>
    <row r="1513">
      <c r="A1513" s="493"/>
      <c r="B1513" s="494"/>
      <c r="C1513" s="494"/>
      <c r="D1513" s="494"/>
      <c r="E1513" s="494"/>
      <c r="F1513" s="494"/>
      <c r="G1513" s="494"/>
      <c r="H1513" s="494"/>
      <c r="I1513" s="373"/>
    </row>
    <row r="1514">
      <c r="A1514" s="493"/>
      <c r="B1514" s="494"/>
      <c r="C1514" s="494"/>
      <c r="D1514" s="494"/>
      <c r="E1514" s="494"/>
      <c r="F1514" s="494"/>
      <c r="G1514" s="494"/>
      <c r="H1514" s="494"/>
      <c r="I1514" s="373"/>
    </row>
    <row r="1515">
      <c r="A1515" s="493"/>
      <c r="B1515" s="494"/>
      <c r="C1515" s="494"/>
      <c r="D1515" s="494"/>
      <c r="E1515" s="494"/>
      <c r="F1515" s="494"/>
      <c r="G1515" s="494"/>
      <c r="H1515" s="494"/>
      <c r="I1515" s="373"/>
    </row>
    <row r="1516">
      <c r="A1516" s="493"/>
      <c r="B1516" s="494"/>
      <c r="C1516" s="494"/>
      <c r="D1516" s="494"/>
      <c r="E1516" s="494"/>
      <c r="F1516" s="494"/>
      <c r="G1516" s="494"/>
      <c r="H1516" s="494"/>
      <c r="I1516" s="373"/>
    </row>
    <row r="1517">
      <c r="A1517" s="493"/>
      <c r="B1517" s="494"/>
      <c r="C1517" s="494"/>
      <c r="D1517" s="494"/>
      <c r="E1517" s="494"/>
      <c r="F1517" s="494"/>
      <c r="G1517" s="494"/>
      <c r="H1517" s="494"/>
      <c r="I1517" s="373"/>
    </row>
    <row r="1518">
      <c r="A1518" s="493"/>
      <c r="B1518" s="494"/>
      <c r="C1518" s="494"/>
      <c r="D1518" s="494"/>
      <c r="E1518" s="494"/>
      <c r="F1518" s="494"/>
      <c r="G1518" s="494"/>
      <c r="H1518" s="494"/>
      <c r="I1518" s="373"/>
    </row>
    <row r="1519">
      <c r="A1519" s="493"/>
      <c r="B1519" s="494"/>
      <c r="C1519" s="494"/>
      <c r="D1519" s="494"/>
      <c r="E1519" s="494"/>
      <c r="F1519" s="494"/>
      <c r="G1519" s="494"/>
      <c r="H1519" s="494"/>
      <c r="I1519" s="373"/>
    </row>
    <row r="1520">
      <c r="A1520" s="493"/>
      <c r="B1520" s="494"/>
      <c r="C1520" s="494"/>
      <c r="D1520" s="494"/>
      <c r="E1520" s="494"/>
      <c r="F1520" s="494"/>
      <c r="G1520" s="494"/>
      <c r="H1520" s="494"/>
      <c r="I1520" s="373"/>
    </row>
    <row r="1521">
      <c r="A1521" s="493"/>
      <c r="B1521" s="494"/>
      <c r="C1521" s="494"/>
      <c r="D1521" s="494"/>
      <c r="E1521" s="494"/>
      <c r="F1521" s="494"/>
      <c r="G1521" s="494"/>
      <c r="H1521" s="494"/>
      <c r="I1521" s="373"/>
    </row>
    <row r="1522">
      <c r="A1522" s="493"/>
      <c r="B1522" s="494"/>
      <c r="C1522" s="494"/>
      <c r="D1522" s="494"/>
      <c r="E1522" s="494"/>
      <c r="F1522" s="494"/>
      <c r="G1522" s="494"/>
      <c r="H1522" s="494"/>
      <c r="I1522" s="373"/>
    </row>
    <row r="1523">
      <c r="A1523" s="493"/>
      <c r="B1523" s="494"/>
      <c r="C1523" s="494"/>
      <c r="D1523" s="494"/>
      <c r="E1523" s="494"/>
      <c r="F1523" s="494"/>
      <c r="G1523" s="494"/>
      <c r="H1523" s="494"/>
      <c r="I1523" s="373"/>
    </row>
    <row r="1524">
      <c r="A1524" s="493"/>
      <c r="B1524" s="494"/>
      <c r="C1524" s="494"/>
      <c r="D1524" s="494"/>
      <c r="E1524" s="494"/>
      <c r="F1524" s="494"/>
      <c r="G1524" s="494"/>
      <c r="H1524" s="494"/>
      <c r="I1524" s="373"/>
    </row>
    <row r="1525">
      <c r="A1525" s="493"/>
      <c r="B1525" s="494"/>
      <c r="C1525" s="494"/>
      <c r="D1525" s="494"/>
      <c r="E1525" s="494"/>
      <c r="F1525" s="494"/>
      <c r="G1525" s="494"/>
      <c r="H1525" s="494"/>
      <c r="I1525" s="373"/>
    </row>
    <row r="1526">
      <c r="A1526" s="493"/>
      <c r="B1526" s="494"/>
      <c r="C1526" s="494"/>
      <c r="D1526" s="494"/>
      <c r="E1526" s="494"/>
      <c r="F1526" s="494"/>
      <c r="G1526" s="494"/>
      <c r="H1526" s="494"/>
      <c r="I1526" s="373"/>
    </row>
    <row r="1527">
      <c r="A1527" s="493"/>
      <c r="B1527" s="494"/>
      <c r="C1527" s="494"/>
      <c r="D1527" s="494"/>
      <c r="E1527" s="494"/>
      <c r="F1527" s="494"/>
      <c r="G1527" s="494"/>
      <c r="H1527" s="494"/>
      <c r="I1527" s="373"/>
    </row>
    <row r="1528">
      <c r="A1528" s="493"/>
      <c r="B1528" s="494"/>
      <c r="C1528" s="494"/>
      <c r="D1528" s="494"/>
      <c r="E1528" s="494"/>
      <c r="F1528" s="494"/>
      <c r="G1528" s="494"/>
      <c r="H1528" s="494"/>
      <c r="I1528" s="373"/>
    </row>
    <row r="1529">
      <c r="A1529" s="493"/>
      <c r="B1529" s="494"/>
      <c r="C1529" s="494"/>
      <c r="D1529" s="494"/>
      <c r="E1529" s="494"/>
      <c r="F1529" s="494"/>
      <c r="G1529" s="494"/>
      <c r="H1529" s="494"/>
      <c r="I1529" s="373"/>
    </row>
    <row r="1530">
      <c r="A1530" s="493"/>
      <c r="B1530" s="494"/>
      <c r="C1530" s="494"/>
      <c r="D1530" s="494"/>
      <c r="E1530" s="494"/>
      <c r="F1530" s="494"/>
      <c r="G1530" s="494"/>
      <c r="H1530" s="494"/>
      <c r="I1530" s="373"/>
    </row>
    <row r="1531">
      <c r="A1531" s="493"/>
      <c r="B1531" s="494"/>
      <c r="C1531" s="494"/>
      <c r="D1531" s="494"/>
      <c r="E1531" s="494"/>
      <c r="F1531" s="494"/>
      <c r="G1531" s="494"/>
      <c r="H1531" s="494"/>
      <c r="I1531" s="373"/>
    </row>
    <row r="1532">
      <c r="A1532" s="493"/>
      <c r="B1532" s="494"/>
      <c r="C1532" s="494"/>
      <c r="D1532" s="494"/>
      <c r="E1532" s="494"/>
      <c r="F1532" s="494"/>
      <c r="G1532" s="494"/>
      <c r="H1532" s="494"/>
      <c r="I1532" s="373"/>
    </row>
    <row r="1533">
      <c r="A1533" s="493"/>
      <c r="B1533" s="494"/>
      <c r="C1533" s="494"/>
      <c r="D1533" s="494"/>
      <c r="E1533" s="494"/>
      <c r="F1533" s="494"/>
      <c r="G1533" s="494"/>
      <c r="H1533" s="494"/>
      <c r="I1533" s="373"/>
    </row>
    <row r="1534">
      <c r="A1534" s="493"/>
      <c r="B1534" s="494"/>
      <c r="C1534" s="494"/>
      <c r="D1534" s="494"/>
      <c r="E1534" s="494"/>
      <c r="F1534" s="494"/>
      <c r="G1534" s="494"/>
      <c r="H1534" s="494"/>
      <c r="I1534" s="373"/>
    </row>
    <row r="1535">
      <c r="A1535" s="493"/>
      <c r="B1535" s="494"/>
      <c r="C1535" s="494"/>
      <c r="D1535" s="494"/>
      <c r="E1535" s="494"/>
      <c r="F1535" s="494"/>
      <c r="G1535" s="494"/>
      <c r="H1535" s="494"/>
      <c r="I1535" s="373"/>
    </row>
    <row r="1536">
      <c r="A1536" s="493"/>
      <c r="B1536" s="494"/>
      <c r="C1536" s="494"/>
      <c r="D1536" s="494"/>
      <c r="E1536" s="494"/>
      <c r="F1536" s="494"/>
      <c r="G1536" s="494"/>
      <c r="H1536" s="494"/>
      <c r="I1536" s="373"/>
    </row>
    <row r="1537">
      <c r="A1537" s="493"/>
      <c r="B1537" s="494"/>
      <c r="C1537" s="494"/>
      <c r="D1537" s="494"/>
      <c r="E1537" s="494"/>
      <c r="F1537" s="494"/>
      <c r="G1537" s="494"/>
      <c r="H1537" s="494"/>
      <c r="I1537" s="373"/>
    </row>
    <row r="1538">
      <c r="A1538" s="493"/>
      <c r="B1538" s="494"/>
      <c r="C1538" s="494"/>
      <c r="D1538" s="494"/>
      <c r="E1538" s="494"/>
      <c r="F1538" s="494"/>
      <c r="G1538" s="494"/>
      <c r="H1538" s="494"/>
      <c r="I1538" s="373"/>
    </row>
    <row r="1539">
      <c r="A1539" s="493"/>
      <c r="B1539" s="494"/>
      <c r="C1539" s="494"/>
      <c r="D1539" s="494"/>
      <c r="E1539" s="494"/>
      <c r="F1539" s="494"/>
      <c r="G1539" s="494"/>
      <c r="H1539" s="494"/>
      <c r="I1539" s="373"/>
    </row>
    <row r="1540">
      <c r="A1540" s="493"/>
      <c r="B1540" s="494"/>
      <c r="C1540" s="494"/>
      <c r="D1540" s="494"/>
      <c r="E1540" s="494"/>
      <c r="F1540" s="494"/>
      <c r="G1540" s="494"/>
      <c r="H1540" s="494"/>
      <c r="I1540" s="373"/>
    </row>
    <row r="1541">
      <c r="A1541" s="493"/>
      <c r="B1541" s="494"/>
      <c r="C1541" s="494"/>
      <c r="D1541" s="494"/>
      <c r="E1541" s="494"/>
      <c r="F1541" s="494"/>
      <c r="G1541" s="494"/>
      <c r="H1541" s="494"/>
      <c r="I1541" s="373"/>
    </row>
    <row r="1542">
      <c r="A1542" s="493"/>
      <c r="B1542" s="494"/>
      <c r="C1542" s="494"/>
      <c r="D1542" s="494"/>
      <c r="E1542" s="494"/>
      <c r="F1542" s="494"/>
      <c r="G1542" s="494"/>
      <c r="H1542" s="494"/>
      <c r="I1542" s="373"/>
    </row>
    <row r="1543">
      <c r="A1543" s="493"/>
      <c r="B1543" s="494"/>
      <c r="C1543" s="494"/>
      <c r="D1543" s="494"/>
      <c r="E1543" s="494"/>
      <c r="F1543" s="494"/>
      <c r="G1543" s="494"/>
      <c r="H1543" s="494"/>
      <c r="I1543" s="373"/>
    </row>
    <row r="1544">
      <c r="A1544" s="493"/>
      <c r="B1544" s="494"/>
      <c r="C1544" s="494"/>
      <c r="D1544" s="494"/>
      <c r="E1544" s="494"/>
      <c r="F1544" s="494"/>
      <c r="G1544" s="494"/>
      <c r="H1544" s="494"/>
      <c r="I1544" s="373"/>
    </row>
    <row r="1545">
      <c r="A1545" s="493"/>
      <c r="B1545" s="494"/>
      <c r="C1545" s="494"/>
      <c r="D1545" s="494"/>
      <c r="E1545" s="494"/>
      <c r="F1545" s="494"/>
      <c r="G1545" s="494"/>
      <c r="H1545" s="494"/>
      <c r="I1545" s="373"/>
    </row>
    <row r="1546">
      <c r="A1546" s="493"/>
      <c r="B1546" s="494"/>
      <c r="C1546" s="494"/>
      <c r="D1546" s="494"/>
      <c r="E1546" s="494"/>
      <c r="F1546" s="494"/>
      <c r="G1546" s="494"/>
      <c r="H1546" s="494"/>
      <c r="I1546" s="373"/>
    </row>
    <row r="1547">
      <c r="A1547" s="493"/>
      <c r="B1547" s="494"/>
      <c r="C1547" s="494"/>
      <c r="D1547" s="494"/>
      <c r="E1547" s="494"/>
      <c r="F1547" s="494"/>
      <c r="G1547" s="494"/>
      <c r="H1547" s="494"/>
      <c r="I1547" s="373"/>
    </row>
    <row r="1548">
      <c r="A1548" s="493"/>
      <c r="B1548" s="494"/>
      <c r="C1548" s="494"/>
      <c r="D1548" s="494"/>
      <c r="E1548" s="494"/>
      <c r="F1548" s="494"/>
      <c r="G1548" s="494"/>
      <c r="H1548" s="494"/>
      <c r="I1548" s="373"/>
    </row>
    <row r="1549">
      <c r="A1549" s="493"/>
      <c r="B1549" s="494"/>
      <c r="C1549" s="494"/>
      <c r="D1549" s="494"/>
      <c r="E1549" s="494"/>
      <c r="F1549" s="494"/>
      <c r="G1549" s="494"/>
      <c r="H1549" s="494"/>
      <c r="I1549" s="373"/>
    </row>
    <row r="1550">
      <c r="A1550" s="493"/>
      <c r="B1550" s="494"/>
      <c r="C1550" s="494"/>
      <c r="D1550" s="494"/>
      <c r="E1550" s="494"/>
      <c r="F1550" s="494"/>
      <c r="G1550" s="494"/>
      <c r="H1550" s="494"/>
      <c r="I1550" s="373"/>
    </row>
    <row r="1551">
      <c r="A1551" s="493"/>
      <c r="B1551" s="494"/>
      <c r="C1551" s="494"/>
      <c r="D1551" s="494"/>
      <c r="E1551" s="494"/>
      <c r="F1551" s="494"/>
      <c r="G1551" s="494"/>
      <c r="H1551" s="494"/>
      <c r="I1551" s="373"/>
    </row>
    <row r="1552">
      <c r="A1552" s="493"/>
      <c r="B1552" s="494"/>
      <c r="C1552" s="494"/>
      <c r="D1552" s="494"/>
      <c r="E1552" s="494"/>
      <c r="F1552" s="494"/>
      <c r="G1552" s="494"/>
      <c r="H1552" s="494"/>
      <c r="I1552" s="373"/>
    </row>
    <row r="1553">
      <c r="A1553" s="493"/>
      <c r="B1553" s="494"/>
      <c r="C1553" s="494"/>
      <c r="D1553" s="494"/>
      <c r="E1553" s="494"/>
      <c r="F1553" s="494"/>
      <c r="G1553" s="494"/>
      <c r="H1553" s="494"/>
      <c r="I1553" s="373"/>
    </row>
    <row r="1554">
      <c r="A1554" s="493"/>
      <c r="B1554" s="494"/>
      <c r="C1554" s="494"/>
      <c r="D1554" s="494"/>
      <c r="E1554" s="494"/>
      <c r="F1554" s="494"/>
      <c r="G1554" s="494"/>
      <c r="H1554" s="494"/>
      <c r="I1554" s="373"/>
    </row>
    <row r="1555">
      <c r="A1555" s="493"/>
      <c r="B1555" s="494"/>
      <c r="C1555" s="494"/>
      <c r="D1555" s="494"/>
      <c r="E1555" s="494"/>
      <c r="F1555" s="494"/>
      <c r="G1555" s="494"/>
      <c r="H1555" s="494"/>
      <c r="I1555" s="373"/>
    </row>
    <row r="1556">
      <c r="A1556" s="493"/>
      <c r="B1556" s="494"/>
      <c r="C1556" s="494"/>
      <c r="D1556" s="494"/>
      <c r="E1556" s="494"/>
      <c r="F1556" s="494"/>
      <c r="G1556" s="494"/>
      <c r="H1556" s="494"/>
      <c r="I1556" s="373"/>
    </row>
    <row r="1557">
      <c r="A1557" s="493"/>
      <c r="B1557" s="494"/>
      <c r="C1557" s="494"/>
      <c r="D1557" s="494"/>
      <c r="E1557" s="494"/>
      <c r="F1557" s="494"/>
      <c r="G1557" s="494"/>
      <c r="H1557" s="494"/>
      <c r="I1557" s="373"/>
    </row>
    <row r="1558">
      <c r="A1558" s="493"/>
      <c r="B1558" s="494"/>
      <c r="C1558" s="494"/>
      <c r="D1558" s="494"/>
      <c r="E1558" s="494"/>
      <c r="F1558" s="494"/>
      <c r="G1558" s="494"/>
      <c r="H1558" s="494"/>
      <c r="I1558" s="373"/>
    </row>
    <row r="1559">
      <c r="A1559" s="493"/>
      <c r="B1559" s="494"/>
      <c r="C1559" s="494"/>
      <c r="D1559" s="494"/>
      <c r="E1559" s="494"/>
      <c r="F1559" s="494"/>
      <c r="G1559" s="494"/>
      <c r="H1559" s="494"/>
      <c r="I1559" s="373"/>
    </row>
    <row r="1560">
      <c r="A1560" s="493"/>
      <c r="B1560" s="494"/>
      <c r="C1560" s="494"/>
      <c r="D1560" s="494"/>
      <c r="E1560" s="494"/>
      <c r="F1560" s="494"/>
      <c r="G1560" s="494"/>
      <c r="H1560" s="494"/>
      <c r="I1560" s="373"/>
    </row>
    <row r="1561">
      <c r="A1561" s="493"/>
      <c r="B1561" s="494"/>
      <c r="C1561" s="494"/>
      <c r="D1561" s="494"/>
      <c r="E1561" s="494"/>
      <c r="F1561" s="494"/>
      <c r="G1561" s="494"/>
      <c r="H1561" s="494"/>
      <c r="I1561" s="373"/>
    </row>
    <row r="1562">
      <c r="A1562" s="493"/>
      <c r="B1562" s="494"/>
      <c r="C1562" s="494"/>
      <c r="D1562" s="494"/>
      <c r="E1562" s="494"/>
      <c r="F1562" s="494"/>
      <c r="G1562" s="494"/>
      <c r="H1562" s="494"/>
      <c r="I1562" s="373"/>
    </row>
    <row r="1563">
      <c r="A1563" s="493"/>
      <c r="B1563" s="494"/>
      <c r="C1563" s="494"/>
      <c r="D1563" s="494"/>
      <c r="E1563" s="494"/>
      <c r="F1563" s="494"/>
      <c r="G1563" s="494"/>
      <c r="H1563" s="494"/>
      <c r="I1563" s="373"/>
    </row>
    <row r="1564">
      <c r="A1564" s="493"/>
      <c r="B1564" s="494"/>
      <c r="C1564" s="494"/>
      <c r="D1564" s="494"/>
      <c r="E1564" s="494"/>
      <c r="F1564" s="494"/>
      <c r="G1564" s="494"/>
      <c r="H1564" s="494"/>
      <c r="I1564" s="373"/>
    </row>
    <row r="1565">
      <c r="A1565" s="493"/>
      <c r="B1565" s="494"/>
      <c r="C1565" s="494"/>
      <c r="D1565" s="494"/>
      <c r="E1565" s="494"/>
      <c r="F1565" s="494"/>
      <c r="G1565" s="494"/>
      <c r="H1565" s="494"/>
      <c r="I1565" s="373"/>
    </row>
    <row r="1566">
      <c r="A1566" s="493"/>
      <c r="B1566" s="494"/>
      <c r="C1566" s="494"/>
      <c r="D1566" s="494"/>
      <c r="E1566" s="494"/>
      <c r="F1566" s="494"/>
      <c r="G1566" s="494"/>
      <c r="H1566" s="494"/>
      <c r="I1566" s="373"/>
    </row>
    <row r="1567">
      <c r="A1567" s="493"/>
      <c r="B1567" s="494"/>
      <c r="C1567" s="494"/>
      <c r="D1567" s="494"/>
      <c r="E1567" s="494"/>
      <c r="F1567" s="494"/>
      <c r="G1567" s="494"/>
      <c r="H1567" s="494"/>
      <c r="I1567" s="373"/>
    </row>
    <row r="1568">
      <c r="A1568" s="493"/>
      <c r="B1568" s="494"/>
      <c r="C1568" s="494"/>
      <c r="D1568" s="494"/>
      <c r="E1568" s="494"/>
      <c r="F1568" s="494"/>
      <c r="G1568" s="494"/>
      <c r="H1568" s="494"/>
      <c r="I1568" s="373"/>
    </row>
    <row r="1569">
      <c r="A1569" s="493"/>
      <c r="B1569" s="494"/>
      <c r="C1569" s="494"/>
      <c r="D1569" s="494"/>
      <c r="E1569" s="494"/>
      <c r="F1569" s="494"/>
      <c r="G1569" s="494"/>
      <c r="H1569" s="494"/>
      <c r="I1569" s="373"/>
    </row>
    <row r="1570">
      <c r="A1570" s="493"/>
      <c r="B1570" s="494"/>
      <c r="C1570" s="494"/>
      <c r="D1570" s="494"/>
      <c r="E1570" s="494"/>
      <c r="F1570" s="494"/>
      <c r="G1570" s="494"/>
      <c r="H1570" s="494"/>
      <c r="I1570" s="373"/>
    </row>
    <row r="1571">
      <c r="A1571" s="493"/>
      <c r="B1571" s="494"/>
      <c r="C1571" s="494"/>
      <c r="D1571" s="494"/>
      <c r="E1571" s="494"/>
      <c r="F1571" s="494"/>
      <c r="G1571" s="494"/>
      <c r="H1571" s="494"/>
      <c r="I1571" s="373"/>
    </row>
    <row r="1572">
      <c r="A1572" s="493"/>
      <c r="B1572" s="494"/>
      <c r="C1572" s="494"/>
      <c r="D1572" s="494"/>
      <c r="E1572" s="494"/>
      <c r="F1572" s="494"/>
      <c r="G1572" s="494"/>
      <c r="H1572" s="494"/>
      <c r="I1572" s="373"/>
    </row>
    <row r="1573">
      <c r="A1573" s="493"/>
      <c r="B1573" s="494"/>
      <c r="C1573" s="494"/>
      <c r="D1573" s="494"/>
      <c r="E1573" s="494"/>
      <c r="F1573" s="494"/>
      <c r="G1573" s="494"/>
      <c r="H1573" s="494"/>
      <c r="I1573" s="373"/>
    </row>
    <row r="1574">
      <c r="A1574" s="493"/>
      <c r="B1574" s="494"/>
      <c r="C1574" s="494"/>
      <c r="D1574" s="494"/>
      <c r="E1574" s="494"/>
      <c r="F1574" s="494"/>
      <c r="G1574" s="494"/>
      <c r="H1574" s="494"/>
      <c r="I1574" s="373"/>
    </row>
    <row r="1575">
      <c r="A1575" s="493"/>
      <c r="B1575" s="494"/>
      <c r="C1575" s="494"/>
      <c r="D1575" s="494"/>
      <c r="E1575" s="494"/>
      <c r="F1575" s="494"/>
      <c r="G1575" s="494"/>
      <c r="H1575" s="494"/>
      <c r="I1575" s="373"/>
    </row>
    <row r="1576">
      <c r="A1576" s="493"/>
      <c r="B1576" s="494"/>
      <c r="C1576" s="494"/>
      <c r="D1576" s="494"/>
      <c r="E1576" s="494"/>
      <c r="F1576" s="494"/>
      <c r="G1576" s="494"/>
      <c r="H1576" s="494"/>
      <c r="I1576" s="373"/>
    </row>
    <row r="1577">
      <c r="A1577" s="493"/>
      <c r="B1577" s="494"/>
      <c r="C1577" s="494"/>
      <c r="D1577" s="494"/>
      <c r="E1577" s="494"/>
      <c r="F1577" s="494"/>
      <c r="G1577" s="494"/>
      <c r="H1577" s="494"/>
      <c r="I1577" s="373"/>
    </row>
    <row r="1578">
      <c r="A1578" s="493"/>
      <c r="B1578" s="494"/>
      <c r="C1578" s="494"/>
      <c r="D1578" s="494"/>
      <c r="E1578" s="494"/>
      <c r="F1578" s="494"/>
      <c r="G1578" s="494"/>
      <c r="H1578" s="494"/>
      <c r="I1578" s="373"/>
    </row>
    <row r="1579">
      <c r="A1579" s="493"/>
      <c r="B1579" s="494"/>
      <c r="C1579" s="494"/>
      <c r="D1579" s="494"/>
      <c r="E1579" s="494"/>
      <c r="F1579" s="494"/>
      <c r="G1579" s="494"/>
      <c r="H1579" s="494"/>
      <c r="I1579" s="373"/>
    </row>
    <row r="1580">
      <c r="A1580" s="493"/>
      <c r="B1580" s="494"/>
      <c r="C1580" s="494"/>
      <c r="D1580" s="494"/>
      <c r="E1580" s="494"/>
      <c r="F1580" s="494"/>
      <c r="G1580" s="494"/>
      <c r="H1580" s="494"/>
      <c r="I1580" s="373"/>
    </row>
    <row r="1581">
      <c r="A1581" s="493"/>
      <c r="B1581" s="494"/>
      <c r="C1581" s="494"/>
      <c r="D1581" s="494"/>
      <c r="E1581" s="494"/>
      <c r="F1581" s="494"/>
      <c r="G1581" s="494"/>
      <c r="H1581" s="494"/>
      <c r="I1581" s="373"/>
    </row>
    <row r="1582">
      <c r="A1582" s="493"/>
      <c r="B1582" s="494"/>
      <c r="C1582" s="494"/>
      <c r="D1582" s="494"/>
      <c r="E1582" s="494"/>
      <c r="F1582" s="494"/>
      <c r="G1582" s="494"/>
      <c r="H1582" s="494"/>
      <c r="I1582" s="373"/>
    </row>
    <row r="1583">
      <c r="A1583" s="493"/>
      <c r="B1583" s="494"/>
      <c r="C1583" s="494"/>
      <c r="D1583" s="494"/>
      <c r="E1583" s="494"/>
      <c r="F1583" s="494"/>
      <c r="G1583" s="494"/>
      <c r="H1583" s="494"/>
      <c r="I1583" s="373"/>
    </row>
    <row r="1584">
      <c r="A1584" s="493"/>
      <c r="B1584" s="494"/>
      <c r="C1584" s="494"/>
      <c r="D1584" s="494"/>
      <c r="E1584" s="494"/>
      <c r="F1584" s="494"/>
      <c r="G1584" s="494"/>
      <c r="H1584" s="494"/>
      <c r="I1584" s="373"/>
    </row>
    <row r="1585">
      <c r="A1585" s="493"/>
      <c r="B1585" s="494"/>
      <c r="C1585" s="494"/>
      <c r="D1585" s="494"/>
      <c r="E1585" s="494"/>
      <c r="F1585" s="494"/>
      <c r="G1585" s="494"/>
      <c r="H1585" s="494"/>
      <c r="I1585" s="373"/>
    </row>
    <row r="1586">
      <c r="A1586" s="493"/>
      <c r="B1586" s="494"/>
      <c r="C1586" s="494"/>
      <c r="D1586" s="494"/>
      <c r="E1586" s="494"/>
      <c r="F1586" s="494"/>
      <c r="G1586" s="494"/>
      <c r="H1586" s="494"/>
      <c r="I1586" s="373"/>
    </row>
    <row r="1587">
      <c r="A1587" s="493"/>
      <c r="B1587" s="494"/>
      <c r="C1587" s="494"/>
      <c r="D1587" s="494"/>
      <c r="E1587" s="494"/>
      <c r="F1587" s="494"/>
      <c r="G1587" s="494"/>
      <c r="H1587" s="494"/>
      <c r="I1587" s="373"/>
    </row>
    <row r="1588">
      <c r="A1588" s="493"/>
      <c r="B1588" s="494"/>
      <c r="C1588" s="494"/>
      <c r="D1588" s="494"/>
      <c r="E1588" s="494"/>
      <c r="F1588" s="494"/>
      <c r="G1588" s="494"/>
      <c r="H1588" s="494"/>
      <c r="I1588" s="373"/>
    </row>
    <row r="1589">
      <c r="A1589" s="493"/>
      <c r="B1589" s="494"/>
      <c r="C1589" s="494"/>
      <c r="D1589" s="494"/>
      <c r="E1589" s="494"/>
      <c r="F1589" s="494"/>
      <c r="G1589" s="494"/>
      <c r="H1589" s="494"/>
      <c r="I1589" s="373"/>
    </row>
    <row r="1590">
      <c r="A1590" s="493"/>
      <c r="B1590" s="494"/>
      <c r="C1590" s="494"/>
      <c r="D1590" s="494"/>
      <c r="E1590" s="494"/>
      <c r="F1590" s="494"/>
      <c r="G1590" s="494"/>
      <c r="H1590" s="494"/>
      <c r="I1590" s="373"/>
    </row>
    <row r="1591">
      <c r="A1591" s="493"/>
      <c r="B1591" s="494"/>
      <c r="C1591" s="494"/>
      <c r="D1591" s="494"/>
      <c r="E1591" s="494"/>
      <c r="F1591" s="494"/>
      <c r="G1591" s="494"/>
      <c r="H1591" s="494"/>
      <c r="I1591" s="373"/>
    </row>
    <row r="1592">
      <c r="A1592" s="493"/>
      <c r="B1592" s="494"/>
      <c r="C1592" s="494"/>
      <c r="D1592" s="494"/>
      <c r="E1592" s="494"/>
      <c r="F1592" s="494"/>
      <c r="G1592" s="494"/>
      <c r="H1592" s="494"/>
      <c r="I1592" s="373"/>
    </row>
    <row r="1593">
      <c r="A1593" s="493"/>
      <c r="B1593" s="494"/>
      <c r="C1593" s="494"/>
      <c r="D1593" s="494"/>
      <c r="E1593" s="494"/>
      <c r="F1593" s="494"/>
      <c r="G1593" s="494"/>
      <c r="H1593" s="494"/>
      <c r="I1593" s="373"/>
    </row>
    <row r="1594">
      <c r="A1594" s="493"/>
      <c r="B1594" s="494"/>
      <c r="C1594" s="494"/>
      <c r="D1594" s="494"/>
      <c r="E1594" s="494"/>
      <c r="F1594" s="494"/>
      <c r="G1594" s="494"/>
      <c r="H1594" s="494"/>
      <c r="I1594" s="373"/>
    </row>
    <row r="1595">
      <c r="A1595" s="493"/>
      <c r="B1595" s="494"/>
      <c r="C1595" s="494"/>
      <c r="D1595" s="494"/>
      <c r="E1595" s="494"/>
      <c r="F1595" s="494"/>
      <c r="G1595" s="494"/>
      <c r="H1595" s="494"/>
      <c r="I1595" s="373"/>
    </row>
    <row r="1596">
      <c r="A1596" s="493"/>
      <c r="B1596" s="494"/>
      <c r="C1596" s="494"/>
      <c r="D1596" s="494"/>
      <c r="E1596" s="494"/>
      <c r="F1596" s="494"/>
      <c r="G1596" s="494"/>
      <c r="H1596" s="494"/>
      <c r="I1596" s="373"/>
    </row>
    <row r="1597">
      <c r="A1597" s="493"/>
      <c r="B1597" s="494"/>
      <c r="C1597" s="494"/>
      <c r="D1597" s="494"/>
      <c r="E1597" s="494"/>
      <c r="F1597" s="494"/>
      <c r="G1597" s="494"/>
      <c r="H1597" s="494"/>
      <c r="I1597" s="373"/>
    </row>
    <row r="1598">
      <c r="A1598" s="493"/>
      <c r="B1598" s="494"/>
      <c r="C1598" s="494"/>
      <c r="D1598" s="494"/>
      <c r="E1598" s="494"/>
      <c r="F1598" s="494"/>
      <c r="G1598" s="494"/>
      <c r="H1598" s="494"/>
      <c r="I1598" s="373"/>
    </row>
    <row r="1599">
      <c r="A1599" s="493"/>
      <c r="B1599" s="494"/>
      <c r="C1599" s="494"/>
      <c r="D1599" s="494"/>
      <c r="E1599" s="494"/>
      <c r="F1599" s="494"/>
      <c r="G1599" s="494"/>
      <c r="H1599" s="494"/>
      <c r="I1599" s="373"/>
    </row>
    <row r="1600">
      <c r="A1600" s="493"/>
      <c r="B1600" s="494"/>
      <c r="C1600" s="494"/>
      <c r="D1600" s="494"/>
      <c r="E1600" s="494"/>
      <c r="F1600" s="494"/>
      <c r="G1600" s="494"/>
      <c r="H1600" s="494"/>
      <c r="I1600" s="373"/>
    </row>
    <row r="1601">
      <c r="A1601" s="493"/>
      <c r="B1601" s="494"/>
      <c r="C1601" s="494"/>
      <c r="D1601" s="494"/>
      <c r="E1601" s="494"/>
      <c r="F1601" s="494"/>
      <c r="G1601" s="494"/>
      <c r="H1601" s="494"/>
      <c r="I1601" s="373"/>
    </row>
    <row r="1602">
      <c r="A1602" s="493"/>
      <c r="B1602" s="494"/>
      <c r="C1602" s="494"/>
      <c r="D1602" s="494"/>
      <c r="E1602" s="494"/>
      <c r="F1602" s="494"/>
      <c r="G1602" s="494"/>
      <c r="H1602" s="494"/>
      <c r="I1602" s="373"/>
    </row>
    <row r="1603">
      <c r="A1603" s="493"/>
      <c r="B1603" s="494"/>
      <c r="C1603" s="494"/>
      <c r="D1603" s="494"/>
      <c r="E1603" s="494"/>
      <c r="F1603" s="494"/>
      <c r="G1603" s="494"/>
      <c r="H1603" s="494"/>
      <c r="I1603" s="373"/>
    </row>
    <row r="1604">
      <c r="A1604" s="493"/>
      <c r="B1604" s="494"/>
      <c r="C1604" s="494"/>
      <c r="D1604" s="494"/>
      <c r="E1604" s="494"/>
      <c r="F1604" s="494"/>
      <c r="G1604" s="494"/>
      <c r="H1604" s="494"/>
      <c r="I1604" s="373"/>
    </row>
    <row r="1605">
      <c r="A1605" s="493"/>
      <c r="B1605" s="494"/>
      <c r="C1605" s="494"/>
      <c r="D1605" s="494"/>
      <c r="E1605" s="494"/>
      <c r="F1605" s="494"/>
      <c r="G1605" s="494"/>
      <c r="H1605" s="494"/>
      <c r="I1605" s="373"/>
    </row>
    <row r="1606">
      <c r="A1606" s="493"/>
      <c r="B1606" s="494"/>
      <c r="C1606" s="494"/>
      <c r="D1606" s="494"/>
      <c r="E1606" s="494"/>
      <c r="F1606" s="494"/>
      <c r="G1606" s="494"/>
      <c r="H1606" s="494"/>
      <c r="I1606" s="373"/>
    </row>
    <row r="1607">
      <c r="A1607" s="493"/>
      <c r="B1607" s="494"/>
      <c r="C1607" s="494"/>
      <c r="D1607" s="494"/>
      <c r="E1607" s="494"/>
      <c r="F1607" s="494"/>
      <c r="G1607" s="494"/>
      <c r="H1607" s="494"/>
      <c r="I1607" s="373"/>
    </row>
    <row r="1608">
      <c r="A1608" s="493"/>
      <c r="B1608" s="494"/>
      <c r="C1608" s="494"/>
      <c r="D1608" s="494"/>
      <c r="E1608" s="494"/>
      <c r="F1608" s="494"/>
      <c r="G1608" s="494"/>
      <c r="H1608" s="494"/>
      <c r="I1608" s="373"/>
    </row>
    <row r="1609">
      <c r="A1609" s="493"/>
      <c r="B1609" s="494"/>
      <c r="C1609" s="494"/>
      <c r="D1609" s="494"/>
      <c r="E1609" s="494"/>
      <c r="F1609" s="494"/>
      <c r="G1609" s="494"/>
      <c r="H1609" s="494"/>
      <c r="I1609" s="373"/>
    </row>
    <row r="1610">
      <c r="A1610" s="493"/>
      <c r="B1610" s="494"/>
      <c r="C1610" s="494"/>
      <c r="D1610" s="494"/>
      <c r="E1610" s="494"/>
      <c r="F1610" s="494"/>
      <c r="G1610" s="494"/>
      <c r="H1610" s="494"/>
      <c r="I1610" s="373"/>
    </row>
    <row r="1611">
      <c r="A1611" s="493"/>
      <c r="B1611" s="494"/>
      <c r="C1611" s="494"/>
      <c r="D1611" s="494"/>
      <c r="E1611" s="494"/>
      <c r="F1611" s="494"/>
      <c r="G1611" s="494"/>
      <c r="H1611" s="494"/>
      <c r="I1611" s="373"/>
    </row>
    <row r="1612">
      <c r="A1612" s="493"/>
      <c r="B1612" s="494"/>
      <c r="C1612" s="494"/>
      <c r="D1612" s="494"/>
      <c r="E1612" s="494"/>
      <c r="F1612" s="494"/>
      <c r="G1612" s="494"/>
      <c r="H1612" s="494"/>
      <c r="I1612" s="373"/>
    </row>
    <row r="1613">
      <c r="A1613" s="493"/>
      <c r="B1613" s="494"/>
      <c r="C1613" s="494"/>
      <c r="D1613" s="494"/>
      <c r="E1613" s="494"/>
      <c r="F1613" s="494"/>
      <c r="G1613" s="494"/>
      <c r="H1613" s="494"/>
      <c r="I1613" s="373"/>
    </row>
    <row r="1614">
      <c r="A1614" s="493"/>
      <c r="B1614" s="494"/>
      <c r="C1614" s="494"/>
      <c r="D1614" s="494"/>
      <c r="E1614" s="494"/>
      <c r="F1614" s="494"/>
      <c r="G1614" s="494"/>
      <c r="H1614" s="494"/>
      <c r="I1614" s="373"/>
    </row>
    <row r="1615">
      <c r="A1615" s="493"/>
      <c r="B1615" s="494"/>
      <c r="C1615" s="494"/>
      <c r="D1615" s="494"/>
      <c r="E1615" s="494"/>
      <c r="F1615" s="494"/>
      <c r="G1615" s="494"/>
      <c r="H1615" s="494"/>
      <c r="I1615" s="373"/>
    </row>
    <row r="1616">
      <c r="A1616" s="493"/>
      <c r="B1616" s="494"/>
      <c r="C1616" s="494"/>
      <c r="D1616" s="494"/>
      <c r="E1616" s="494"/>
      <c r="F1616" s="494"/>
      <c r="G1616" s="494"/>
      <c r="H1616" s="494"/>
      <c r="I1616" s="373"/>
    </row>
    <row r="1617">
      <c r="A1617" s="493"/>
      <c r="B1617" s="494"/>
      <c r="C1617" s="494"/>
      <c r="D1617" s="494"/>
      <c r="E1617" s="494"/>
      <c r="F1617" s="494"/>
      <c r="G1617" s="494"/>
      <c r="H1617" s="494"/>
      <c r="I1617" s="373"/>
    </row>
    <row r="1618">
      <c r="A1618" s="493"/>
      <c r="B1618" s="494"/>
      <c r="C1618" s="494"/>
      <c r="D1618" s="494"/>
      <c r="E1618" s="494"/>
      <c r="F1618" s="494"/>
      <c r="G1618" s="494"/>
      <c r="H1618" s="494"/>
      <c r="I1618" s="373"/>
    </row>
    <row r="1619">
      <c r="A1619" s="493"/>
      <c r="B1619" s="494"/>
      <c r="C1619" s="494"/>
      <c r="D1619" s="494"/>
      <c r="E1619" s="494"/>
      <c r="F1619" s="494"/>
      <c r="G1619" s="494"/>
      <c r="H1619" s="494"/>
      <c r="I1619" s="373"/>
    </row>
    <row r="1620">
      <c r="A1620" s="493"/>
      <c r="B1620" s="494"/>
      <c r="C1620" s="494"/>
      <c r="D1620" s="494"/>
      <c r="E1620" s="494"/>
      <c r="F1620" s="494"/>
      <c r="G1620" s="494"/>
      <c r="H1620" s="494"/>
      <c r="I1620" s="373"/>
    </row>
    <row r="1621">
      <c r="A1621" s="493"/>
      <c r="B1621" s="494"/>
      <c r="C1621" s="494"/>
      <c r="D1621" s="494"/>
      <c r="E1621" s="494"/>
      <c r="F1621" s="494"/>
      <c r="G1621" s="494"/>
      <c r="H1621" s="494"/>
      <c r="I1621" s="373"/>
    </row>
    <row r="1622">
      <c r="A1622" s="493"/>
      <c r="B1622" s="494"/>
      <c r="C1622" s="494"/>
      <c r="D1622" s="494"/>
      <c r="E1622" s="494"/>
      <c r="F1622" s="494"/>
      <c r="G1622" s="494"/>
      <c r="H1622" s="494"/>
      <c r="I1622" s="373"/>
    </row>
    <row r="1623">
      <c r="A1623" s="493"/>
      <c r="B1623" s="494"/>
      <c r="C1623" s="494"/>
      <c r="D1623" s="494"/>
      <c r="E1623" s="494"/>
      <c r="F1623" s="494"/>
      <c r="G1623" s="494"/>
      <c r="H1623" s="494"/>
      <c r="I1623" s="373"/>
    </row>
    <row r="1624">
      <c r="A1624" s="493"/>
      <c r="B1624" s="494"/>
      <c r="C1624" s="494"/>
      <c r="D1624" s="494"/>
      <c r="E1624" s="494"/>
      <c r="F1624" s="494"/>
      <c r="G1624" s="494"/>
      <c r="H1624" s="494"/>
      <c r="I1624" s="373"/>
    </row>
    <row r="1625">
      <c r="A1625" s="493"/>
      <c r="B1625" s="494"/>
      <c r="C1625" s="494"/>
      <c r="D1625" s="494"/>
      <c r="E1625" s="494"/>
      <c r="F1625" s="494"/>
      <c r="G1625" s="494"/>
      <c r="H1625" s="494"/>
      <c r="I1625" s="373"/>
    </row>
    <row r="1626">
      <c r="A1626" s="493"/>
      <c r="B1626" s="494"/>
      <c r="C1626" s="494"/>
      <c r="D1626" s="494"/>
      <c r="E1626" s="494"/>
      <c r="F1626" s="494"/>
      <c r="G1626" s="494"/>
      <c r="H1626" s="494"/>
      <c r="I1626" s="373"/>
    </row>
    <row r="1627">
      <c r="A1627" s="493"/>
      <c r="B1627" s="494"/>
      <c r="C1627" s="494"/>
      <c r="D1627" s="494"/>
      <c r="E1627" s="494"/>
      <c r="F1627" s="494"/>
      <c r="G1627" s="494"/>
      <c r="H1627" s="494"/>
      <c r="I1627" s="373"/>
    </row>
    <row r="1628">
      <c r="A1628" s="493"/>
      <c r="B1628" s="494"/>
      <c r="C1628" s="494"/>
      <c r="D1628" s="494"/>
      <c r="E1628" s="494"/>
      <c r="F1628" s="494"/>
      <c r="G1628" s="494"/>
      <c r="H1628" s="494"/>
      <c r="I1628" s="373"/>
    </row>
    <row r="1629">
      <c r="A1629" s="493"/>
      <c r="B1629" s="494"/>
      <c r="C1629" s="494"/>
      <c r="D1629" s="494"/>
      <c r="E1629" s="494"/>
      <c r="F1629" s="494"/>
      <c r="G1629" s="494"/>
      <c r="H1629" s="494"/>
      <c r="I1629" s="373"/>
    </row>
    <row r="1630">
      <c r="A1630" s="493"/>
      <c r="B1630" s="494"/>
      <c r="C1630" s="494"/>
      <c r="D1630" s="494"/>
      <c r="E1630" s="494"/>
      <c r="F1630" s="494"/>
      <c r="G1630" s="494"/>
      <c r="H1630" s="494"/>
      <c r="I1630" s="373"/>
    </row>
    <row r="1631">
      <c r="A1631" s="493"/>
      <c r="B1631" s="494"/>
      <c r="C1631" s="494"/>
      <c r="D1631" s="494"/>
      <c r="E1631" s="494"/>
      <c r="F1631" s="494"/>
      <c r="G1631" s="494"/>
      <c r="H1631" s="494"/>
      <c r="I1631" s="373"/>
    </row>
    <row r="1632">
      <c r="A1632" s="493"/>
      <c r="B1632" s="494"/>
      <c r="C1632" s="494"/>
      <c r="D1632" s="494"/>
      <c r="E1632" s="494"/>
      <c r="F1632" s="494"/>
      <c r="G1632" s="494"/>
      <c r="H1632" s="494"/>
      <c r="I1632" s="373"/>
    </row>
    <row r="1633">
      <c r="A1633" s="493"/>
      <c r="B1633" s="494"/>
      <c r="C1633" s="494"/>
      <c r="D1633" s="494"/>
      <c r="E1633" s="494"/>
      <c r="F1633" s="494"/>
      <c r="G1633" s="494"/>
      <c r="H1633" s="494"/>
      <c r="I1633" s="373"/>
    </row>
    <row r="1634">
      <c r="A1634" s="493"/>
      <c r="B1634" s="494"/>
      <c r="C1634" s="494"/>
      <c r="D1634" s="494"/>
      <c r="E1634" s="494"/>
      <c r="F1634" s="494"/>
      <c r="G1634" s="494"/>
      <c r="H1634" s="494"/>
      <c r="I1634" s="373"/>
    </row>
    <row r="1635">
      <c r="A1635" s="493"/>
      <c r="B1635" s="494"/>
      <c r="C1635" s="494"/>
      <c r="D1635" s="494"/>
      <c r="E1635" s="494"/>
      <c r="F1635" s="494"/>
      <c r="G1635" s="494"/>
      <c r="H1635" s="494"/>
      <c r="I1635" s="373"/>
    </row>
    <row r="1636">
      <c r="A1636" s="493"/>
      <c r="B1636" s="494"/>
      <c r="C1636" s="494"/>
      <c r="D1636" s="494"/>
      <c r="E1636" s="494"/>
      <c r="F1636" s="494"/>
      <c r="G1636" s="494"/>
      <c r="H1636" s="494"/>
      <c r="I1636" s="373"/>
    </row>
    <row r="1637">
      <c r="A1637" s="493"/>
      <c r="B1637" s="494"/>
      <c r="C1637" s="494"/>
      <c r="D1637" s="494"/>
      <c r="E1637" s="494"/>
      <c r="F1637" s="494"/>
      <c r="G1637" s="494"/>
      <c r="H1637" s="494"/>
      <c r="I1637" s="373"/>
    </row>
    <row r="1638">
      <c r="A1638" s="493"/>
      <c r="B1638" s="494"/>
      <c r="C1638" s="494"/>
      <c r="D1638" s="494"/>
      <c r="E1638" s="494"/>
      <c r="F1638" s="494"/>
      <c r="G1638" s="494"/>
      <c r="H1638" s="494"/>
      <c r="I1638" s="373"/>
    </row>
    <row r="1639">
      <c r="A1639" s="493"/>
      <c r="B1639" s="494"/>
      <c r="C1639" s="494"/>
      <c r="D1639" s="494"/>
      <c r="E1639" s="494"/>
      <c r="F1639" s="494"/>
      <c r="G1639" s="494"/>
      <c r="H1639" s="494"/>
      <c r="I1639" s="373"/>
    </row>
    <row r="1640">
      <c r="A1640" s="493"/>
      <c r="B1640" s="494"/>
      <c r="C1640" s="494"/>
      <c r="D1640" s="494"/>
      <c r="E1640" s="494"/>
      <c r="F1640" s="494"/>
      <c r="G1640" s="494"/>
      <c r="H1640" s="494"/>
      <c r="I1640" s="373"/>
    </row>
    <row r="1641">
      <c r="A1641" s="493"/>
      <c r="B1641" s="494"/>
      <c r="C1641" s="494"/>
      <c r="D1641" s="494"/>
      <c r="E1641" s="494"/>
      <c r="F1641" s="494"/>
      <c r="G1641" s="494"/>
      <c r="H1641" s="494"/>
      <c r="I1641" s="373"/>
    </row>
    <row r="1642">
      <c r="A1642" s="493"/>
      <c r="B1642" s="494"/>
      <c r="C1642" s="494"/>
      <c r="D1642" s="494"/>
      <c r="E1642" s="494"/>
      <c r="F1642" s="494"/>
      <c r="G1642" s="494"/>
      <c r="H1642" s="494"/>
      <c r="I1642" s="373"/>
    </row>
    <row r="1643">
      <c r="A1643" s="493"/>
      <c r="B1643" s="494"/>
      <c r="C1643" s="494"/>
      <c r="D1643" s="494"/>
      <c r="E1643" s="494"/>
      <c r="F1643" s="494"/>
      <c r="G1643" s="494"/>
      <c r="H1643" s="494"/>
      <c r="I1643" s="373"/>
    </row>
    <row r="1644">
      <c r="A1644" s="493"/>
      <c r="B1644" s="494"/>
      <c r="C1644" s="494"/>
      <c r="D1644" s="494"/>
      <c r="E1644" s="494"/>
      <c r="F1644" s="494"/>
      <c r="G1644" s="494"/>
      <c r="H1644" s="494"/>
      <c r="I1644" s="373"/>
    </row>
    <row r="1645">
      <c r="A1645" s="493"/>
      <c r="B1645" s="494"/>
      <c r="C1645" s="494"/>
      <c r="D1645" s="494"/>
      <c r="E1645" s="494"/>
      <c r="F1645" s="494"/>
      <c r="G1645" s="494"/>
      <c r="H1645" s="494"/>
      <c r="I1645" s="373"/>
    </row>
    <row r="1646">
      <c r="A1646" s="493"/>
      <c r="B1646" s="494"/>
      <c r="C1646" s="494"/>
      <c r="D1646" s="494"/>
      <c r="E1646" s="494"/>
      <c r="F1646" s="494"/>
      <c r="G1646" s="494"/>
      <c r="H1646" s="494"/>
      <c r="I1646" s="373"/>
    </row>
    <row r="1647">
      <c r="A1647" s="493"/>
      <c r="B1647" s="494"/>
      <c r="C1647" s="494"/>
      <c r="D1647" s="494"/>
      <c r="E1647" s="494"/>
      <c r="F1647" s="494"/>
      <c r="G1647" s="494"/>
      <c r="H1647" s="494"/>
      <c r="I1647" s="373"/>
    </row>
    <row r="1648">
      <c r="A1648" s="493"/>
      <c r="B1648" s="494"/>
      <c r="C1648" s="494"/>
      <c r="D1648" s="494"/>
      <c r="E1648" s="494"/>
      <c r="F1648" s="494"/>
      <c r="G1648" s="494"/>
      <c r="H1648" s="494"/>
      <c r="I1648" s="373"/>
    </row>
    <row r="1649">
      <c r="A1649" s="493"/>
      <c r="B1649" s="494"/>
      <c r="C1649" s="494"/>
      <c r="D1649" s="494"/>
      <c r="E1649" s="494"/>
      <c r="F1649" s="494"/>
      <c r="G1649" s="494"/>
      <c r="H1649" s="494"/>
      <c r="I1649" s="373"/>
    </row>
    <row r="1650">
      <c r="A1650" s="493"/>
      <c r="B1650" s="494"/>
      <c r="C1650" s="494"/>
      <c r="D1650" s="494"/>
      <c r="E1650" s="494"/>
      <c r="F1650" s="494"/>
      <c r="G1650" s="494"/>
      <c r="H1650" s="494"/>
      <c r="I1650" s="373"/>
    </row>
    <row r="1651">
      <c r="A1651" s="493"/>
      <c r="B1651" s="494"/>
      <c r="C1651" s="494"/>
      <c r="D1651" s="494"/>
      <c r="E1651" s="494"/>
      <c r="F1651" s="494"/>
      <c r="G1651" s="494"/>
      <c r="H1651" s="494"/>
      <c r="I1651" s="373"/>
    </row>
    <row r="1652">
      <c r="A1652" s="493"/>
      <c r="B1652" s="494"/>
      <c r="C1652" s="494"/>
      <c r="D1652" s="494"/>
      <c r="E1652" s="494"/>
      <c r="F1652" s="494"/>
      <c r="G1652" s="494"/>
      <c r="H1652" s="494"/>
      <c r="I1652" s="373"/>
    </row>
    <row r="1653">
      <c r="A1653" s="493"/>
      <c r="B1653" s="494"/>
      <c r="C1653" s="494"/>
      <c r="D1653" s="494"/>
      <c r="E1653" s="494"/>
      <c r="F1653" s="494"/>
      <c r="G1653" s="494"/>
      <c r="H1653" s="494"/>
      <c r="I1653" s="373"/>
    </row>
    <row r="1654">
      <c r="A1654" s="493"/>
      <c r="B1654" s="494"/>
      <c r="C1654" s="494"/>
      <c r="D1654" s="494"/>
      <c r="E1654" s="494"/>
      <c r="F1654" s="494"/>
      <c r="G1654" s="494"/>
      <c r="H1654" s="494"/>
      <c r="I1654" s="373"/>
    </row>
    <row r="1655">
      <c r="A1655" s="493"/>
      <c r="B1655" s="494"/>
      <c r="C1655" s="494"/>
      <c r="D1655" s="494"/>
      <c r="E1655" s="494"/>
      <c r="F1655" s="494"/>
      <c r="G1655" s="494"/>
      <c r="H1655" s="494"/>
      <c r="I1655" s="373"/>
    </row>
    <row r="1656">
      <c r="A1656" s="493"/>
      <c r="B1656" s="494"/>
      <c r="C1656" s="494"/>
      <c r="D1656" s="494"/>
      <c r="E1656" s="494"/>
      <c r="F1656" s="494"/>
      <c r="G1656" s="494"/>
      <c r="H1656" s="494"/>
      <c r="I1656" s="373"/>
    </row>
    <row r="1657">
      <c r="A1657" s="493"/>
      <c r="B1657" s="494"/>
      <c r="C1657" s="494"/>
      <c r="D1657" s="494"/>
      <c r="E1657" s="494"/>
      <c r="F1657" s="494"/>
      <c r="G1657" s="494"/>
      <c r="H1657" s="494"/>
      <c r="I1657" s="373"/>
    </row>
    <row r="1658">
      <c r="A1658" s="493"/>
      <c r="B1658" s="494"/>
      <c r="C1658" s="494"/>
      <c r="D1658" s="494"/>
      <c r="E1658" s="494"/>
      <c r="F1658" s="494"/>
      <c r="G1658" s="494"/>
      <c r="H1658" s="494"/>
      <c r="I1658" s="373"/>
    </row>
    <row r="1659">
      <c r="A1659" s="493"/>
      <c r="B1659" s="494"/>
      <c r="C1659" s="494"/>
      <c r="D1659" s="494"/>
      <c r="E1659" s="494"/>
      <c r="F1659" s="494"/>
      <c r="G1659" s="494"/>
      <c r="H1659" s="494"/>
      <c r="I1659" s="373"/>
    </row>
    <row r="1660">
      <c r="A1660" s="493"/>
      <c r="B1660" s="494"/>
      <c r="C1660" s="494"/>
      <c r="D1660" s="494"/>
      <c r="E1660" s="494"/>
      <c r="F1660" s="494"/>
      <c r="G1660" s="494"/>
      <c r="H1660" s="494"/>
      <c r="I1660" s="373"/>
    </row>
    <row r="1661">
      <c r="A1661" s="493"/>
      <c r="B1661" s="494"/>
      <c r="C1661" s="494"/>
      <c r="D1661" s="494"/>
      <c r="E1661" s="494"/>
      <c r="F1661" s="494"/>
      <c r="G1661" s="494"/>
      <c r="H1661" s="494"/>
      <c r="I1661" s="373"/>
    </row>
    <row r="1662">
      <c r="A1662" s="493"/>
      <c r="B1662" s="494"/>
      <c r="C1662" s="494"/>
      <c r="D1662" s="494"/>
      <c r="E1662" s="494"/>
      <c r="F1662" s="494"/>
      <c r="G1662" s="494"/>
      <c r="H1662" s="494"/>
      <c r="I1662" s="373"/>
    </row>
    <row r="1663">
      <c r="A1663" s="493"/>
      <c r="B1663" s="494"/>
      <c r="C1663" s="494"/>
      <c r="D1663" s="494"/>
      <c r="E1663" s="494"/>
      <c r="F1663" s="494"/>
      <c r="G1663" s="494"/>
      <c r="H1663" s="494"/>
      <c r="I1663" s="373"/>
    </row>
    <row r="1664">
      <c r="A1664" s="493"/>
      <c r="B1664" s="494"/>
      <c r="C1664" s="494"/>
      <c r="D1664" s="494"/>
      <c r="E1664" s="494"/>
      <c r="F1664" s="494"/>
      <c r="G1664" s="494"/>
      <c r="H1664" s="494"/>
      <c r="I1664" s="373"/>
    </row>
    <row r="1665">
      <c r="A1665" s="493"/>
      <c r="B1665" s="494"/>
      <c r="C1665" s="494"/>
      <c r="D1665" s="494"/>
      <c r="E1665" s="494"/>
      <c r="F1665" s="494"/>
      <c r="G1665" s="494"/>
      <c r="H1665" s="494"/>
      <c r="I1665" s="373"/>
    </row>
    <row r="1666">
      <c r="A1666" s="493"/>
      <c r="B1666" s="494"/>
      <c r="C1666" s="494"/>
      <c r="D1666" s="494"/>
      <c r="E1666" s="494"/>
      <c r="F1666" s="494"/>
      <c r="G1666" s="494"/>
      <c r="H1666" s="494"/>
      <c r="I1666" s="373"/>
    </row>
    <row r="1667">
      <c r="A1667" s="493"/>
      <c r="B1667" s="494"/>
      <c r="C1667" s="494"/>
      <c r="D1667" s="494"/>
      <c r="E1667" s="494"/>
      <c r="F1667" s="494"/>
      <c r="G1667" s="494"/>
      <c r="H1667" s="494"/>
      <c r="I1667" s="373"/>
    </row>
    <row r="1668">
      <c r="A1668" s="493"/>
      <c r="B1668" s="494"/>
      <c r="C1668" s="494"/>
      <c r="D1668" s="494"/>
      <c r="E1668" s="494"/>
      <c r="F1668" s="494"/>
      <c r="G1668" s="494"/>
      <c r="H1668" s="494"/>
      <c r="I1668" s="373"/>
    </row>
    <row r="1669">
      <c r="A1669" s="493"/>
      <c r="B1669" s="494"/>
      <c r="C1669" s="494"/>
      <c r="D1669" s="494"/>
      <c r="E1669" s="494"/>
      <c r="F1669" s="494"/>
      <c r="G1669" s="494"/>
      <c r="H1669" s="494"/>
      <c r="I1669" s="373"/>
    </row>
    <row r="1670">
      <c r="A1670" s="493"/>
      <c r="B1670" s="494"/>
      <c r="C1670" s="494"/>
      <c r="D1670" s="494"/>
      <c r="E1670" s="494"/>
      <c r="F1670" s="494"/>
      <c r="G1670" s="494"/>
      <c r="H1670" s="494"/>
      <c r="I1670" s="373"/>
    </row>
    <row r="1671">
      <c r="A1671" s="493"/>
      <c r="B1671" s="494"/>
      <c r="C1671" s="494"/>
      <c r="D1671" s="494"/>
      <c r="E1671" s="494"/>
      <c r="F1671" s="494"/>
      <c r="G1671" s="494"/>
      <c r="H1671" s="494"/>
      <c r="I1671" s="373"/>
    </row>
    <row r="1672">
      <c r="A1672" s="493"/>
      <c r="B1672" s="494"/>
      <c r="C1672" s="494"/>
      <c r="D1672" s="494"/>
      <c r="E1672" s="494"/>
      <c r="F1672" s="494"/>
      <c r="G1672" s="494"/>
      <c r="H1672" s="494"/>
      <c r="I1672" s="373"/>
    </row>
    <row r="1673">
      <c r="A1673" s="493"/>
      <c r="B1673" s="494"/>
      <c r="C1673" s="494"/>
      <c r="D1673" s="494"/>
      <c r="E1673" s="494"/>
      <c r="F1673" s="494"/>
      <c r="G1673" s="494"/>
      <c r="H1673" s="494"/>
      <c r="I1673" s="373"/>
    </row>
    <row r="1674">
      <c r="A1674" s="493"/>
      <c r="B1674" s="494"/>
      <c r="C1674" s="494"/>
      <c r="D1674" s="494"/>
      <c r="E1674" s="494"/>
      <c r="F1674" s="494"/>
      <c r="G1674" s="494"/>
      <c r="H1674" s="494"/>
      <c r="I1674" s="373"/>
    </row>
    <row r="1675">
      <c r="A1675" s="493"/>
      <c r="B1675" s="494"/>
      <c r="C1675" s="494"/>
      <c r="D1675" s="494"/>
      <c r="E1675" s="494"/>
      <c r="F1675" s="494"/>
      <c r="G1675" s="494"/>
      <c r="H1675" s="494"/>
      <c r="I1675" s="373"/>
    </row>
    <row r="1676">
      <c r="A1676" s="493"/>
      <c r="B1676" s="494"/>
      <c r="C1676" s="494"/>
      <c r="D1676" s="494"/>
      <c r="E1676" s="494"/>
      <c r="F1676" s="494"/>
      <c r="G1676" s="494"/>
      <c r="H1676" s="494"/>
      <c r="I1676" s="373"/>
    </row>
    <row r="1677">
      <c r="A1677" s="493"/>
      <c r="B1677" s="494"/>
      <c r="C1677" s="494"/>
      <c r="D1677" s="494"/>
      <c r="E1677" s="494"/>
      <c r="F1677" s="494"/>
      <c r="G1677" s="494"/>
      <c r="H1677" s="494"/>
      <c r="I1677" s="373"/>
    </row>
    <row r="1678">
      <c r="A1678" s="493"/>
      <c r="B1678" s="494"/>
      <c r="C1678" s="494"/>
      <c r="D1678" s="494"/>
      <c r="E1678" s="494"/>
      <c r="F1678" s="494"/>
      <c r="G1678" s="494"/>
      <c r="H1678" s="494"/>
      <c r="I1678" s="373"/>
    </row>
    <row r="1679">
      <c r="A1679" s="493"/>
      <c r="B1679" s="494"/>
      <c r="C1679" s="494"/>
      <c r="D1679" s="494"/>
      <c r="E1679" s="494"/>
      <c r="F1679" s="494"/>
      <c r="G1679" s="494"/>
      <c r="H1679" s="494"/>
      <c r="I1679" s="373"/>
    </row>
    <row r="1680">
      <c r="A1680" s="493"/>
      <c r="B1680" s="494"/>
      <c r="C1680" s="494"/>
      <c r="D1680" s="494"/>
      <c r="E1680" s="494"/>
      <c r="F1680" s="494"/>
      <c r="G1680" s="494"/>
      <c r="H1680" s="494"/>
      <c r="I1680" s="373"/>
    </row>
    <row r="1681">
      <c r="A1681" s="493"/>
      <c r="B1681" s="494"/>
      <c r="C1681" s="494"/>
      <c r="D1681" s="494"/>
      <c r="E1681" s="494"/>
      <c r="F1681" s="494"/>
      <c r="G1681" s="494"/>
      <c r="H1681" s="494"/>
      <c r="I1681" s="373"/>
    </row>
    <row r="1682">
      <c r="A1682" s="493"/>
      <c r="B1682" s="494"/>
      <c r="C1682" s="494"/>
      <c r="D1682" s="494"/>
      <c r="E1682" s="494"/>
      <c r="F1682" s="494"/>
      <c r="G1682" s="494"/>
      <c r="H1682" s="494"/>
      <c r="I1682" s="373"/>
    </row>
    <row r="1683">
      <c r="A1683" s="493"/>
      <c r="B1683" s="494"/>
      <c r="C1683" s="494"/>
      <c r="D1683" s="494"/>
      <c r="E1683" s="494"/>
      <c r="F1683" s="494"/>
      <c r="G1683" s="494"/>
      <c r="H1683" s="494"/>
      <c r="I1683" s="373"/>
    </row>
    <row r="1684">
      <c r="A1684" s="493"/>
      <c r="B1684" s="494"/>
      <c r="C1684" s="494"/>
      <c r="D1684" s="494"/>
      <c r="E1684" s="494"/>
      <c r="F1684" s="494"/>
      <c r="G1684" s="494"/>
      <c r="H1684" s="494"/>
      <c r="I1684" s="373"/>
    </row>
    <row r="1685">
      <c r="A1685" s="493"/>
      <c r="B1685" s="494"/>
      <c r="C1685" s="494"/>
      <c r="D1685" s="494"/>
      <c r="E1685" s="494"/>
      <c r="F1685" s="494"/>
      <c r="G1685" s="494"/>
      <c r="H1685" s="494"/>
      <c r="I1685" s="373"/>
    </row>
    <row r="1686">
      <c r="A1686" s="493"/>
      <c r="B1686" s="494"/>
      <c r="C1686" s="494"/>
      <c r="D1686" s="494"/>
      <c r="E1686" s="494"/>
      <c r="F1686" s="494"/>
      <c r="G1686" s="494"/>
      <c r="H1686" s="494"/>
      <c r="I1686" s="373"/>
    </row>
    <row r="1687">
      <c r="A1687" s="493"/>
      <c r="B1687" s="494"/>
      <c r="C1687" s="494"/>
      <c r="D1687" s="494"/>
      <c r="E1687" s="494"/>
      <c r="F1687" s="494"/>
      <c r="G1687" s="494"/>
      <c r="H1687" s="494"/>
      <c r="I1687" s="373"/>
    </row>
    <row r="1688">
      <c r="A1688" s="493"/>
      <c r="B1688" s="494"/>
      <c r="C1688" s="494"/>
      <c r="D1688" s="494"/>
      <c r="E1688" s="494"/>
      <c r="F1688" s="494"/>
      <c r="G1688" s="494"/>
      <c r="H1688" s="494"/>
      <c r="I1688" s="373"/>
    </row>
    <row r="1689">
      <c r="A1689" s="493"/>
      <c r="B1689" s="494"/>
      <c r="C1689" s="494"/>
      <c r="D1689" s="494"/>
      <c r="E1689" s="494"/>
      <c r="F1689" s="494"/>
      <c r="G1689" s="494"/>
      <c r="H1689" s="494"/>
      <c r="I1689" s="373"/>
    </row>
    <row r="1690">
      <c r="A1690" s="493"/>
      <c r="B1690" s="494"/>
      <c r="C1690" s="494"/>
      <c r="D1690" s="494"/>
      <c r="E1690" s="494"/>
      <c r="F1690" s="494"/>
      <c r="G1690" s="494"/>
      <c r="H1690" s="494"/>
      <c r="I1690" s="373"/>
    </row>
    <row r="1691">
      <c r="A1691" s="493"/>
      <c r="B1691" s="494"/>
      <c r="C1691" s="494"/>
      <c r="D1691" s="494"/>
      <c r="E1691" s="494"/>
      <c r="F1691" s="494"/>
      <c r="G1691" s="494"/>
      <c r="H1691" s="494"/>
      <c r="I1691" s="373"/>
    </row>
    <row r="1692">
      <c r="A1692" s="493"/>
      <c r="B1692" s="494"/>
      <c r="C1692" s="494"/>
      <c r="D1692" s="494"/>
      <c r="E1692" s="494"/>
      <c r="F1692" s="494"/>
      <c r="G1692" s="494"/>
      <c r="H1692" s="494"/>
      <c r="I1692" s="373"/>
    </row>
    <row r="1693">
      <c r="A1693" s="493"/>
      <c r="B1693" s="494"/>
      <c r="C1693" s="494"/>
      <c r="D1693" s="494"/>
      <c r="E1693" s="494"/>
      <c r="F1693" s="494"/>
      <c r="G1693" s="494"/>
      <c r="H1693" s="494"/>
      <c r="I1693" s="373"/>
    </row>
    <row r="1694">
      <c r="A1694" s="493"/>
      <c r="B1694" s="494"/>
      <c r="C1694" s="494"/>
      <c r="D1694" s="494"/>
      <c r="E1694" s="494"/>
      <c r="F1694" s="494"/>
      <c r="G1694" s="494"/>
      <c r="H1694" s="494"/>
      <c r="I1694" s="373"/>
    </row>
    <row r="1695">
      <c r="A1695" s="493"/>
      <c r="B1695" s="494"/>
      <c r="C1695" s="494"/>
      <c r="D1695" s="494"/>
      <c r="E1695" s="494"/>
      <c r="F1695" s="494"/>
      <c r="G1695" s="494"/>
      <c r="H1695" s="494"/>
      <c r="I1695" s="373"/>
    </row>
    <row r="1696">
      <c r="A1696" s="493"/>
      <c r="B1696" s="494"/>
      <c r="C1696" s="494"/>
      <c r="D1696" s="494"/>
      <c r="E1696" s="494"/>
      <c r="F1696" s="494"/>
      <c r="G1696" s="494"/>
      <c r="H1696" s="494"/>
      <c r="I1696" s="373"/>
    </row>
    <row r="1697">
      <c r="A1697" s="493"/>
      <c r="B1697" s="494"/>
      <c r="C1697" s="494"/>
      <c r="D1697" s="494"/>
      <c r="E1697" s="494"/>
      <c r="F1697" s="494"/>
      <c r="G1697" s="494"/>
      <c r="H1697" s="494"/>
      <c r="I1697" s="373"/>
    </row>
    <row r="1698">
      <c r="A1698" s="493"/>
      <c r="B1698" s="494"/>
      <c r="C1698" s="494"/>
      <c r="D1698" s="494"/>
      <c r="E1698" s="494"/>
      <c r="F1698" s="494"/>
      <c r="G1698" s="494"/>
      <c r="H1698" s="494"/>
      <c r="I1698" s="373"/>
    </row>
    <row r="1699">
      <c r="A1699" s="493"/>
      <c r="B1699" s="494"/>
      <c r="C1699" s="494"/>
      <c r="D1699" s="494"/>
      <c r="E1699" s="494"/>
      <c r="F1699" s="494"/>
      <c r="G1699" s="494"/>
      <c r="H1699" s="494"/>
      <c r="I1699" s="373"/>
    </row>
    <row r="1700">
      <c r="A1700" s="493"/>
      <c r="B1700" s="494"/>
      <c r="C1700" s="494"/>
      <c r="D1700" s="494"/>
      <c r="E1700" s="494"/>
      <c r="F1700" s="494"/>
      <c r="G1700" s="494"/>
      <c r="H1700" s="494"/>
      <c r="I1700" s="373"/>
    </row>
    <row r="1701">
      <c r="A1701" s="493"/>
      <c r="B1701" s="494"/>
      <c r="C1701" s="494"/>
      <c r="D1701" s="494"/>
      <c r="E1701" s="494"/>
      <c r="F1701" s="494"/>
      <c r="G1701" s="494"/>
      <c r="H1701" s="494"/>
      <c r="I1701" s="373"/>
    </row>
    <row r="1702">
      <c r="A1702" s="493"/>
      <c r="B1702" s="494"/>
      <c r="C1702" s="494"/>
      <c r="D1702" s="494"/>
      <c r="E1702" s="494"/>
      <c r="F1702" s="494"/>
      <c r="G1702" s="494"/>
      <c r="H1702" s="494"/>
      <c r="I1702" s="373"/>
    </row>
    <row r="1703">
      <c r="A1703" s="493"/>
      <c r="B1703" s="494"/>
      <c r="C1703" s="494"/>
      <c r="D1703" s="494"/>
      <c r="E1703" s="494"/>
      <c r="F1703" s="494"/>
      <c r="G1703" s="494"/>
      <c r="H1703" s="494"/>
      <c r="I1703" s="373"/>
    </row>
    <row r="1704">
      <c r="A1704" s="493"/>
      <c r="B1704" s="494"/>
      <c r="C1704" s="494"/>
      <c r="D1704" s="494"/>
      <c r="E1704" s="494"/>
      <c r="F1704" s="494"/>
      <c r="G1704" s="494"/>
      <c r="H1704" s="494"/>
      <c r="I1704" s="373"/>
    </row>
    <row r="1705">
      <c r="A1705" s="493"/>
      <c r="B1705" s="494"/>
      <c r="C1705" s="494"/>
      <c r="D1705" s="494"/>
      <c r="E1705" s="494"/>
      <c r="F1705" s="494"/>
      <c r="G1705" s="494"/>
      <c r="H1705" s="494"/>
      <c r="I1705" s="373"/>
    </row>
    <row r="1706">
      <c r="A1706" s="493"/>
      <c r="B1706" s="494"/>
      <c r="C1706" s="494"/>
      <c r="D1706" s="494"/>
      <c r="E1706" s="494"/>
      <c r="F1706" s="494"/>
      <c r="G1706" s="494"/>
      <c r="H1706" s="494"/>
      <c r="I1706" s="373"/>
    </row>
    <row r="1707">
      <c r="A1707" s="493"/>
      <c r="B1707" s="494"/>
      <c r="C1707" s="494"/>
      <c r="D1707" s="494"/>
      <c r="E1707" s="494"/>
      <c r="F1707" s="494"/>
      <c r="G1707" s="494"/>
      <c r="H1707" s="494"/>
      <c r="I1707" s="373"/>
    </row>
    <row r="1708">
      <c r="A1708" s="493"/>
      <c r="B1708" s="494"/>
      <c r="C1708" s="494"/>
      <c r="D1708" s="494"/>
      <c r="E1708" s="494"/>
      <c r="F1708" s="494"/>
      <c r="G1708" s="494"/>
      <c r="H1708" s="494"/>
      <c r="I1708" s="373"/>
    </row>
    <row r="1709">
      <c r="A1709" s="493"/>
      <c r="B1709" s="494"/>
      <c r="C1709" s="494"/>
      <c r="D1709" s="494"/>
      <c r="E1709" s="494"/>
      <c r="F1709" s="494"/>
      <c r="G1709" s="494"/>
      <c r="H1709" s="494"/>
      <c r="I1709" s="373"/>
    </row>
    <row r="1710">
      <c r="A1710" s="493"/>
      <c r="B1710" s="494"/>
      <c r="C1710" s="494"/>
      <c r="D1710" s="494"/>
      <c r="E1710" s="494"/>
      <c r="F1710" s="494"/>
      <c r="G1710" s="494"/>
      <c r="H1710" s="494"/>
      <c r="I1710" s="373"/>
    </row>
    <row r="1711">
      <c r="A1711" s="493"/>
      <c r="B1711" s="494"/>
      <c r="C1711" s="494"/>
      <c r="D1711" s="494"/>
      <c r="E1711" s="494"/>
      <c r="F1711" s="494"/>
      <c r="G1711" s="494"/>
      <c r="H1711" s="494"/>
      <c r="I1711" s="373"/>
    </row>
    <row r="1712">
      <c r="A1712" s="493"/>
      <c r="B1712" s="494"/>
      <c r="C1712" s="494"/>
      <c r="D1712" s="494"/>
      <c r="E1712" s="494"/>
      <c r="F1712" s="494"/>
      <c r="G1712" s="494"/>
      <c r="H1712" s="494"/>
      <c r="I1712" s="373"/>
    </row>
    <row r="1713">
      <c r="A1713" s="493"/>
      <c r="B1713" s="494"/>
      <c r="C1713" s="494"/>
      <c r="D1713" s="494"/>
      <c r="E1713" s="494"/>
      <c r="F1713" s="494"/>
      <c r="G1713" s="494"/>
      <c r="H1713" s="494"/>
      <c r="I1713" s="373"/>
    </row>
    <row r="1714">
      <c r="A1714" s="493"/>
      <c r="B1714" s="494"/>
      <c r="C1714" s="494"/>
      <c r="D1714" s="494"/>
      <c r="E1714" s="494"/>
      <c r="F1714" s="494"/>
      <c r="G1714" s="494"/>
      <c r="H1714" s="494"/>
      <c r="I1714" s="373"/>
    </row>
    <row r="1715">
      <c r="A1715" s="493"/>
      <c r="B1715" s="494"/>
      <c r="C1715" s="494"/>
      <c r="D1715" s="494"/>
      <c r="E1715" s="494"/>
      <c r="F1715" s="494"/>
      <c r="G1715" s="494"/>
      <c r="H1715" s="494"/>
      <c r="I1715" s="373"/>
    </row>
    <row r="1716">
      <c r="A1716" s="493"/>
      <c r="B1716" s="494"/>
      <c r="C1716" s="494"/>
      <c r="D1716" s="494"/>
      <c r="E1716" s="494"/>
      <c r="F1716" s="494"/>
      <c r="G1716" s="494"/>
      <c r="H1716" s="494"/>
      <c r="I1716" s="373"/>
    </row>
    <row r="1717">
      <c r="A1717" s="493"/>
      <c r="B1717" s="494"/>
      <c r="C1717" s="494"/>
      <c r="D1717" s="494"/>
      <c r="E1717" s="494"/>
      <c r="F1717" s="494"/>
      <c r="G1717" s="494"/>
      <c r="H1717" s="494"/>
      <c r="I1717" s="373"/>
    </row>
    <row r="1718">
      <c r="A1718" s="493"/>
      <c r="B1718" s="494"/>
      <c r="C1718" s="494"/>
      <c r="D1718" s="494"/>
      <c r="E1718" s="494"/>
      <c r="F1718" s="494"/>
      <c r="G1718" s="494"/>
      <c r="H1718" s="494"/>
      <c r="I1718" s="373"/>
    </row>
    <row r="1719">
      <c r="A1719" s="493"/>
      <c r="B1719" s="494"/>
      <c r="C1719" s="494"/>
      <c r="D1719" s="494"/>
      <c r="E1719" s="494"/>
      <c r="F1719" s="494"/>
      <c r="G1719" s="494"/>
      <c r="H1719" s="494"/>
      <c r="I1719" s="373"/>
    </row>
    <row r="1720">
      <c r="A1720" s="493"/>
      <c r="B1720" s="494"/>
      <c r="C1720" s="494"/>
      <c r="D1720" s="494"/>
      <c r="E1720" s="494"/>
      <c r="F1720" s="494"/>
      <c r="G1720" s="494"/>
      <c r="H1720" s="494"/>
      <c r="I1720" s="373"/>
    </row>
    <row r="1721">
      <c r="A1721" s="493"/>
      <c r="B1721" s="494"/>
      <c r="C1721" s="494"/>
      <c r="D1721" s="494"/>
      <c r="E1721" s="494"/>
      <c r="F1721" s="494"/>
      <c r="G1721" s="494"/>
      <c r="H1721" s="494"/>
      <c r="I1721" s="373"/>
    </row>
    <row r="1722">
      <c r="A1722" s="493"/>
      <c r="B1722" s="494"/>
      <c r="C1722" s="494"/>
      <c r="D1722" s="494"/>
      <c r="E1722" s="494"/>
      <c r="F1722" s="494"/>
      <c r="G1722" s="494"/>
      <c r="H1722" s="494"/>
      <c r="I1722" s="373"/>
    </row>
    <row r="1723">
      <c r="A1723" s="493"/>
      <c r="B1723" s="494"/>
      <c r="C1723" s="494"/>
      <c r="D1723" s="494"/>
      <c r="E1723" s="494"/>
      <c r="F1723" s="494"/>
      <c r="G1723" s="494"/>
      <c r="H1723" s="494"/>
      <c r="I1723" s="373"/>
    </row>
    <row r="1724">
      <c r="A1724" s="493"/>
      <c r="B1724" s="494"/>
      <c r="C1724" s="494"/>
      <c r="D1724" s="494"/>
      <c r="E1724" s="494"/>
      <c r="F1724" s="494"/>
      <c r="G1724" s="494"/>
      <c r="H1724" s="494"/>
      <c r="I1724" s="373"/>
    </row>
    <row r="1725">
      <c r="A1725" s="493"/>
      <c r="B1725" s="494"/>
      <c r="C1725" s="494"/>
      <c r="D1725" s="494"/>
      <c r="E1725" s="494"/>
      <c r="F1725" s="494"/>
      <c r="G1725" s="494"/>
      <c r="H1725" s="494"/>
      <c r="I1725" s="373"/>
    </row>
    <row r="1726">
      <c r="A1726" s="493"/>
      <c r="B1726" s="494"/>
      <c r="C1726" s="494"/>
      <c r="D1726" s="494"/>
      <c r="E1726" s="494"/>
      <c r="F1726" s="494"/>
      <c r="G1726" s="494"/>
      <c r="H1726" s="494"/>
      <c r="I1726" s="373"/>
    </row>
    <row r="1727">
      <c r="A1727" s="493"/>
      <c r="B1727" s="494"/>
      <c r="C1727" s="494"/>
      <c r="D1727" s="494"/>
      <c r="E1727" s="494"/>
      <c r="F1727" s="494"/>
      <c r="G1727" s="494"/>
      <c r="H1727" s="494"/>
      <c r="I1727" s="373"/>
    </row>
    <row r="1728">
      <c r="A1728" s="493"/>
      <c r="B1728" s="494"/>
      <c r="C1728" s="494"/>
      <c r="D1728" s="494"/>
      <c r="E1728" s="494"/>
      <c r="F1728" s="494"/>
      <c r="G1728" s="494"/>
      <c r="H1728" s="494"/>
      <c r="I1728" s="373"/>
    </row>
    <row r="1729">
      <c r="A1729" s="493"/>
      <c r="B1729" s="494"/>
      <c r="C1729" s="494"/>
      <c r="D1729" s="494"/>
      <c r="E1729" s="494"/>
      <c r="F1729" s="494"/>
      <c r="G1729" s="494"/>
      <c r="H1729" s="494"/>
      <c r="I1729" s="373"/>
    </row>
    <row r="1730">
      <c r="A1730" s="493"/>
      <c r="B1730" s="494"/>
      <c r="C1730" s="494"/>
      <c r="D1730" s="494"/>
      <c r="E1730" s="494"/>
      <c r="F1730" s="494"/>
      <c r="G1730" s="494"/>
      <c r="H1730" s="494"/>
      <c r="I1730" s="373"/>
    </row>
    <row r="1731">
      <c r="A1731" s="493"/>
      <c r="B1731" s="494"/>
      <c r="C1731" s="494"/>
      <c r="D1731" s="494"/>
      <c r="E1731" s="494"/>
      <c r="F1731" s="494"/>
      <c r="G1731" s="494"/>
      <c r="H1731" s="494"/>
      <c r="I1731" s="373"/>
    </row>
    <row r="1732">
      <c r="A1732" s="493"/>
      <c r="B1732" s="494"/>
      <c r="C1732" s="494"/>
      <c r="D1732" s="494"/>
      <c r="E1732" s="494"/>
      <c r="F1732" s="494"/>
      <c r="G1732" s="494"/>
      <c r="H1732" s="494"/>
      <c r="I1732" s="373"/>
    </row>
    <row r="1733">
      <c r="A1733" s="493"/>
      <c r="B1733" s="494"/>
      <c r="C1733" s="494"/>
      <c r="D1733" s="494"/>
      <c r="E1733" s="494"/>
      <c r="F1733" s="494"/>
      <c r="G1733" s="494"/>
      <c r="H1733" s="494"/>
      <c r="I1733" s="373"/>
    </row>
    <row r="1734">
      <c r="A1734" s="493"/>
      <c r="B1734" s="494"/>
      <c r="C1734" s="494"/>
      <c r="D1734" s="494"/>
      <c r="E1734" s="494"/>
      <c r="F1734" s="494"/>
      <c r="G1734" s="494"/>
      <c r="H1734" s="494"/>
      <c r="I1734" s="373"/>
    </row>
    <row r="1735">
      <c r="A1735" s="493"/>
      <c r="B1735" s="494"/>
      <c r="C1735" s="494"/>
      <c r="D1735" s="494"/>
      <c r="E1735" s="494"/>
      <c r="F1735" s="494"/>
      <c r="G1735" s="494"/>
      <c r="H1735" s="494"/>
      <c r="I1735" s="373"/>
    </row>
    <row r="1736">
      <c r="A1736" s="493"/>
      <c r="B1736" s="494"/>
      <c r="C1736" s="494"/>
      <c r="D1736" s="494"/>
      <c r="E1736" s="494"/>
      <c r="F1736" s="494"/>
      <c r="G1736" s="494"/>
      <c r="H1736" s="494"/>
      <c r="I1736" s="373"/>
    </row>
    <row r="1737">
      <c r="A1737" s="493"/>
      <c r="B1737" s="494"/>
      <c r="C1737" s="494"/>
      <c r="D1737" s="494"/>
      <c r="E1737" s="494"/>
      <c r="F1737" s="494"/>
      <c r="G1737" s="494"/>
      <c r="H1737" s="494"/>
      <c r="I1737" s="373"/>
    </row>
    <row r="1738">
      <c r="A1738" s="493"/>
      <c r="B1738" s="494"/>
      <c r="C1738" s="494"/>
      <c r="D1738" s="494"/>
      <c r="E1738" s="494"/>
      <c r="F1738" s="494"/>
      <c r="G1738" s="494"/>
      <c r="H1738" s="494"/>
      <c r="I1738" s="373"/>
    </row>
    <row r="1739">
      <c r="A1739" s="493"/>
      <c r="B1739" s="494"/>
      <c r="C1739" s="494"/>
      <c r="D1739" s="494"/>
      <c r="E1739" s="494"/>
      <c r="F1739" s="494"/>
      <c r="G1739" s="494"/>
      <c r="H1739" s="494"/>
      <c r="I1739" s="373"/>
    </row>
    <row r="1740">
      <c r="A1740" s="493"/>
      <c r="B1740" s="494"/>
      <c r="C1740" s="494"/>
      <c r="D1740" s="494"/>
      <c r="E1740" s="494"/>
      <c r="F1740" s="494"/>
      <c r="G1740" s="494"/>
      <c r="H1740" s="494"/>
      <c r="I1740" s="373"/>
    </row>
    <row r="1741">
      <c r="A1741" s="493"/>
      <c r="B1741" s="494"/>
      <c r="C1741" s="494"/>
      <c r="D1741" s="494"/>
      <c r="E1741" s="494"/>
      <c r="F1741" s="494"/>
      <c r="G1741" s="494"/>
      <c r="H1741" s="494"/>
      <c r="I1741" s="373"/>
    </row>
    <row r="1742">
      <c r="A1742" s="493"/>
      <c r="B1742" s="494"/>
      <c r="C1742" s="494"/>
      <c r="D1742" s="494"/>
      <c r="E1742" s="494"/>
      <c r="F1742" s="494"/>
      <c r="G1742" s="494"/>
      <c r="H1742" s="494"/>
      <c r="I1742" s="373"/>
    </row>
    <row r="1743">
      <c r="A1743" s="493"/>
      <c r="B1743" s="494"/>
      <c r="C1743" s="494"/>
      <c r="D1743" s="494"/>
      <c r="E1743" s="494"/>
      <c r="F1743" s="494"/>
      <c r="G1743" s="494"/>
      <c r="H1743" s="494"/>
      <c r="I1743" s="373"/>
    </row>
    <row r="1744">
      <c r="A1744" s="493"/>
      <c r="B1744" s="494"/>
      <c r="C1744" s="494"/>
      <c r="D1744" s="494"/>
      <c r="E1744" s="494"/>
      <c r="F1744" s="494"/>
      <c r="G1744" s="494"/>
      <c r="H1744" s="494"/>
      <c r="I1744" s="373"/>
    </row>
    <row r="1745">
      <c r="A1745" s="493"/>
      <c r="B1745" s="494"/>
      <c r="C1745" s="494"/>
      <c r="D1745" s="494"/>
      <c r="E1745" s="494"/>
      <c r="F1745" s="494"/>
      <c r="G1745" s="494"/>
      <c r="H1745" s="494"/>
      <c r="I1745" s="373"/>
    </row>
    <row r="1746">
      <c r="A1746" s="493"/>
      <c r="B1746" s="494"/>
      <c r="C1746" s="494"/>
      <c r="D1746" s="494"/>
      <c r="E1746" s="494"/>
      <c r="F1746" s="494"/>
      <c r="G1746" s="494"/>
      <c r="H1746" s="494"/>
      <c r="I1746" s="373"/>
    </row>
    <row r="1747">
      <c r="A1747" s="493"/>
      <c r="B1747" s="494"/>
      <c r="C1747" s="494"/>
      <c r="D1747" s="494"/>
      <c r="E1747" s="494"/>
      <c r="F1747" s="494"/>
      <c r="G1747" s="494"/>
      <c r="H1747" s="494"/>
      <c r="I1747" s="373"/>
    </row>
    <row r="1748">
      <c r="A1748" s="493"/>
      <c r="B1748" s="494"/>
      <c r="C1748" s="494"/>
      <c r="D1748" s="494"/>
      <c r="E1748" s="494"/>
      <c r="F1748" s="494"/>
      <c r="G1748" s="494"/>
      <c r="H1748" s="494"/>
      <c r="I1748" s="373"/>
    </row>
    <row r="1749">
      <c r="A1749" s="493"/>
      <c r="B1749" s="494"/>
      <c r="C1749" s="494"/>
      <c r="D1749" s="494"/>
      <c r="E1749" s="494"/>
      <c r="F1749" s="494"/>
      <c r="G1749" s="494"/>
      <c r="H1749" s="494"/>
      <c r="I1749" s="373"/>
    </row>
    <row r="1750">
      <c r="A1750" s="493"/>
      <c r="B1750" s="494"/>
      <c r="C1750" s="494"/>
      <c r="D1750" s="494"/>
      <c r="E1750" s="494"/>
      <c r="F1750" s="494"/>
      <c r="G1750" s="494"/>
      <c r="H1750" s="494"/>
      <c r="I1750" s="373"/>
    </row>
    <row r="1751">
      <c r="A1751" s="493"/>
      <c r="B1751" s="494"/>
      <c r="C1751" s="494"/>
      <c r="D1751" s="494"/>
      <c r="E1751" s="494"/>
      <c r="F1751" s="494"/>
      <c r="G1751" s="494"/>
      <c r="H1751" s="494"/>
      <c r="I1751" s="373"/>
    </row>
    <row r="1752">
      <c r="A1752" s="493"/>
      <c r="B1752" s="494"/>
      <c r="C1752" s="494"/>
      <c r="D1752" s="494"/>
      <c r="E1752" s="494"/>
      <c r="F1752" s="494"/>
      <c r="G1752" s="494"/>
      <c r="H1752" s="494"/>
      <c r="I1752" s="373"/>
    </row>
    <row r="1753">
      <c r="A1753" s="493"/>
      <c r="B1753" s="494"/>
      <c r="C1753" s="494"/>
      <c r="D1753" s="494"/>
      <c r="E1753" s="494"/>
      <c r="F1753" s="494"/>
      <c r="G1753" s="494"/>
      <c r="H1753" s="494"/>
      <c r="I1753" s="373"/>
    </row>
    <row r="1754">
      <c r="A1754" s="493"/>
      <c r="B1754" s="494"/>
      <c r="C1754" s="494"/>
      <c r="D1754" s="494"/>
      <c r="E1754" s="494"/>
      <c r="F1754" s="494"/>
      <c r="G1754" s="494"/>
      <c r="H1754" s="494"/>
      <c r="I1754" s="373"/>
    </row>
    <row r="1755">
      <c r="A1755" s="493"/>
      <c r="B1755" s="494"/>
      <c r="C1755" s="494"/>
      <c r="D1755" s="494"/>
      <c r="E1755" s="494"/>
      <c r="F1755" s="494"/>
      <c r="G1755" s="494"/>
      <c r="H1755" s="494"/>
      <c r="I1755" s="373"/>
    </row>
    <row r="1756">
      <c r="A1756" s="493"/>
      <c r="B1756" s="494"/>
      <c r="C1756" s="494"/>
      <c r="D1756" s="494"/>
      <c r="E1756" s="494"/>
      <c r="F1756" s="494"/>
      <c r="G1756" s="494"/>
      <c r="H1756" s="494"/>
      <c r="I1756" s="373"/>
    </row>
    <row r="1757">
      <c r="A1757" s="493"/>
      <c r="B1757" s="494"/>
      <c r="C1757" s="494"/>
      <c r="D1757" s="494"/>
      <c r="E1757" s="494"/>
      <c r="F1757" s="494"/>
      <c r="G1757" s="494"/>
      <c r="H1757" s="494"/>
      <c r="I1757" s="373"/>
    </row>
    <row r="1758">
      <c r="A1758" s="493"/>
      <c r="B1758" s="494"/>
      <c r="C1758" s="494"/>
      <c r="D1758" s="494"/>
      <c r="E1758" s="494"/>
      <c r="F1758" s="494"/>
      <c r="G1758" s="494"/>
      <c r="H1758" s="494"/>
      <c r="I1758" s="373"/>
    </row>
    <row r="1759">
      <c r="A1759" s="493"/>
      <c r="B1759" s="494"/>
      <c r="C1759" s="494"/>
      <c r="D1759" s="494"/>
      <c r="E1759" s="494"/>
      <c r="F1759" s="494"/>
      <c r="G1759" s="494"/>
      <c r="H1759" s="494"/>
      <c r="I1759" s="373"/>
    </row>
    <row r="1760">
      <c r="A1760" s="493"/>
      <c r="B1760" s="494"/>
      <c r="C1760" s="494"/>
      <c r="D1760" s="494"/>
      <c r="E1760" s="494"/>
      <c r="F1760" s="494"/>
      <c r="G1760" s="494"/>
      <c r="H1760" s="494"/>
      <c r="I1760" s="373"/>
    </row>
    <row r="1761">
      <c r="A1761" s="493"/>
      <c r="B1761" s="494"/>
      <c r="C1761" s="494"/>
      <c r="D1761" s="494"/>
      <c r="E1761" s="494"/>
      <c r="F1761" s="494"/>
      <c r="G1761" s="494"/>
      <c r="H1761" s="494"/>
      <c r="I1761" s="373"/>
    </row>
    <row r="1762">
      <c r="A1762" s="493"/>
      <c r="B1762" s="494"/>
      <c r="C1762" s="494"/>
      <c r="D1762" s="494"/>
      <c r="E1762" s="494"/>
      <c r="F1762" s="494"/>
      <c r="G1762" s="494"/>
      <c r="H1762" s="494"/>
      <c r="I1762" s="373"/>
    </row>
    <row r="1763">
      <c r="A1763" s="493"/>
      <c r="B1763" s="494"/>
      <c r="C1763" s="494"/>
      <c r="D1763" s="494"/>
      <c r="E1763" s="494"/>
      <c r="F1763" s="494"/>
      <c r="G1763" s="494"/>
      <c r="H1763" s="494"/>
      <c r="I1763" s="373"/>
    </row>
    <row r="1764">
      <c r="A1764" s="493"/>
      <c r="B1764" s="494"/>
      <c r="C1764" s="494"/>
      <c r="D1764" s="494"/>
      <c r="E1764" s="494"/>
      <c r="F1764" s="494"/>
      <c r="G1764" s="494"/>
      <c r="H1764" s="494"/>
      <c r="I1764" s="373"/>
    </row>
    <row r="1765">
      <c r="A1765" s="493"/>
      <c r="B1765" s="494"/>
      <c r="C1765" s="494"/>
      <c r="D1765" s="494"/>
      <c r="E1765" s="494"/>
      <c r="F1765" s="494"/>
      <c r="G1765" s="494"/>
      <c r="H1765" s="494"/>
      <c r="I1765" s="373"/>
    </row>
    <row r="1766">
      <c r="A1766" s="493"/>
      <c r="B1766" s="494"/>
      <c r="C1766" s="494"/>
      <c r="D1766" s="494"/>
      <c r="E1766" s="494"/>
      <c r="F1766" s="494"/>
      <c r="G1766" s="494"/>
      <c r="H1766" s="494"/>
      <c r="I1766" s="373"/>
    </row>
    <row r="1767">
      <c r="A1767" s="493"/>
      <c r="B1767" s="494"/>
      <c r="C1767" s="494"/>
      <c r="D1767" s="494"/>
      <c r="E1767" s="494"/>
      <c r="F1767" s="494"/>
      <c r="G1767" s="494"/>
      <c r="H1767" s="494"/>
      <c r="I1767" s="373"/>
    </row>
    <row r="1768">
      <c r="A1768" s="493"/>
      <c r="B1768" s="494"/>
      <c r="C1768" s="494"/>
      <c r="D1768" s="494"/>
      <c r="E1768" s="494"/>
      <c r="F1768" s="494"/>
      <c r="G1768" s="494"/>
      <c r="H1768" s="494"/>
      <c r="I1768" s="373"/>
    </row>
    <row r="1769">
      <c r="A1769" s="493"/>
      <c r="B1769" s="494"/>
      <c r="C1769" s="494"/>
      <c r="D1769" s="494"/>
      <c r="E1769" s="494"/>
      <c r="F1769" s="494"/>
      <c r="G1769" s="494"/>
      <c r="H1769" s="494"/>
      <c r="I1769" s="373"/>
    </row>
    <row r="1770">
      <c r="A1770" s="493"/>
      <c r="B1770" s="494"/>
      <c r="C1770" s="494"/>
      <c r="D1770" s="494"/>
      <c r="E1770" s="494"/>
      <c r="F1770" s="494"/>
      <c r="G1770" s="494"/>
      <c r="H1770" s="494"/>
      <c r="I1770" s="373"/>
    </row>
    <row r="1771">
      <c r="A1771" s="493"/>
      <c r="B1771" s="494"/>
      <c r="C1771" s="494"/>
      <c r="D1771" s="494"/>
      <c r="E1771" s="494"/>
      <c r="F1771" s="494"/>
      <c r="G1771" s="494"/>
      <c r="H1771" s="494"/>
      <c r="I1771" s="373"/>
    </row>
    <row r="1772">
      <c r="A1772" s="493"/>
      <c r="B1772" s="494"/>
      <c r="C1772" s="494"/>
      <c r="D1772" s="494"/>
      <c r="E1772" s="494"/>
      <c r="F1772" s="494"/>
      <c r="G1772" s="494"/>
      <c r="H1772" s="494"/>
      <c r="I1772" s="373"/>
    </row>
    <row r="1773">
      <c r="A1773" s="493"/>
      <c r="B1773" s="494"/>
      <c r="C1773" s="494"/>
      <c r="D1773" s="494"/>
      <c r="E1773" s="494"/>
      <c r="F1773" s="494"/>
      <c r="G1773" s="494"/>
      <c r="H1773" s="494"/>
      <c r="I1773" s="373"/>
    </row>
    <row r="1774">
      <c r="A1774" s="493"/>
      <c r="B1774" s="494"/>
      <c r="C1774" s="494"/>
      <c r="D1774" s="494"/>
      <c r="E1774" s="494"/>
      <c r="F1774" s="494"/>
      <c r="G1774" s="494"/>
      <c r="H1774" s="494"/>
      <c r="I1774" s="373"/>
    </row>
    <row r="1775">
      <c r="A1775" s="493"/>
      <c r="B1775" s="494"/>
      <c r="C1775" s="494"/>
      <c r="D1775" s="494"/>
      <c r="E1775" s="494"/>
      <c r="F1775" s="494"/>
      <c r="G1775" s="494"/>
      <c r="H1775" s="494"/>
      <c r="I1775" s="373"/>
    </row>
    <row r="1776">
      <c r="A1776" s="493"/>
      <c r="B1776" s="494"/>
      <c r="C1776" s="494"/>
      <c r="D1776" s="494"/>
      <c r="E1776" s="494"/>
      <c r="F1776" s="494"/>
      <c r="G1776" s="494"/>
      <c r="H1776" s="494"/>
      <c r="I1776" s="373"/>
    </row>
    <row r="1777">
      <c r="A1777" s="493"/>
      <c r="B1777" s="494"/>
      <c r="C1777" s="494"/>
      <c r="D1777" s="494"/>
      <c r="E1777" s="494"/>
      <c r="F1777" s="494"/>
      <c r="G1777" s="494"/>
      <c r="H1777" s="494"/>
      <c r="I1777" s="373"/>
    </row>
    <row r="1778">
      <c r="A1778" s="493"/>
      <c r="B1778" s="494"/>
      <c r="C1778" s="494"/>
      <c r="D1778" s="494"/>
      <c r="E1778" s="494"/>
      <c r="F1778" s="494"/>
      <c r="G1778" s="494"/>
      <c r="H1778" s="494"/>
      <c r="I1778" s="373"/>
    </row>
    <row r="1779">
      <c r="A1779" s="493"/>
      <c r="B1779" s="494"/>
      <c r="C1779" s="494"/>
      <c r="D1779" s="494"/>
      <c r="E1779" s="494"/>
      <c r="F1779" s="494"/>
      <c r="G1779" s="494"/>
      <c r="H1779" s="494"/>
      <c r="I1779" s="373"/>
    </row>
    <row r="1780">
      <c r="A1780" s="493"/>
      <c r="B1780" s="494"/>
      <c r="C1780" s="494"/>
      <c r="D1780" s="494"/>
      <c r="E1780" s="494"/>
      <c r="F1780" s="494"/>
      <c r="G1780" s="494"/>
      <c r="H1780" s="494"/>
      <c r="I1780" s="373"/>
    </row>
    <row r="1781">
      <c r="A1781" s="493"/>
      <c r="B1781" s="494"/>
      <c r="C1781" s="494"/>
      <c r="D1781" s="494"/>
      <c r="E1781" s="494"/>
      <c r="F1781" s="494"/>
      <c r="G1781" s="494"/>
      <c r="H1781" s="494"/>
      <c r="I1781" s="373"/>
    </row>
    <row r="1782">
      <c r="A1782" s="493"/>
      <c r="B1782" s="494"/>
      <c r="C1782" s="494"/>
      <c r="D1782" s="494"/>
      <c r="E1782" s="494"/>
      <c r="F1782" s="494"/>
      <c r="G1782" s="494"/>
      <c r="H1782" s="494"/>
      <c r="I1782" s="373"/>
    </row>
    <row r="1783">
      <c r="A1783" s="493"/>
      <c r="B1783" s="494"/>
      <c r="C1783" s="494"/>
      <c r="D1783" s="494"/>
      <c r="E1783" s="494"/>
      <c r="F1783" s="494"/>
      <c r="G1783" s="494"/>
      <c r="H1783" s="494"/>
      <c r="I1783" s="373"/>
    </row>
    <row r="1784">
      <c r="A1784" s="493"/>
      <c r="B1784" s="494"/>
      <c r="C1784" s="494"/>
      <c r="D1784" s="494"/>
      <c r="E1784" s="494"/>
      <c r="F1784" s="494"/>
      <c r="G1784" s="494"/>
      <c r="H1784" s="494"/>
      <c r="I1784" s="373"/>
    </row>
    <row r="1785">
      <c r="A1785" s="493"/>
      <c r="B1785" s="494"/>
      <c r="C1785" s="494"/>
      <c r="D1785" s="494"/>
      <c r="E1785" s="494"/>
      <c r="F1785" s="494"/>
      <c r="G1785" s="494"/>
      <c r="H1785" s="494"/>
      <c r="I1785" s="373"/>
    </row>
    <row r="1786">
      <c r="A1786" s="493"/>
      <c r="B1786" s="494"/>
      <c r="C1786" s="494"/>
      <c r="D1786" s="494"/>
      <c r="E1786" s="494"/>
      <c r="F1786" s="494"/>
      <c r="G1786" s="494"/>
      <c r="H1786" s="494"/>
      <c r="I1786" s="373"/>
    </row>
    <row r="1787">
      <c r="A1787" s="493"/>
      <c r="B1787" s="494"/>
      <c r="C1787" s="494"/>
      <c r="D1787" s="494"/>
      <c r="E1787" s="494"/>
      <c r="F1787" s="494"/>
      <c r="G1787" s="494"/>
      <c r="H1787" s="494"/>
      <c r="I1787" s="373"/>
    </row>
    <row r="1788">
      <c r="A1788" s="493"/>
      <c r="B1788" s="494"/>
      <c r="C1788" s="494"/>
      <c r="D1788" s="494"/>
      <c r="E1788" s="494"/>
      <c r="F1788" s="494"/>
      <c r="G1788" s="494"/>
      <c r="H1788" s="494"/>
      <c r="I1788" s="373"/>
    </row>
    <row r="1789">
      <c r="A1789" s="493"/>
      <c r="B1789" s="494"/>
      <c r="C1789" s="494"/>
      <c r="D1789" s="494"/>
      <c r="E1789" s="494"/>
      <c r="F1789" s="494"/>
      <c r="G1789" s="494"/>
      <c r="H1789" s="494"/>
      <c r="I1789" s="373"/>
    </row>
    <row r="1790">
      <c r="A1790" s="493"/>
      <c r="B1790" s="494"/>
      <c r="C1790" s="494"/>
      <c r="D1790" s="494"/>
      <c r="E1790" s="494"/>
      <c r="F1790" s="494"/>
      <c r="G1790" s="494"/>
      <c r="H1790" s="494"/>
      <c r="I1790" s="373"/>
    </row>
    <row r="1791">
      <c r="A1791" s="493"/>
      <c r="B1791" s="494"/>
      <c r="C1791" s="494"/>
      <c r="D1791" s="494"/>
      <c r="E1791" s="494"/>
      <c r="F1791" s="494"/>
      <c r="G1791" s="494"/>
      <c r="H1791" s="494"/>
      <c r="I1791" s="373"/>
    </row>
    <row r="1792">
      <c r="A1792" s="493"/>
      <c r="B1792" s="494"/>
      <c r="C1792" s="494"/>
      <c r="D1792" s="494"/>
      <c r="E1792" s="494"/>
      <c r="F1792" s="494"/>
      <c r="G1792" s="494"/>
      <c r="H1792" s="494"/>
      <c r="I1792" s="373"/>
    </row>
    <row r="1793">
      <c r="A1793" s="493"/>
      <c r="B1793" s="494"/>
      <c r="C1793" s="494"/>
      <c r="D1793" s="494"/>
      <c r="E1793" s="494"/>
      <c r="F1793" s="494"/>
      <c r="G1793" s="494"/>
      <c r="H1793" s="494"/>
      <c r="I1793" s="373"/>
    </row>
    <row r="1794">
      <c r="A1794" s="493"/>
      <c r="B1794" s="494"/>
      <c r="C1794" s="494"/>
      <c r="D1794" s="494"/>
      <c r="E1794" s="494"/>
      <c r="F1794" s="494"/>
      <c r="G1794" s="494"/>
      <c r="H1794" s="494"/>
      <c r="I1794" s="373"/>
    </row>
    <row r="1795">
      <c r="A1795" s="493"/>
      <c r="B1795" s="494"/>
      <c r="C1795" s="494"/>
      <c r="D1795" s="494"/>
      <c r="E1795" s="494"/>
      <c r="F1795" s="494"/>
      <c r="G1795" s="494"/>
      <c r="H1795" s="494"/>
      <c r="I1795" s="373"/>
    </row>
    <row r="1796">
      <c r="A1796" s="493"/>
      <c r="B1796" s="494"/>
      <c r="C1796" s="494"/>
      <c r="D1796" s="494"/>
      <c r="E1796" s="494"/>
      <c r="F1796" s="494"/>
      <c r="G1796" s="494"/>
      <c r="H1796" s="494"/>
      <c r="I1796" s="373"/>
    </row>
    <row r="1797">
      <c r="A1797" s="493"/>
      <c r="B1797" s="494"/>
      <c r="C1797" s="494"/>
      <c r="D1797" s="494"/>
      <c r="E1797" s="494"/>
      <c r="F1797" s="494"/>
      <c r="G1797" s="494"/>
      <c r="H1797" s="494"/>
      <c r="I1797" s="373"/>
    </row>
    <row r="1798">
      <c r="A1798" s="493"/>
      <c r="B1798" s="494"/>
      <c r="C1798" s="494"/>
      <c r="D1798" s="494"/>
      <c r="E1798" s="494"/>
      <c r="F1798" s="494"/>
      <c r="G1798" s="494"/>
      <c r="H1798" s="494"/>
      <c r="I1798" s="373"/>
    </row>
    <row r="1799">
      <c r="A1799" s="493"/>
      <c r="B1799" s="494"/>
      <c r="C1799" s="494"/>
      <c r="D1799" s="494"/>
      <c r="E1799" s="494"/>
      <c r="F1799" s="494"/>
      <c r="G1799" s="494"/>
      <c r="H1799" s="494"/>
      <c r="I1799" s="373"/>
    </row>
    <row r="1800">
      <c r="A1800" s="493"/>
      <c r="B1800" s="494"/>
      <c r="C1800" s="494"/>
      <c r="D1800" s="494"/>
      <c r="E1800" s="494"/>
      <c r="F1800" s="494"/>
      <c r="G1800" s="494"/>
      <c r="H1800" s="494"/>
      <c r="I1800" s="373"/>
    </row>
    <row r="1801">
      <c r="A1801" s="493"/>
      <c r="B1801" s="494"/>
      <c r="C1801" s="494"/>
      <c r="D1801" s="494"/>
      <c r="E1801" s="494"/>
      <c r="F1801" s="494"/>
      <c r="G1801" s="494"/>
      <c r="H1801" s="494"/>
      <c r="I1801" s="373"/>
    </row>
    <row r="1802">
      <c r="A1802" s="493"/>
      <c r="B1802" s="494"/>
      <c r="C1802" s="494"/>
      <c r="D1802" s="494"/>
      <c r="E1802" s="494"/>
      <c r="F1802" s="494"/>
      <c r="G1802" s="494"/>
      <c r="H1802" s="494"/>
      <c r="I1802" s="373"/>
    </row>
    <row r="1803">
      <c r="A1803" s="493"/>
      <c r="B1803" s="494"/>
      <c r="C1803" s="494"/>
      <c r="D1803" s="494"/>
      <c r="E1803" s="494"/>
      <c r="F1803" s="494"/>
      <c r="G1803" s="494"/>
      <c r="H1803" s="494"/>
      <c r="I1803" s="373"/>
    </row>
    <row r="1804">
      <c r="A1804" s="493"/>
      <c r="B1804" s="494"/>
      <c r="C1804" s="494"/>
      <c r="D1804" s="494"/>
      <c r="E1804" s="494"/>
      <c r="F1804" s="494"/>
      <c r="G1804" s="494"/>
      <c r="H1804" s="494"/>
      <c r="I1804" s="373"/>
    </row>
    <row r="1805">
      <c r="A1805" s="493"/>
      <c r="B1805" s="494"/>
      <c r="C1805" s="494"/>
      <c r="D1805" s="494"/>
      <c r="E1805" s="494"/>
      <c r="F1805" s="494"/>
      <c r="G1805" s="494"/>
      <c r="H1805" s="494"/>
      <c r="I1805" s="373"/>
    </row>
    <row r="1806">
      <c r="A1806" s="493"/>
      <c r="B1806" s="494"/>
      <c r="C1806" s="494"/>
      <c r="D1806" s="494"/>
      <c r="E1806" s="494"/>
      <c r="F1806" s="494"/>
      <c r="G1806" s="494"/>
      <c r="H1806" s="494"/>
      <c r="I1806" s="373"/>
    </row>
    <row r="1807">
      <c r="A1807" s="493"/>
      <c r="B1807" s="494"/>
      <c r="C1807" s="494"/>
      <c r="D1807" s="494"/>
      <c r="E1807" s="494"/>
      <c r="F1807" s="494"/>
      <c r="G1807" s="494"/>
      <c r="H1807" s="494"/>
      <c r="I1807" s="373"/>
    </row>
    <row r="1808">
      <c r="A1808" s="493"/>
      <c r="B1808" s="494"/>
      <c r="C1808" s="494"/>
      <c r="D1808" s="494"/>
      <c r="E1808" s="494"/>
      <c r="F1808" s="494"/>
      <c r="G1808" s="494"/>
      <c r="H1808" s="494"/>
      <c r="I1808" s="373"/>
    </row>
    <row r="1809">
      <c r="A1809" s="493"/>
      <c r="B1809" s="494"/>
      <c r="C1809" s="494"/>
      <c r="D1809" s="494"/>
      <c r="E1809" s="494"/>
      <c r="F1809" s="494"/>
      <c r="G1809" s="494"/>
      <c r="H1809" s="494"/>
      <c r="I1809" s="373"/>
    </row>
    <row r="1810">
      <c r="A1810" s="493"/>
      <c r="B1810" s="494"/>
      <c r="C1810" s="494"/>
      <c r="D1810" s="494"/>
      <c r="E1810" s="494"/>
      <c r="F1810" s="494"/>
      <c r="G1810" s="494"/>
      <c r="H1810" s="494"/>
      <c r="I1810" s="373"/>
    </row>
    <row r="1811">
      <c r="A1811" s="493"/>
      <c r="B1811" s="494"/>
      <c r="C1811" s="494"/>
      <c r="D1811" s="494"/>
      <c r="E1811" s="494"/>
      <c r="F1811" s="494"/>
      <c r="G1811" s="494"/>
      <c r="H1811" s="494"/>
      <c r="I1811" s="373"/>
    </row>
    <row r="1812">
      <c r="A1812" s="493"/>
      <c r="B1812" s="494"/>
      <c r="C1812" s="494"/>
      <c r="D1812" s="494"/>
      <c r="E1812" s="494"/>
      <c r="F1812" s="494"/>
      <c r="G1812" s="494"/>
      <c r="H1812" s="494"/>
      <c r="I1812" s="373"/>
    </row>
    <row r="1813">
      <c r="A1813" s="493"/>
      <c r="B1813" s="494"/>
      <c r="C1813" s="494"/>
      <c r="D1813" s="494"/>
      <c r="E1813" s="494"/>
      <c r="F1813" s="494"/>
      <c r="G1813" s="494"/>
      <c r="H1813" s="494"/>
      <c r="I1813" s="373"/>
    </row>
    <row r="1814">
      <c r="A1814" s="493"/>
      <c r="B1814" s="494"/>
      <c r="C1814" s="494"/>
      <c r="D1814" s="494"/>
      <c r="E1814" s="494"/>
      <c r="F1814" s="494"/>
      <c r="G1814" s="494"/>
      <c r="H1814" s="494"/>
      <c r="I1814" s="373"/>
    </row>
    <row r="1815">
      <c r="A1815" s="493"/>
      <c r="B1815" s="494"/>
      <c r="C1815" s="494"/>
      <c r="D1815" s="494"/>
      <c r="E1815" s="494"/>
      <c r="F1815" s="494"/>
      <c r="G1815" s="494"/>
      <c r="H1815" s="494"/>
      <c r="I1815" s="373"/>
    </row>
    <row r="1816">
      <c r="A1816" s="493"/>
      <c r="B1816" s="494"/>
      <c r="C1816" s="494"/>
      <c r="D1816" s="494"/>
      <c r="E1816" s="494"/>
      <c r="F1816" s="494"/>
      <c r="G1816" s="494"/>
      <c r="H1816" s="494"/>
      <c r="I1816" s="373"/>
    </row>
    <row r="1817">
      <c r="A1817" s="493"/>
      <c r="B1817" s="494"/>
      <c r="C1817" s="494"/>
      <c r="D1817" s="494"/>
      <c r="E1817" s="494"/>
      <c r="F1817" s="494"/>
      <c r="G1817" s="494"/>
      <c r="H1817" s="494"/>
      <c r="I1817" s="373"/>
    </row>
    <row r="1818">
      <c r="A1818" s="493"/>
      <c r="B1818" s="494"/>
      <c r="C1818" s="494"/>
      <c r="D1818" s="494"/>
      <c r="E1818" s="494"/>
      <c r="F1818" s="494"/>
      <c r="G1818" s="494"/>
      <c r="H1818" s="494"/>
      <c r="I1818" s="373"/>
    </row>
    <row r="1819">
      <c r="A1819" s="493"/>
      <c r="B1819" s="494"/>
      <c r="C1819" s="494"/>
      <c r="D1819" s="494"/>
      <c r="E1819" s="494"/>
      <c r="F1819" s="494"/>
      <c r="G1819" s="494"/>
      <c r="H1819" s="494"/>
      <c r="I1819" s="373"/>
    </row>
    <row r="1820">
      <c r="A1820" s="493"/>
      <c r="B1820" s="494"/>
      <c r="C1820" s="494"/>
      <c r="D1820" s="494"/>
      <c r="E1820" s="494"/>
      <c r="F1820" s="494"/>
      <c r="G1820" s="494"/>
      <c r="H1820" s="494"/>
      <c r="I1820" s="373"/>
    </row>
    <row r="1821">
      <c r="A1821" s="493"/>
      <c r="B1821" s="494"/>
      <c r="C1821" s="494"/>
      <c r="D1821" s="494"/>
      <c r="E1821" s="494"/>
      <c r="F1821" s="494"/>
      <c r="G1821" s="494"/>
      <c r="H1821" s="494"/>
      <c r="I1821" s="373"/>
    </row>
    <row r="1822">
      <c r="A1822" s="493"/>
      <c r="B1822" s="494"/>
      <c r="C1822" s="494"/>
      <c r="D1822" s="494"/>
      <c r="E1822" s="494"/>
      <c r="F1822" s="494"/>
      <c r="G1822" s="494"/>
      <c r="H1822" s="494"/>
      <c r="I1822" s="373"/>
    </row>
    <row r="1823">
      <c r="A1823" s="493"/>
      <c r="B1823" s="494"/>
      <c r="C1823" s="494"/>
      <c r="D1823" s="494"/>
      <c r="E1823" s="494"/>
      <c r="F1823" s="494"/>
      <c r="G1823" s="494"/>
      <c r="H1823" s="494"/>
      <c r="I1823" s="373"/>
    </row>
    <row r="1824">
      <c r="A1824" s="493"/>
      <c r="B1824" s="494"/>
      <c r="C1824" s="494"/>
      <c r="D1824" s="494"/>
      <c r="E1824" s="494"/>
      <c r="F1824" s="494"/>
      <c r="G1824" s="494"/>
      <c r="H1824" s="494"/>
      <c r="I1824" s="373"/>
    </row>
    <row r="1825">
      <c r="A1825" s="493"/>
      <c r="B1825" s="494"/>
      <c r="C1825" s="494"/>
      <c r="D1825" s="494"/>
      <c r="E1825" s="494"/>
      <c r="F1825" s="494"/>
      <c r="G1825" s="494"/>
      <c r="H1825" s="494"/>
      <c r="I1825" s="373"/>
    </row>
    <row r="1826">
      <c r="A1826" s="493"/>
      <c r="B1826" s="494"/>
      <c r="C1826" s="494"/>
      <c r="D1826" s="494"/>
      <c r="E1826" s="494"/>
      <c r="F1826" s="494"/>
      <c r="G1826" s="494"/>
      <c r="H1826" s="494"/>
      <c r="I1826" s="373"/>
    </row>
    <row r="1827">
      <c r="A1827" s="493"/>
      <c r="B1827" s="494"/>
      <c r="C1827" s="494"/>
      <c r="D1827" s="494"/>
      <c r="E1827" s="494"/>
      <c r="F1827" s="494"/>
      <c r="G1827" s="494"/>
      <c r="H1827" s="494"/>
      <c r="I1827" s="373"/>
    </row>
    <row r="1828">
      <c r="A1828" s="493"/>
      <c r="B1828" s="494"/>
      <c r="C1828" s="494"/>
      <c r="D1828" s="494"/>
      <c r="E1828" s="494"/>
      <c r="F1828" s="494"/>
      <c r="G1828" s="494"/>
      <c r="H1828" s="494"/>
      <c r="I1828" s="373"/>
    </row>
    <row r="1829">
      <c r="A1829" s="493"/>
      <c r="B1829" s="494"/>
      <c r="C1829" s="494"/>
      <c r="D1829" s="494"/>
      <c r="E1829" s="494"/>
      <c r="F1829" s="494"/>
      <c r="G1829" s="494"/>
      <c r="H1829" s="494"/>
      <c r="I1829" s="373"/>
    </row>
    <row r="1830">
      <c r="A1830" s="493"/>
      <c r="B1830" s="494"/>
      <c r="C1830" s="494"/>
      <c r="D1830" s="494"/>
      <c r="E1830" s="494"/>
      <c r="F1830" s="494"/>
      <c r="G1830" s="494"/>
      <c r="H1830" s="494"/>
      <c r="I1830" s="373"/>
    </row>
    <row r="1831">
      <c r="A1831" s="493"/>
      <c r="B1831" s="494"/>
      <c r="C1831" s="494"/>
      <c r="D1831" s="494"/>
      <c r="E1831" s="494"/>
      <c r="F1831" s="494"/>
      <c r="G1831" s="494"/>
      <c r="H1831" s="494"/>
      <c r="I1831" s="373"/>
    </row>
    <row r="1832">
      <c r="A1832" s="493"/>
      <c r="B1832" s="494"/>
      <c r="C1832" s="494"/>
      <c r="D1832" s="494"/>
      <c r="E1832" s="494"/>
      <c r="F1832" s="494"/>
      <c r="G1832" s="494"/>
      <c r="H1832" s="494"/>
      <c r="I1832" s="373"/>
    </row>
    <row r="1833">
      <c r="A1833" s="493"/>
      <c r="B1833" s="494"/>
      <c r="C1833" s="494"/>
      <c r="D1833" s="494"/>
      <c r="E1833" s="494"/>
      <c r="F1833" s="494"/>
      <c r="G1833" s="494"/>
      <c r="H1833" s="494"/>
      <c r="I1833" s="373"/>
    </row>
    <row r="1834">
      <c r="A1834" s="493"/>
      <c r="B1834" s="494"/>
      <c r="C1834" s="494"/>
      <c r="D1834" s="494"/>
      <c r="E1834" s="494"/>
      <c r="F1834" s="494"/>
      <c r="G1834" s="494"/>
      <c r="H1834" s="494"/>
      <c r="I1834" s="373"/>
    </row>
    <row r="1835">
      <c r="A1835" s="493"/>
      <c r="B1835" s="494"/>
      <c r="C1835" s="494"/>
      <c r="D1835" s="494"/>
      <c r="E1835" s="494"/>
      <c r="F1835" s="494"/>
      <c r="G1835" s="494"/>
      <c r="H1835" s="494"/>
      <c r="I1835" s="373"/>
    </row>
    <row r="1836">
      <c r="A1836" s="493"/>
      <c r="B1836" s="494"/>
      <c r="C1836" s="494"/>
      <c r="D1836" s="494"/>
      <c r="E1836" s="494"/>
      <c r="F1836" s="494"/>
      <c r="G1836" s="494"/>
      <c r="H1836" s="494"/>
      <c r="I1836" s="373"/>
    </row>
    <row r="1837">
      <c r="A1837" s="493"/>
      <c r="B1837" s="494"/>
      <c r="C1837" s="494"/>
      <c r="D1837" s="494"/>
      <c r="E1837" s="494"/>
      <c r="F1837" s="494"/>
      <c r="G1837" s="494"/>
      <c r="H1837" s="494"/>
      <c r="I1837" s="373"/>
    </row>
    <row r="1838">
      <c r="A1838" s="493"/>
      <c r="B1838" s="494"/>
      <c r="C1838" s="494"/>
      <c r="D1838" s="494"/>
      <c r="E1838" s="494"/>
      <c r="F1838" s="494"/>
      <c r="G1838" s="494"/>
      <c r="H1838" s="494"/>
      <c r="I1838" s="373"/>
    </row>
    <row r="1839">
      <c r="A1839" s="493"/>
      <c r="B1839" s="494"/>
      <c r="C1839" s="494"/>
      <c r="D1839" s="494"/>
      <c r="E1839" s="494"/>
      <c r="F1839" s="494"/>
      <c r="G1839" s="494"/>
      <c r="H1839" s="494"/>
      <c r="I1839" s="373"/>
    </row>
    <row r="1840">
      <c r="A1840" s="493"/>
      <c r="B1840" s="494"/>
      <c r="C1840" s="494"/>
      <c r="D1840" s="494"/>
      <c r="E1840" s="494"/>
      <c r="F1840" s="494"/>
      <c r="G1840" s="494"/>
      <c r="H1840" s="494"/>
      <c r="I1840" s="373"/>
    </row>
    <row r="1841">
      <c r="A1841" s="493"/>
      <c r="B1841" s="494"/>
      <c r="C1841" s="494"/>
      <c r="D1841" s="494"/>
      <c r="E1841" s="494"/>
      <c r="F1841" s="494"/>
      <c r="G1841" s="494"/>
      <c r="H1841" s="494"/>
      <c r="I1841" s="373"/>
    </row>
    <row r="1842">
      <c r="A1842" s="493"/>
      <c r="B1842" s="494"/>
      <c r="C1842" s="494"/>
      <c r="D1842" s="494"/>
      <c r="E1842" s="494"/>
      <c r="F1842" s="494"/>
      <c r="G1842" s="494"/>
      <c r="H1842" s="494"/>
      <c r="I1842" s="373"/>
    </row>
    <row r="1843">
      <c r="A1843" s="493"/>
      <c r="B1843" s="494"/>
      <c r="C1843" s="494"/>
      <c r="D1843" s="494"/>
      <c r="E1843" s="494"/>
      <c r="F1843" s="494"/>
      <c r="G1843" s="494"/>
      <c r="H1843" s="494"/>
      <c r="I1843" s="373"/>
    </row>
    <row r="1844">
      <c r="A1844" s="493"/>
      <c r="B1844" s="494"/>
      <c r="C1844" s="494"/>
      <c r="D1844" s="494"/>
      <c r="E1844" s="494"/>
      <c r="F1844" s="494"/>
      <c r="G1844" s="494"/>
      <c r="H1844" s="494"/>
      <c r="I1844" s="373"/>
    </row>
    <row r="1845">
      <c r="A1845" s="493"/>
      <c r="B1845" s="494"/>
      <c r="C1845" s="494"/>
      <c r="D1845" s="494"/>
      <c r="E1845" s="494"/>
      <c r="F1845" s="494"/>
      <c r="G1845" s="494"/>
      <c r="H1845" s="494"/>
      <c r="I1845" s="373"/>
    </row>
    <row r="1846">
      <c r="A1846" s="493"/>
      <c r="B1846" s="494"/>
      <c r="C1846" s="494"/>
      <c r="D1846" s="494"/>
      <c r="E1846" s="494"/>
      <c r="F1846" s="494"/>
      <c r="G1846" s="494"/>
      <c r="H1846" s="494"/>
      <c r="I1846" s="373"/>
    </row>
    <row r="1847">
      <c r="A1847" s="493"/>
      <c r="B1847" s="494"/>
      <c r="C1847" s="494"/>
      <c r="D1847" s="494"/>
      <c r="E1847" s="494"/>
      <c r="F1847" s="494"/>
      <c r="G1847" s="494"/>
      <c r="H1847" s="494"/>
      <c r="I1847" s="373"/>
    </row>
    <row r="1848">
      <c r="A1848" s="493"/>
      <c r="B1848" s="494"/>
      <c r="C1848" s="494"/>
      <c r="D1848" s="494"/>
      <c r="E1848" s="494"/>
      <c r="F1848" s="494"/>
      <c r="G1848" s="494"/>
      <c r="H1848" s="494"/>
      <c r="I1848" s="373"/>
    </row>
    <row r="1849">
      <c r="A1849" s="493"/>
      <c r="B1849" s="494"/>
      <c r="C1849" s="494"/>
      <c r="D1849" s="494"/>
      <c r="E1849" s="494"/>
      <c r="F1849" s="494"/>
      <c r="G1849" s="494"/>
      <c r="H1849" s="494"/>
      <c r="I1849" s="373"/>
    </row>
    <row r="1850">
      <c r="A1850" s="493"/>
      <c r="B1850" s="494"/>
      <c r="C1850" s="494"/>
      <c r="D1850" s="494"/>
      <c r="E1850" s="494"/>
      <c r="F1850" s="494"/>
      <c r="G1850" s="494"/>
      <c r="H1850" s="494"/>
      <c r="I1850" s="373"/>
    </row>
    <row r="1851">
      <c r="A1851" s="493"/>
      <c r="B1851" s="494"/>
      <c r="C1851" s="494"/>
      <c r="D1851" s="494"/>
      <c r="E1851" s="494"/>
      <c r="F1851" s="494"/>
      <c r="G1851" s="494"/>
      <c r="H1851" s="494"/>
      <c r="I1851" s="373"/>
    </row>
    <row r="1852">
      <c r="A1852" s="493"/>
      <c r="B1852" s="494"/>
      <c r="C1852" s="494"/>
      <c r="D1852" s="494"/>
      <c r="E1852" s="494"/>
      <c r="F1852" s="494"/>
      <c r="G1852" s="494"/>
      <c r="H1852" s="494"/>
      <c r="I1852" s="373"/>
    </row>
    <row r="1853">
      <c r="A1853" s="493"/>
      <c r="B1853" s="494"/>
      <c r="C1853" s="494"/>
      <c r="D1853" s="494"/>
      <c r="E1853" s="494"/>
      <c r="F1853" s="494"/>
      <c r="G1853" s="494"/>
      <c r="H1853" s="494"/>
      <c r="I1853" s="373"/>
    </row>
    <row r="1854">
      <c r="A1854" s="493"/>
      <c r="B1854" s="494"/>
      <c r="C1854" s="494"/>
      <c r="D1854" s="494"/>
      <c r="E1854" s="494"/>
      <c r="F1854" s="494"/>
      <c r="G1854" s="494"/>
      <c r="H1854" s="494"/>
      <c r="I1854" s="373"/>
    </row>
    <row r="1855">
      <c r="A1855" s="493"/>
      <c r="B1855" s="494"/>
      <c r="C1855" s="494"/>
      <c r="D1855" s="494"/>
      <c r="E1855" s="494"/>
      <c r="F1855" s="494"/>
      <c r="G1855" s="494"/>
      <c r="H1855" s="494"/>
      <c r="I1855" s="373"/>
    </row>
    <row r="1856">
      <c r="A1856" s="493"/>
      <c r="B1856" s="494"/>
      <c r="C1856" s="494"/>
      <c r="D1856" s="494"/>
      <c r="E1856" s="494"/>
      <c r="F1856" s="494"/>
      <c r="G1856" s="494"/>
      <c r="H1856" s="494"/>
      <c r="I1856" s="373"/>
    </row>
    <row r="1857">
      <c r="A1857" s="493"/>
      <c r="B1857" s="494"/>
      <c r="C1857" s="494"/>
      <c r="D1857" s="494"/>
      <c r="E1857" s="494"/>
      <c r="F1857" s="494"/>
      <c r="G1857" s="494"/>
      <c r="H1857" s="494"/>
      <c r="I1857" s="373"/>
    </row>
    <row r="1858">
      <c r="A1858" s="493"/>
      <c r="B1858" s="494"/>
      <c r="C1858" s="494"/>
      <c r="D1858" s="494"/>
      <c r="E1858" s="494"/>
      <c r="F1858" s="494"/>
      <c r="G1858" s="494"/>
      <c r="H1858" s="494"/>
      <c r="I1858" s="373"/>
    </row>
    <row r="1859">
      <c r="A1859" s="493"/>
      <c r="B1859" s="494"/>
      <c r="C1859" s="494"/>
      <c r="D1859" s="494"/>
      <c r="E1859" s="494"/>
      <c r="F1859" s="494"/>
      <c r="G1859" s="494"/>
      <c r="H1859" s="494"/>
      <c r="I1859" s="373"/>
    </row>
    <row r="1860">
      <c r="A1860" s="493"/>
      <c r="B1860" s="494"/>
      <c r="C1860" s="494"/>
      <c r="D1860" s="494"/>
      <c r="E1860" s="494"/>
      <c r="F1860" s="494"/>
      <c r="G1860" s="494"/>
      <c r="H1860" s="494"/>
      <c r="I1860" s="373"/>
    </row>
    <row r="1861">
      <c r="A1861" s="493"/>
      <c r="B1861" s="494"/>
      <c r="C1861" s="494"/>
      <c r="D1861" s="494"/>
      <c r="E1861" s="494"/>
      <c r="F1861" s="494"/>
      <c r="G1861" s="494"/>
      <c r="H1861" s="494"/>
      <c r="I1861" s="373"/>
    </row>
    <row r="1862">
      <c r="A1862" s="493"/>
      <c r="B1862" s="494"/>
      <c r="C1862" s="494"/>
      <c r="D1862" s="494"/>
      <c r="E1862" s="494"/>
      <c r="F1862" s="494"/>
      <c r="G1862" s="494"/>
      <c r="H1862" s="494"/>
      <c r="I1862" s="373"/>
    </row>
    <row r="1863">
      <c r="A1863" s="493"/>
      <c r="B1863" s="494"/>
      <c r="C1863" s="494"/>
      <c r="D1863" s="494"/>
      <c r="E1863" s="494"/>
      <c r="F1863" s="494"/>
      <c r="G1863" s="494"/>
      <c r="H1863" s="494"/>
      <c r="I1863" s="373"/>
    </row>
    <row r="1864">
      <c r="A1864" s="493"/>
      <c r="B1864" s="494"/>
      <c r="C1864" s="494"/>
      <c r="D1864" s="494"/>
      <c r="E1864" s="494"/>
      <c r="F1864" s="494"/>
      <c r="G1864" s="494"/>
      <c r="H1864" s="494"/>
      <c r="I1864" s="373"/>
    </row>
    <row r="1865">
      <c r="A1865" s="493"/>
      <c r="B1865" s="494"/>
      <c r="C1865" s="494"/>
      <c r="D1865" s="494"/>
      <c r="E1865" s="494"/>
      <c r="F1865" s="494"/>
      <c r="G1865" s="494"/>
      <c r="H1865" s="494"/>
      <c r="I1865" s="373"/>
    </row>
    <row r="1866">
      <c r="A1866" s="493"/>
      <c r="B1866" s="494"/>
      <c r="C1866" s="494"/>
      <c r="D1866" s="494"/>
      <c r="E1866" s="494"/>
      <c r="F1866" s="494"/>
      <c r="G1866" s="494"/>
      <c r="H1866" s="494"/>
      <c r="I1866" s="373"/>
    </row>
    <row r="1867">
      <c r="A1867" s="493"/>
      <c r="B1867" s="494"/>
      <c r="C1867" s="494"/>
      <c r="D1867" s="494"/>
      <c r="E1867" s="494"/>
      <c r="F1867" s="494"/>
      <c r="G1867" s="494"/>
      <c r="H1867" s="494"/>
      <c r="I1867" s="373"/>
    </row>
    <row r="1868">
      <c r="A1868" s="493"/>
      <c r="B1868" s="494"/>
      <c r="C1868" s="494"/>
      <c r="D1868" s="494"/>
      <c r="E1868" s="494"/>
      <c r="F1868" s="494"/>
      <c r="G1868" s="494"/>
      <c r="H1868" s="494"/>
      <c r="I1868" s="373"/>
    </row>
    <row r="1869">
      <c r="A1869" s="493"/>
      <c r="B1869" s="494"/>
      <c r="C1869" s="494"/>
      <c r="D1869" s="494"/>
      <c r="E1869" s="494"/>
      <c r="F1869" s="494"/>
      <c r="G1869" s="494"/>
      <c r="H1869" s="494"/>
      <c r="I1869" s="373"/>
    </row>
    <row r="1870">
      <c r="A1870" s="493"/>
      <c r="B1870" s="494"/>
      <c r="C1870" s="494"/>
      <c r="D1870" s="494"/>
      <c r="E1870" s="494"/>
      <c r="F1870" s="494"/>
      <c r="G1870" s="494"/>
      <c r="H1870" s="494"/>
      <c r="I1870" s="373"/>
    </row>
    <row r="1871">
      <c r="A1871" s="493"/>
      <c r="B1871" s="494"/>
      <c r="C1871" s="494"/>
      <c r="D1871" s="494"/>
      <c r="E1871" s="494"/>
      <c r="F1871" s="494"/>
      <c r="G1871" s="494"/>
      <c r="H1871" s="494"/>
      <c r="I1871" s="373"/>
    </row>
    <row r="1872">
      <c r="A1872" s="493"/>
      <c r="B1872" s="494"/>
      <c r="C1872" s="494"/>
      <c r="D1872" s="494"/>
      <c r="E1872" s="494"/>
      <c r="F1872" s="494"/>
      <c r="G1872" s="494"/>
      <c r="H1872" s="494"/>
      <c r="I1872" s="373"/>
    </row>
    <row r="1873">
      <c r="A1873" s="493"/>
      <c r="B1873" s="494"/>
      <c r="C1873" s="494"/>
      <c r="D1873" s="494"/>
      <c r="E1873" s="494"/>
      <c r="F1873" s="494"/>
      <c r="G1873" s="494"/>
      <c r="H1873" s="494"/>
      <c r="I1873" s="373"/>
    </row>
    <row r="1874">
      <c r="A1874" s="493"/>
      <c r="B1874" s="494"/>
      <c r="C1874" s="494"/>
      <c r="D1874" s="494"/>
      <c r="E1874" s="494"/>
      <c r="F1874" s="494"/>
      <c r="G1874" s="494"/>
      <c r="H1874" s="494"/>
      <c r="I1874" s="373"/>
    </row>
    <row r="1875">
      <c r="A1875" s="493"/>
      <c r="B1875" s="494"/>
      <c r="C1875" s="494"/>
      <c r="D1875" s="494"/>
      <c r="E1875" s="494"/>
      <c r="F1875" s="494"/>
      <c r="G1875" s="494"/>
      <c r="H1875" s="494"/>
      <c r="I1875" s="373"/>
    </row>
    <row r="1876">
      <c r="A1876" s="493"/>
      <c r="B1876" s="494"/>
      <c r="C1876" s="494"/>
      <c r="D1876" s="494"/>
      <c r="E1876" s="494"/>
      <c r="F1876" s="494"/>
      <c r="G1876" s="494"/>
      <c r="H1876" s="494"/>
      <c r="I1876" s="373"/>
    </row>
    <row r="1877">
      <c r="A1877" s="493"/>
      <c r="B1877" s="494"/>
      <c r="C1877" s="494"/>
      <c r="D1877" s="494"/>
      <c r="E1877" s="494"/>
      <c r="F1877" s="494"/>
      <c r="G1877" s="494"/>
      <c r="H1877" s="494"/>
      <c r="I1877" s="373"/>
    </row>
    <row r="1878">
      <c r="A1878" s="493"/>
      <c r="B1878" s="494"/>
      <c r="C1878" s="494"/>
      <c r="D1878" s="494"/>
      <c r="E1878" s="494"/>
      <c r="F1878" s="494"/>
      <c r="G1878" s="494"/>
      <c r="H1878" s="494"/>
      <c r="I1878" s="373"/>
    </row>
    <row r="1879">
      <c r="A1879" s="493"/>
      <c r="B1879" s="494"/>
      <c r="C1879" s="494"/>
      <c r="D1879" s="494"/>
      <c r="E1879" s="494"/>
      <c r="F1879" s="494"/>
      <c r="G1879" s="494"/>
      <c r="H1879" s="494"/>
      <c r="I1879" s="373"/>
    </row>
    <row r="1880">
      <c r="A1880" s="493"/>
      <c r="B1880" s="494"/>
      <c r="C1880" s="494"/>
      <c r="D1880" s="494"/>
      <c r="E1880" s="494"/>
      <c r="F1880" s="494"/>
      <c r="G1880" s="494"/>
      <c r="H1880" s="494"/>
      <c r="I1880" s="373"/>
    </row>
    <row r="1881">
      <c r="A1881" s="493"/>
      <c r="B1881" s="494"/>
      <c r="C1881" s="494"/>
      <c r="D1881" s="494"/>
      <c r="E1881" s="494"/>
      <c r="F1881" s="494"/>
      <c r="G1881" s="494"/>
      <c r="H1881" s="494"/>
      <c r="I1881" s="373"/>
    </row>
    <row r="1882">
      <c r="A1882" s="493"/>
      <c r="B1882" s="494"/>
      <c r="C1882" s="494"/>
      <c r="D1882" s="494"/>
      <c r="E1882" s="494"/>
      <c r="F1882" s="494"/>
      <c r="G1882" s="494"/>
      <c r="H1882" s="494"/>
      <c r="I1882" s="373"/>
    </row>
    <row r="1883">
      <c r="A1883" s="493"/>
      <c r="B1883" s="494"/>
      <c r="C1883" s="494"/>
      <c r="D1883" s="494"/>
      <c r="E1883" s="494"/>
      <c r="F1883" s="494"/>
      <c r="G1883" s="494"/>
      <c r="H1883" s="494"/>
      <c r="I1883" s="373"/>
    </row>
    <row r="1884">
      <c r="A1884" s="493"/>
      <c r="B1884" s="494"/>
      <c r="C1884" s="494"/>
      <c r="D1884" s="494"/>
      <c r="E1884" s="494"/>
      <c r="F1884" s="494"/>
      <c r="G1884" s="494"/>
      <c r="H1884" s="494"/>
      <c r="I1884" s="373"/>
    </row>
    <row r="1885">
      <c r="A1885" s="493"/>
      <c r="B1885" s="494"/>
      <c r="C1885" s="494"/>
      <c r="D1885" s="494"/>
      <c r="E1885" s="494"/>
      <c r="F1885" s="494"/>
      <c r="G1885" s="494"/>
      <c r="H1885" s="494"/>
      <c r="I1885" s="373"/>
    </row>
    <row r="1886">
      <c r="A1886" s="493"/>
      <c r="B1886" s="494"/>
      <c r="C1886" s="494"/>
      <c r="D1886" s="494"/>
      <c r="E1886" s="494"/>
      <c r="F1886" s="494"/>
      <c r="G1886" s="494"/>
      <c r="H1886" s="494"/>
      <c r="I1886" s="373"/>
    </row>
    <row r="1887">
      <c r="A1887" s="493"/>
      <c r="B1887" s="494"/>
      <c r="C1887" s="494"/>
      <c r="D1887" s="494"/>
      <c r="E1887" s="494"/>
      <c r="F1887" s="494"/>
      <c r="G1887" s="494"/>
      <c r="H1887" s="494"/>
      <c r="I1887" s="373"/>
    </row>
    <row r="1888">
      <c r="A1888" s="493"/>
      <c r="B1888" s="494"/>
      <c r="C1888" s="494"/>
      <c r="D1888" s="494"/>
      <c r="E1888" s="494"/>
      <c r="F1888" s="494"/>
      <c r="G1888" s="494"/>
      <c r="H1888" s="494"/>
      <c r="I1888" s="373"/>
    </row>
    <row r="1889">
      <c r="A1889" s="493"/>
      <c r="B1889" s="494"/>
      <c r="C1889" s="494"/>
      <c r="D1889" s="494"/>
      <c r="E1889" s="494"/>
      <c r="F1889" s="494"/>
      <c r="G1889" s="494"/>
      <c r="H1889" s="494"/>
      <c r="I1889" s="373"/>
    </row>
    <row r="1890">
      <c r="A1890" s="493"/>
      <c r="B1890" s="494"/>
      <c r="C1890" s="494"/>
      <c r="D1890" s="494"/>
      <c r="E1890" s="494"/>
      <c r="F1890" s="494"/>
      <c r="G1890" s="494"/>
      <c r="H1890" s="494"/>
      <c r="I1890" s="373"/>
    </row>
    <row r="1891">
      <c r="A1891" s="493"/>
      <c r="B1891" s="494"/>
      <c r="C1891" s="494"/>
      <c r="D1891" s="494"/>
      <c r="E1891" s="494"/>
      <c r="F1891" s="494"/>
      <c r="G1891" s="494"/>
      <c r="H1891" s="494"/>
      <c r="I1891" s="373"/>
    </row>
    <row r="1892">
      <c r="A1892" s="493"/>
      <c r="B1892" s="494"/>
      <c r="C1892" s="494"/>
      <c r="D1892" s="494"/>
      <c r="E1892" s="494"/>
      <c r="F1892" s="494"/>
      <c r="G1892" s="494"/>
      <c r="H1892" s="494"/>
      <c r="I1892" s="373"/>
    </row>
    <row r="1893">
      <c r="A1893" s="493"/>
      <c r="B1893" s="494"/>
      <c r="C1893" s="494"/>
      <c r="D1893" s="494"/>
      <c r="E1893" s="494"/>
      <c r="F1893" s="494"/>
      <c r="G1893" s="494"/>
      <c r="H1893" s="494"/>
      <c r="I1893" s="373"/>
    </row>
    <row r="1894">
      <c r="A1894" s="493"/>
      <c r="B1894" s="494"/>
      <c r="C1894" s="494"/>
      <c r="D1894" s="494"/>
      <c r="E1894" s="494"/>
      <c r="F1894" s="494"/>
      <c r="G1894" s="494"/>
      <c r="H1894" s="494"/>
      <c r="I1894" s="373"/>
    </row>
    <row r="1895">
      <c r="A1895" s="493"/>
      <c r="B1895" s="494"/>
      <c r="C1895" s="494"/>
      <c r="D1895" s="494"/>
      <c r="E1895" s="494"/>
      <c r="F1895" s="494"/>
      <c r="G1895" s="494"/>
      <c r="H1895" s="494"/>
      <c r="I1895" s="373"/>
    </row>
    <row r="1896">
      <c r="A1896" s="493"/>
      <c r="B1896" s="494"/>
      <c r="C1896" s="494"/>
      <c r="D1896" s="494"/>
      <c r="E1896" s="494"/>
      <c r="F1896" s="494"/>
      <c r="G1896" s="494"/>
      <c r="H1896" s="494"/>
      <c r="I1896" s="373"/>
    </row>
    <row r="1897">
      <c r="A1897" s="493"/>
      <c r="B1897" s="494"/>
      <c r="C1897" s="494"/>
      <c r="D1897" s="494"/>
      <c r="E1897" s="494"/>
      <c r="F1897" s="494"/>
      <c r="G1897" s="494"/>
      <c r="H1897" s="494"/>
      <c r="I1897" s="373"/>
    </row>
    <row r="1898">
      <c r="A1898" s="493"/>
      <c r="B1898" s="494"/>
      <c r="C1898" s="494"/>
      <c r="D1898" s="494"/>
      <c r="E1898" s="494"/>
      <c r="F1898" s="494"/>
      <c r="G1898" s="494"/>
      <c r="H1898" s="494"/>
      <c r="I1898" s="373"/>
    </row>
    <row r="1899">
      <c r="A1899" s="493"/>
      <c r="B1899" s="494"/>
      <c r="C1899" s="494"/>
      <c r="D1899" s="494"/>
      <c r="E1899" s="494"/>
      <c r="F1899" s="494"/>
      <c r="G1899" s="494"/>
      <c r="H1899" s="494"/>
      <c r="I1899" s="373"/>
    </row>
    <row r="1900">
      <c r="A1900" s="493"/>
      <c r="B1900" s="494"/>
      <c r="C1900" s="494"/>
      <c r="D1900" s="494"/>
      <c r="E1900" s="494"/>
      <c r="F1900" s="494"/>
      <c r="G1900" s="494"/>
      <c r="H1900" s="494"/>
      <c r="I1900" s="373"/>
    </row>
    <row r="1901">
      <c r="A1901" s="493"/>
      <c r="B1901" s="494"/>
      <c r="C1901" s="494"/>
      <c r="D1901" s="494"/>
      <c r="E1901" s="494"/>
      <c r="F1901" s="494"/>
      <c r="G1901" s="494"/>
      <c r="H1901" s="494"/>
      <c r="I1901" s="373"/>
    </row>
    <row r="1902">
      <c r="A1902" s="493"/>
      <c r="B1902" s="494"/>
      <c r="C1902" s="494"/>
      <c r="D1902" s="494"/>
      <c r="E1902" s="494"/>
      <c r="F1902" s="494"/>
      <c r="G1902" s="494"/>
      <c r="H1902" s="494"/>
      <c r="I1902" s="373"/>
    </row>
    <row r="1903">
      <c r="A1903" s="493"/>
      <c r="B1903" s="494"/>
      <c r="C1903" s="494"/>
      <c r="D1903" s="494"/>
      <c r="E1903" s="494"/>
      <c r="F1903" s="494"/>
      <c r="G1903" s="494"/>
      <c r="H1903" s="494"/>
      <c r="I1903" s="373"/>
    </row>
    <row r="1904">
      <c r="A1904" s="493"/>
      <c r="B1904" s="494"/>
      <c r="C1904" s="494"/>
      <c r="D1904" s="494"/>
      <c r="E1904" s="494"/>
      <c r="F1904" s="494"/>
      <c r="G1904" s="494"/>
      <c r="H1904" s="494"/>
      <c r="I1904" s="373"/>
    </row>
    <row r="1905">
      <c r="A1905" s="493"/>
      <c r="B1905" s="494"/>
      <c r="C1905" s="494"/>
      <c r="D1905" s="494"/>
      <c r="E1905" s="494"/>
      <c r="F1905" s="494"/>
      <c r="G1905" s="494"/>
      <c r="H1905" s="494"/>
      <c r="I1905" s="373"/>
    </row>
    <row r="1906">
      <c r="A1906" s="493"/>
      <c r="B1906" s="494"/>
      <c r="C1906" s="494"/>
      <c r="D1906" s="494"/>
      <c r="E1906" s="494"/>
      <c r="F1906" s="494"/>
      <c r="G1906" s="494"/>
      <c r="H1906" s="494"/>
      <c r="I1906" s="373"/>
    </row>
    <row r="1907">
      <c r="A1907" s="493"/>
      <c r="B1907" s="494"/>
      <c r="C1907" s="494"/>
      <c r="D1907" s="494"/>
      <c r="E1907" s="494"/>
      <c r="F1907" s="494"/>
      <c r="G1907" s="494"/>
      <c r="H1907" s="494"/>
      <c r="I1907" s="373"/>
    </row>
    <row r="1908">
      <c r="A1908" s="493"/>
      <c r="B1908" s="494"/>
      <c r="C1908" s="494"/>
      <c r="D1908" s="494"/>
      <c r="E1908" s="494"/>
      <c r="F1908" s="494"/>
      <c r="G1908" s="494"/>
      <c r="H1908" s="494"/>
      <c r="I1908" s="373"/>
    </row>
    <row r="1909">
      <c r="A1909" s="493"/>
      <c r="B1909" s="494"/>
      <c r="C1909" s="494"/>
      <c r="D1909" s="494"/>
      <c r="E1909" s="494"/>
      <c r="F1909" s="494"/>
      <c r="G1909" s="494"/>
      <c r="H1909" s="494"/>
      <c r="I1909" s="373"/>
    </row>
    <row r="1910">
      <c r="A1910" s="493"/>
      <c r="B1910" s="494"/>
      <c r="C1910" s="494"/>
      <c r="D1910" s="494"/>
      <c r="E1910" s="494"/>
      <c r="F1910" s="494"/>
      <c r="G1910" s="494"/>
      <c r="H1910" s="494"/>
      <c r="I1910" s="373"/>
    </row>
    <row r="1911">
      <c r="A1911" s="493"/>
      <c r="B1911" s="494"/>
      <c r="C1911" s="494"/>
      <c r="D1911" s="494"/>
      <c r="E1911" s="494"/>
      <c r="F1911" s="494"/>
      <c r="G1911" s="494"/>
      <c r="H1911" s="494"/>
      <c r="I1911" s="373"/>
    </row>
    <row r="1912">
      <c r="A1912" s="493"/>
      <c r="B1912" s="494"/>
      <c r="C1912" s="494"/>
      <c r="D1912" s="494"/>
      <c r="E1912" s="494"/>
      <c r="F1912" s="494"/>
      <c r="G1912" s="494"/>
      <c r="H1912" s="494"/>
      <c r="I1912" s="373"/>
    </row>
    <row r="1913">
      <c r="A1913" s="493"/>
      <c r="B1913" s="494"/>
      <c r="C1913" s="494"/>
      <c r="D1913" s="494"/>
      <c r="E1913" s="494"/>
      <c r="F1913" s="494"/>
      <c r="G1913" s="494"/>
      <c r="H1913" s="494"/>
      <c r="I1913" s="373"/>
    </row>
    <row r="1914">
      <c r="A1914" s="493"/>
      <c r="B1914" s="494"/>
      <c r="C1914" s="494"/>
      <c r="D1914" s="494"/>
      <c r="E1914" s="494"/>
      <c r="F1914" s="494"/>
      <c r="G1914" s="494"/>
      <c r="H1914" s="494"/>
      <c r="I1914" s="373"/>
    </row>
    <row r="1915">
      <c r="A1915" s="493"/>
      <c r="B1915" s="494"/>
      <c r="C1915" s="494"/>
      <c r="D1915" s="494"/>
      <c r="E1915" s="494"/>
      <c r="F1915" s="494"/>
      <c r="G1915" s="494"/>
      <c r="H1915" s="494"/>
      <c r="I1915" s="373"/>
    </row>
    <row r="1916">
      <c r="A1916" s="493"/>
      <c r="B1916" s="494"/>
      <c r="C1916" s="494"/>
      <c r="D1916" s="494"/>
      <c r="E1916" s="494"/>
      <c r="F1916" s="494"/>
      <c r="G1916" s="494"/>
      <c r="H1916" s="494"/>
      <c r="I1916" s="373"/>
    </row>
    <row r="1917">
      <c r="A1917" s="493"/>
      <c r="B1917" s="494"/>
      <c r="C1917" s="494"/>
      <c r="D1917" s="494"/>
      <c r="E1917" s="494"/>
      <c r="F1917" s="494"/>
      <c r="G1917" s="494"/>
      <c r="H1917" s="494"/>
      <c r="I1917" s="373"/>
    </row>
    <row r="1918">
      <c r="A1918" s="493"/>
      <c r="B1918" s="494"/>
      <c r="C1918" s="494"/>
      <c r="D1918" s="494"/>
      <c r="E1918" s="494"/>
      <c r="F1918" s="494"/>
      <c r="G1918" s="494"/>
      <c r="H1918" s="494"/>
      <c r="I1918" s="373"/>
    </row>
    <row r="1919">
      <c r="A1919" s="493"/>
      <c r="B1919" s="494"/>
      <c r="C1919" s="494"/>
      <c r="D1919" s="494"/>
      <c r="E1919" s="494"/>
      <c r="F1919" s="494"/>
      <c r="G1919" s="494"/>
      <c r="H1919" s="494"/>
      <c r="I1919" s="373"/>
    </row>
    <row r="1920">
      <c r="A1920" s="493"/>
      <c r="B1920" s="494"/>
      <c r="C1920" s="494"/>
      <c r="D1920" s="494"/>
      <c r="E1920" s="494"/>
      <c r="F1920" s="494"/>
      <c r="G1920" s="494"/>
      <c r="H1920" s="494"/>
      <c r="I1920" s="373"/>
    </row>
    <row r="1921">
      <c r="A1921" s="493"/>
      <c r="B1921" s="494"/>
      <c r="C1921" s="494"/>
      <c r="D1921" s="494"/>
      <c r="E1921" s="494"/>
      <c r="F1921" s="494"/>
      <c r="G1921" s="494"/>
      <c r="H1921" s="494"/>
      <c r="I1921" s="373"/>
    </row>
    <row r="1922">
      <c r="A1922" s="493"/>
      <c r="B1922" s="494"/>
      <c r="C1922" s="494"/>
      <c r="D1922" s="494"/>
      <c r="E1922" s="494"/>
      <c r="F1922" s="494"/>
      <c r="G1922" s="494"/>
      <c r="H1922" s="494"/>
      <c r="I1922" s="373"/>
    </row>
    <row r="1923">
      <c r="A1923" s="493"/>
      <c r="B1923" s="494"/>
      <c r="C1923" s="494"/>
      <c r="D1923" s="494"/>
      <c r="E1923" s="494"/>
      <c r="F1923" s="494"/>
      <c r="G1923" s="494"/>
      <c r="H1923" s="494"/>
      <c r="I1923" s="373"/>
    </row>
    <row r="1924">
      <c r="A1924" s="493"/>
      <c r="B1924" s="494"/>
      <c r="C1924" s="494"/>
      <c r="D1924" s="494"/>
      <c r="E1924" s="494"/>
      <c r="F1924" s="494"/>
      <c r="G1924" s="494"/>
      <c r="H1924" s="494"/>
      <c r="I1924" s="373"/>
    </row>
    <row r="1925">
      <c r="A1925" s="493"/>
      <c r="B1925" s="494"/>
      <c r="C1925" s="494"/>
      <c r="D1925" s="494"/>
      <c r="E1925" s="494"/>
      <c r="F1925" s="494"/>
      <c r="G1925" s="494"/>
      <c r="H1925" s="494"/>
      <c r="I1925" s="373"/>
    </row>
    <row r="1926">
      <c r="A1926" s="493"/>
      <c r="B1926" s="494"/>
      <c r="C1926" s="494"/>
      <c r="D1926" s="494"/>
      <c r="E1926" s="494"/>
      <c r="F1926" s="494"/>
      <c r="G1926" s="494"/>
      <c r="H1926" s="494"/>
      <c r="I1926" s="373"/>
    </row>
    <row r="1927">
      <c r="A1927" s="493"/>
      <c r="B1927" s="494"/>
      <c r="C1927" s="494"/>
      <c r="D1927" s="494"/>
      <c r="E1927" s="494"/>
      <c r="F1927" s="494"/>
      <c r="G1927" s="494"/>
      <c r="H1927" s="494"/>
      <c r="I1927" s="373"/>
    </row>
    <row r="1928">
      <c r="A1928" s="493"/>
      <c r="B1928" s="494"/>
      <c r="C1928" s="494"/>
      <c r="D1928" s="494"/>
      <c r="E1928" s="494"/>
      <c r="F1928" s="494"/>
      <c r="G1928" s="494"/>
      <c r="H1928" s="494"/>
      <c r="I1928" s="373"/>
    </row>
    <row r="1929">
      <c r="A1929" s="493"/>
      <c r="B1929" s="494"/>
      <c r="C1929" s="494"/>
      <c r="D1929" s="494"/>
      <c r="E1929" s="494"/>
      <c r="F1929" s="494"/>
      <c r="G1929" s="494"/>
      <c r="H1929" s="494"/>
      <c r="I1929" s="373"/>
    </row>
    <row r="1930">
      <c r="A1930" s="493"/>
      <c r="B1930" s="494"/>
      <c r="C1930" s="494"/>
      <c r="D1930" s="494"/>
      <c r="E1930" s="494"/>
      <c r="F1930" s="494"/>
      <c r="G1930" s="494"/>
      <c r="H1930" s="494"/>
      <c r="I1930" s="373"/>
    </row>
    <row r="1931">
      <c r="A1931" s="493"/>
      <c r="B1931" s="494"/>
      <c r="C1931" s="494"/>
      <c r="D1931" s="494"/>
      <c r="E1931" s="494"/>
      <c r="F1931" s="494"/>
      <c r="G1931" s="494"/>
      <c r="H1931" s="494"/>
      <c r="I1931" s="373"/>
    </row>
    <row r="1932">
      <c r="A1932" s="493"/>
      <c r="B1932" s="494"/>
      <c r="C1932" s="494"/>
      <c r="D1932" s="494"/>
      <c r="E1932" s="494"/>
      <c r="F1932" s="494"/>
      <c r="G1932" s="494"/>
      <c r="H1932" s="494"/>
      <c r="I1932" s="373"/>
    </row>
    <row r="1933">
      <c r="A1933" s="493"/>
      <c r="B1933" s="494"/>
      <c r="C1933" s="494"/>
      <c r="D1933" s="494"/>
      <c r="E1933" s="494"/>
      <c r="F1933" s="494"/>
      <c r="G1933" s="494"/>
      <c r="H1933" s="494"/>
      <c r="I1933" s="373"/>
    </row>
    <row r="1934">
      <c r="A1934" s="493"/>
      <c r="B1934" s="494"/>
      <c r="C1934" s="494"/>
      <c r="D1934" s="494"/>
      <c r="E1934" s="494"/>
      <c r="F1934" s="494"/>
      <c r="G1934" s="494"/>
      <c r="H1934" s="494"/>
      <c r="I1934" s="373"/>
    </row>
    <row r="1935">
      <c r="A1935" s="493"/>
      <c r="B1935" s="494"/>
      <c r="C1935" s="494"/>
      <c r="D1935" s="494"/>
      <c r="E1935" s="494"/>
      <c r="F1935" s="494"/>
      <c r="G1935" s="494"/>
      <c r="H1935" s="494"/>
      <c r="I1935" s="373"/>
    </row>
    <row r="1936">
      <c r="A1936" s="493"/>
      <c r="B1936" s="494"/>
      <c r="C1936" s="494"/>
      <c r="D1936" s="494"/>
      <c r="E1936" s="494"/>
      <c r="F1936" s="494"/>
      <c r="G1936" s="494"/>
      <c r="H1936" s="494"/>
      <c r="I1936" s="373"/>
    </row>
    <row r="1937">
      <c r="A1937" s="493"/>
      <c r="B1937" s="494"/>
      <c r="C1937" s="494"/>
      <c r="D1937" s="494"/>
      <c r="E1937" s="494"/>
      <c r="F1937" s="494"/>
      <c r="G1937" s="494"/>
      <c r="H1937" s="494"/>
      <c r="I1937" s="373"/>
    </row>
    <row r="1938">
      <c r="A1938" s="493"/>
      <c r="B1938" s="494"/>
      <c r="C1938" s="494"/>
      <c r="D1938" s="494"/>
      <c r="E1938" s="494"/>
      <c r="F1938" s="494"/>
      <c r="G1938" s="494"/>
      <c r="H1938" s="494"/>
      <c r="I1938" s="373"/>
    </row>
    <row r="1939">
      <c r="A1939" s="493"/>
      <c r="B1939" s="494"/>
      <c r="C1939" s="494"/>
      <c r="D1939" s="494"/>
      <c r="E1939" s="494"/>
      <c r="F1939" s="494"/>
      <c r="G1939" s="494"/>
      <c r="H1939" s="494"/>
      <c r="I1939" s="373"/>
    </row>
    <row r="1940">
      <c r="A1940" s="493"/>
      <c r="B1940" s="494"/>
      <c r="C1940" s="494"/>
      <c r="D1940" s="494"/>
      <c r="E1940" s="494"/>
      <c r="F1940" s="494"/>
      <c r="G1940" s="494"/>
      <c r="H1940" s="494"/>
      <c r="I1940" s="373"/>
    </row>
    <row r="1941">
      <c r="A1941" s="493"/>
      <c r="B1941" s="494"/>
      <c r="C1941" s="494"/>
      <c r="D1941" s="494"/>
      <c r="E1941" s="494"/>
      <c r="F1941" s="494"/>
      <c r="G1941" s="494"/>
      <c r="H1941" s="494"/>
      <c r="I1941" s="373"/>
    </row>
    <row r="1942">
      <c r="A1942" s="493"/>
      <c r="B1942" s="494"/>
      <c r="C1942" s="494"/>
      <c r="D1942" s="494"/>
      <c r="E1942" s="494"/>
      <c r="F1942" s="494"/>
      <c r="G1942" s="494"/>
      <c r="H1942" s="494"/>
      <c r="I1942" s="373"/>
    </row>
    <row r="1943">
      <c r="A1943" s="493"/>
      <c r="B1943" s="494"/>
      <c r="C1943" s="494"/>
      <c r="D1943" s="494"/>
      <c r="E1943" s="494"/>
      <c r="F1943" s="494"/>
      <c r="G1943" s="494"/>
      <c r="H1943" s="494"/>
      <c r="I1943" s="373"/>
    </row>
    <row r="1944">
      <c r="A1944" s="493"/>
      <c r="B1944" s="494"/>
      <c r="C1944" s="494"/>
      <c r="D1944" s="494"/>
      <c r="E1944" s="494"/>
      <c r="F1944" s="494"/>
      <c r="G1944" s="494"/>
      <c r="H1944" s="494"/>
      <c r="I1944" s="373"/>
    </row>
    <row r="1945">
      <c r="A1945" s="493"/>
      <c r="B1945" s="494"/>
      <c r="C1945" s="494"/>
      <c r="D1945" s="494"/>
      <c r="E1945" s="494"/>
      <c r="F1945" s="494"/>
      <c r="G1945" s="494"/>
      <c r="H1945" s="494"/>
      <c r="I1945" s="373"/>
    </row>
    <row r="1946">
      <c r="A1946" s="493"/>
      <c r="B1946" s="494"/>
      <c r="C1946" s="494"/>
      <c r="D1946" s="494"/>
      <c r="E1946" s="494"/>
      <c r="F1946" s="494"/>
      <c r="G1946" s="494"/>
      <c r="H1946" s="494"/>
      <c r="I1946" s="373"/>
    </row>
    <row r="1947">
      <c r="A1947" s="493"/>
      <c r="B1947" s="494"/>
      <c r="C1947" s="494"/>
      <c r="D1947" s="494"/>
      <c r="E1947" s="494"/>
      <c r="F1947" s="494"/>
      <c r="G1947" s="494"/>
      <c r="H1947" s="494"/>
      <c r="I1947" s="373"/>
    </row>
    <row r="1948">
      <c r="A1948" s="493"/>
      <c r="B1948" s="494"/>
      <c r="C1948" s="494"/>
      <c r="D1948" s="494"/>
      <c r="E1948" s="494"/>
      <c r="F1948" s="494"/>
      <c r="G1948" s="494"/>
      <c r="H1948" s="494"/>
      <c r="I1948" s="373"/>
    </row>
    <row r="1949">
      <c r="A1949" s="493"/>
      <c r="B1949" s="494"/>
      <c r="C1949" s="494"/>
      <c r="D1949" s="494"/>
      <c r="E1949" s="494"/>
      <c r="F1949" s="494"/>
      <c r="G1949" s="494"/>
      <c r="H1949" s="494"/>
      <c r="I1949" s="373"/>
    </row>
    <row r="1950">
      <c r="A1950" s="493"/>
      <c r="B1950" s="494"/>
      <c r="C1950" s="494"/>
      <c r="D1950" s="494"/>
      <c r="E1950" s="494"/>
      <c r="F1950" s="494"/>
      <c r="G1950" s="494"/>
      <c r="H1950" s="494"/>
      <c r="I1950" s="373"/>
    </row>
    <row r="1951">
      <c r="A1951" s="493"/>
      <c r="B1951" s="494"/>
      <c r="C1951" s="494"/>
      <c r="D1951" s="494"/>
      <c r="E1951" s="494"/>
      <c r="F1951" s="494"/>
      <c r="G1951" s="494"/>
      <c r="H1951" s="494"/>
      <c r="I1951" s="373"/>
    </row>
    <row r="1952">
      <c r="A1952" s="493"/>
      <c r="B1952" s="494"/>
      <c r="C1952" s="494"/>
      <c r="D1952" s="494"/>
      <c r="E1952" s="494"/>
      <c r="F1952" s="494"/>
      <c r="G1952" s="494"/>
      <c r="H1952" s="494"/>
      <c r="I1952" s="373"/>
    </row>
    <row r="1953">
      <c r="A1953" s="493"/>
      <c r="B1953" s="494"/>
      <c r="C1953" s="494"/>
      <c r="D1953" s="494"/>
      <c r="E1953" s="494"/>
      <c r="F1953" s="494"/>
      <c r="G1953" s="494"/>
      <c r="H1953" s="494"/>
      <c r="I1953" s="373"/>
    </row>
    <row r="1954">
      <c r="A1954" s="493"/>
      <c r="B1954" s="494"/>
      <c r="C1954" s="494"/>
      <c r="D1954" s="494"/>
      <c r="E1954" s="494"/>
      <c r="F1954" s="494"/>
      <c r="G1954" s="494"/>
      <c r="H1954" s="494"/>
      <c r="I1954" s="373"/>
    </row>
    <row r="1955">
      <c r="A1955" s="493"/>
      <c r="B1955" s="494"/>
      <c r="C1955" s="494"/>
      <c r="D1955" s="494"/>
      <c r="E1955" s="494"/>
      <c r="F1955" s="494"/>
      <c r="G1955" s="494"/>
      <c r="H1955" s="494"/>
      <c r="I1955" s="373"/>
    </row>
    <row r="1956">
      <c r="A1956" s="493"/>
      <c r="B1956" s="494"/>
      <c r="C1956" s="494"/>
      <c r="D1956" s="494"/>
      <c r="E1956" s="494"/>
      <c r="F1956" s="494"/>
      <c r="G1956" s="494"/>
      <c r="H1956" s="494"/>
      <c r="I1956" s="373"/>
    </row>
    <row r="1957">
      <c r="A1957" s="493"/>
      <c r="B1957" s="494"/>
      <c r="C1957" s="494"/>
      <c r="D1957" s="494"/>
      <c r="E1957" s="494"/>
      <c r="F1957" s="494"/>
      <c r="G1957" s="494"/>
      <c r="H1957" s="494"/>
      <c r="I1957" s="373"/>
    </row>
    <row r="1958">
      <c r="A1958" s="493"/>
      <c r="B1958" s="494"/>
      <c r="C1958" s="494"/>
      <c r="D1958" s="494"/>
      <c r="E1958" s="494"/>
      <c r="F1958" s="494"/>
      <c r="G1958" s="494"/>
      <c r="H1958" s="494"/>
      <c r="I1958" s="373"/>
    </row>
    <row r="1959">
      <c r="A1959" s="493"/>
      <c r="B1959" s="494"/>
      <c r="C1959" s="494"/>
      <c r="D1959" s="494"/>
      <c r="E1959" s="494"/>
      <c r="F1959" s="494"/>
      <c r="G1959" s="494"/>
      <c r="H1959" s="494"/>
      <c r="I1959" s="373"/>
    </row>
    <row r="1960">
      <c r="A1960" s="493"/>
      <c r="B1960" s="494"/>
      <c r="C1960" s="494"/>
      <c r="D1960" s="494"/>
      <c r="E1960" s="494"/>
      <c r="F1960" s="494"/>
      <c r="G1960" s="494"/>
      <c r="H1960" s="494"/>
      <c r="I1960" s="373"/>
    </row>
    <row r="1961">
      <c r="A1961" s="493"/>
      <c r="B1961" s="494"/>
      <c r="C1961" s="494"/>
      <c r="D1961" s="494"/>
      <c r="E1961" s="494"/>
      <c r="F1961" s="494"/>
      <c r="G1961" s="494"/>
      <c r="H1961" s="494"/>
      <c r="I1961" s="373"/>
    </row>
    <row r="1962">
      <c r="A1962" s="493"/>
      <c r="B1962" s="494"/>
      <c r="C1962" s="494"/>
      <c r="D1962" s="494"/>
      <c r="E1962" s="494"/>
      <c r="F1962" s="494"/>
      <c r="G1962" s="494"/>
      <c r="H1962" s="494"/>
      <c r="I1962" s="373"/>
    </row>
    <row r="1963">
      <c r="A1963" s="493"/>
      <c r="B1963" s="494"/>
      <c r="C1963" s="494"/>
      <c r="D1963" s="494"/>
      <c r="E1963" s="494"/>
      <c r="F1963" s="494"/>
      <c r="G1963" s="494"/>
      <c r="H1963" s="494"/>
      <c r="I1963" s="373"/>
    </row>
    <row r="1964">
      <c r="A1964" s="493"/>
      <c r="B1964" s="494"/>
      <c r="C1964" s="494"/>
      <c r="D1964" s="494"/>
      <c r="E1964" s="494"/>
      <c r="F1964" s="494"/>
      <c r="G1964" s="494"/>
      <c r="H1964" s="494"/>
      <c r="I1964" s="373"/>
    </row>
    <row r="1965">
      <c r="A1965" s="493"/>
      <c r="B1965" s="494"/>
      <c r="C1965" s="494"/>
      <c r="D1965" s="494"/>
      <c r="E1965" s="494"/>
      <c r="F1965" s="494"/>
      <c r="G1965" s="494"/>
      <c r="H1965" s="494"/>
      <c r="I1965" s="373"/>
    </row>
    <row r="1966">
      <c r="A1966" s="493"/>
      <c r="B1966" s="494"/>
      <c r="C1966" s="494"/>
      <c r="D1966" s="494"/>
      <c r="E1966" s="494"/>
      <c r="F1966" s="494"/>
      <c r="G1966" s="494"/>
      <c r="H1966" s="494"/>
      <c r="I1966" s="373"/>
    </row>
    <row r="1967">
      <c r="A1967" s="493"/>
      <c r="B1967" s="494"/>
      <c r="C1967" s="494"/>
      <c r="D1967" s="494"/>
      <c r="E1967" s="494"/>
      <c r="F1967" s="494"/>
      <c r="G1967" s="494"/>
      <c r="H1967" s="494"/>
      <c r="I1967" s="373"/>
    </row>
    <row r="1968">
      <c r="A1968" s="493"/>
      <c r="B1968" s="494"/>
      <c r="C1968" s="494"/>
      <c r="D1968" s="494"/>
      <c r="E1968" s="494"/>
      <c r="F1968" s="494"/>
      <c r="G1968" s="494"/>
      <c r="H1968" s="494"/>
      <c r="I1968" s="373"/>
    </row>
    <row r="1969">
      <c r="A1969" s="493"/>
      <c r="B1969" s="494"/>
      <c r="C1969" s="494"/>
      <c r="D1969" s="494"/>
      <c r="E1969" s="494"/>
      <c r="F1969" s="494"/>
      <c r="G1969" s="494"/>
      <c r="H1969" s="494"/>
      <c r="I1969" s="373"/>
    </row>
    <row r="1970">
      <c r="A1970" s="493"/>
      <c r="B1970" s="494"/>
      <c r="C1970" s="494"/>
      <c r="D1970" s="494"/>
      <c r="E1970" s="494"/>
      <c r="F1970" s="494"/>
      <c r="G1970" s="494"/>
      <c r="H1970" s="494"/>
      <c r="I1970" s="373"/>
    </row>
    <row r="1971">
      <c r="A1971" s="493"/>
      <c r="B1971" s="494"/>
      <c r="C1971" s="494"/>
      <c r="D1971" s="494"/>
      <c r="E1971" s="494"/>
      <c r="F1971" s="494"/>
      <c r="G1971" s="494"/>
      <c r="H1971" s="494"/>
      <c r="I1971" s="373"/>
    </row>
    <row r="1972">
      <c r="A1972" s="493"/>
      <c r="B1972" s="494"/>
      <c r="C1972" s="494"/>
      <c r="D1972" s="494"/>
      <c r="E1972" s="494"/>
      <c r="F1972" s="494"/>
      <c r="G1972" s="494"/>
      <c r="H1972" s="494"/>
      <c r="I1972" s="373"/>
    </row>
    <row r="1973">
      <c r="A1973" s="493"/>
      <c r="B1973" s="494"/>
      <c r="C1973" s="494"/>
      <c r="D1973" s="494"/>
      <c r="E1973" s="494"/>
      <c r="F1973" s="494"/>
      <c r="G1973" s="494"/>
      <c r="H1973" s="494"/>
      <c r="I1973" s="373"/>
    </row>
    <row r="1974">
      <c r="A1974" s="493"/>
      <c r="B1974" s="494"/>
      <c r="C1974" s="494"/>
      <c r="D1974" s="494"/>
      <c r="E1974" s="494"/>
      <c r="F1974" s="494"/>
      <c r="G1974" s="494"/>
      <c r="H1974" s="494"/>
      <c r="I1974" s="373"/>
    </row>
    <row r="1975">
      <c r="A1975" s="493"/>
      <c r="B1975" s="494"/>
      <c r="C1975" s="494"/>
      <c r="D1975" s="494"/>
      <c r="E1975" s="494"/>
      <c r="F1975" s="494"/>
      <c r="G1975" s="494"/>
      <c r="H1975" s="494"/>
      <c r="I1975" s="373"/>
    </row>
    <row r="1976">
      <c r="A1976" s="493"/>
      <c r="B1976" s="494"/>
      <c r="C1976" s="494"/>
      <c r="D1976" s="494"/>
      <c r="E1976" s="494"/>
      <c r="F1976" s="494"/>
      <c r="G1976" s="494"/>
      <c r="H1976" s="494"/>
      <c r="I1976" s="373"/>
    </row>
    <row r="1977">
      <c r="A1977" s="493"/>
      <c r="B1977" s="494"/>
      <c r="C1977" s="494"/>
      <c r="D1977" s="494"/>
      <c r="E1977" s="494"/>
      <c r="F1977" s="494"/>
      <c r="G1977" s="494"/>
      <c r="H1977" s="494"/>
      <c r="I1977" s="373"/>
    </row>
    <row r="1978">
      <c r="A1978" s="493"/>
      <c r="B1978" s="494"/>
      <c r="C1978" s="494"/>
      <c r="D1978" s="494"/>
      <c r="E1978" s="494"/>
      <c r="F1978" s="494"/>
      <c r="G1978" s="494"/>
      <c r="H1978" s="494"/>
      <c r="I1978" s="373"/>
    </row>
    <row r="1979">
      <c r="A1979" s="493"/>
      <c r="B1979" s="494"/>
      <c r="C1979" s="494"/>
      <c r="D1979" s="494"/>
      <c r="E1979" s="494"/>
      <c r="F1979" s="494"/>
      <c r="G1979" s="494"/>
      <c r="H1979" s="494"/>
      <c r="I1979" s="373"/>
    </row>
    <row r="1980">
      <c r="A1980" s="493"/>
      <c r="B1980" s="494"/>
      <c r="C1980" s="494"/>
      <c r="D1980" s="494"/>
      <c r="E1980" s="494"/>
      <c r="F1980" s="494"/>
      <c r="G1980" s="494"/>
      <c r="H1980" s="494"/>
      <c r="I1980" s="373"/>
    </row>
    <row r="1981">
      <c r="A1981" s="493"/>
      <c r="B1981" s="494"/>
      <c r="C1981" s="494"/>
      <c r="D1981" s="494"/>
      <c r="E1981" s="494"/>
      <c r="F1981" s="494"/>
      <c r="G1981" s="494"/>
      <c r="H1981" s="494"/>
      <c r="I1981" s="373"/>
    </row>
    <row r="1982">
      <c r="A1982" s="493"/>
      <c r="B1982" s="494"/>
      <c r="C1982" s="494"/>
      <c r="D1982" s="494"/>
      <c r="E1982" s="494"/>
      <c r="F1982" s="494"/>
      <c r="G1982" s="494"/>
      <c r="H1982" s="494"/>
      <c r="I1982" s="373"/>
    </row>
    <row r="1983">
      <c r="A1983" s="493"/>
      <c r="B1983" s="494"/>
      <c r="C1983" s="494"/>
      <c r="D1983" s="494"/>
      <c r="E1983" s="494"/>
      <c r="F1983" s="494"/>
      <c r="G1983" s="494"/>
      <c r="H1983" s="494"/>
      <c r="I1983" s="373"/>
    </row>
    <row r="1984">
      <c r="A1984" s="493"/>
      <c r="B1984" s="494"/>
      <c r="C1984" s="494"/>
      <c r="D1984" s="494"/>
      <c r="E1984" s="494"/>
      <c r="F1984" s="494"/>
      <c r="G1984" s="494"/>
      <c r="H1984" s="494"/>
      <c r="I1984" s="373"/>
    </row>
    <row r="1985">
      <c r="A1985" s="493"/>
      <c r="B1985" s="494"/>
      <c r="C1985" s="494"/>
      <c r="D1985" s="494"/>
      <c r="E1985" s="494"/>
      <c r="F1985" s="494"/>
      <c r="G1985" s="494"/>
      <c r="H1985" s="494"/>
      <c r="I1985" s="373"/>
    </row>
    <row r="1986">
      <c r="A1986" s="493"/>
      <c r="B1986" s="494"/>
      <c r="C1986" s="494"/>
      <c r="D1986" s="494"/>
      <c r="E1986" s="494"/>
      <c r="F1986" s="494"/>
      <c r="G1986" s="494"/>
      <c r="H1986" s="494"/>
      <c r="I1986" s="373"/>
    </row>
    <row r="1987">
      <c r="A1987" s="493"/>
      <c r="B1987" s="494"/>
      <c r="C1987" s="494"/>
      <c r="D1987" s="494"/>
      <c r="E1987" s="494"/>
      <c r="F1987" s="494"/>
      <c r="G1987" s="494"/>
      <c r="H1987" s="494"/>
      <c r="I1987" s="373"/>
    </row>
    <row r="1988">
      <c r="A1988" s="493"/>
      <c r="B1988" s="494"/>
      <c r="C1988" s="494"/>
      <c r="D1988" s="494"/>
      <c r="E1988" s="494"/>
      <c r="F1988" s="494"/>
      <c r="G1988" s="494"/>
      <c r="H1988" s="494"/>
      <c r="I1988" s="373"/>
    </row>
    <row r="1989">
      <c r="A1989" s="493"/>
      <c r="B1989" s="494"/>
      <c r="C1989" s="494"/>
      <c r="D1989" s="494"/>
      <c r="E1989" s="494"/>
      <c r="F1989" s="494"/>
      <c r="G1989" s="494"/>
      <c r="H1989" s="494"/>
      <c r="I1989" s="373"/>
    </row>
    <row r="1990">
      <c r="A1990" s="493"/>
      <c r="B1990" s="494"/>
      <c r="C1990" s="494"/>
      <c r="D1990" s="494"/>
      <c r="E1990" s="494"/>
      <c r="F1990" s="494"/>
      <c r="G1990" s="494"/>
      <c r="H1990" s="494"/>
      <c r="I1990" s="373"/>
    </row>
    <row r="1991">
      <c r="A1991" s="493"/>
      <c r="B1991" s="494"/>
      <c r="C1991" s="494"/>
      <c r="D1991" s="494"/>
      <c r="E1991" s="494"/>
      <c r="F1991" s="494"/>
      <c r="G1991" s="494"/>
      <c r="H1991" s="494"/>
      <c r="I1991" s="373"/>
    </row>
    <row r="1992">
      <c r="A1992" s="493"/>
      <c r="B1992" s="494"/>
      <c r="C1992" s="494"/>
      <c r="D1992" s="494"/>
      <c r="E1992" s="494"/>
      <c r="F1992" s="494"/>
      <c r="G1992" s="494"/>
      <c r="H1992" s="494"/>
      <c r="I1992" s="373"/>
    </row>
    <row r="1993">
      <c r="A1993" s="493"/>
      <c r="B1993" s="494"/>
      <c r="C1993" s="494"/>
      <c r="D1993" s="494"/>
      <c r="E1993" s="494"/>
      <c r="F1993" s="494"/>
      <c r="G1993" s="494"/>
      <c r="H1993" s="494"/>
      <c r="I1993" s="373"/>
    </row>
    <row r="1994">
      <c r="A1994" s="493"/>
      <c r="B1994" s="494"/>
      <c r="C1994" s="494"/>
      <c r="D1994" s="494"/>
      <c r="E1994" s="494"/>
      <c r="F1994" s="494"/>
      <c r="G1994" s="494"/>
      <c r="H1994" s="494"/>
      <c r="I1994" s="373"/>
    </row>
    <row r="1995">
      <c r="A1995" s="493"/>
      <c r="B1995" s="494"/>
      <c r="C1995" s="494"/>
      <c r="D1995" s="494"/>
      <c r="E1995" s="494"/>
      <c r="F1995" s="494"/>
      <c r="G1995" s="494"/>
      <c r="H1995" s="494"/>
      <c r="I1995" s="373"/>
    </row>
    <row r="1996">
      <c r="A1996" s="493"/>
      <c r="B1996" s="494"/>
      <c r="C1996" s="494"/>
      <c r="D1996" s="494"/>
      <c r="E1996" s="494"/>
      <c r="F1996" s="494"/>
      <c r="G1996" s="494"/>
      <c r="H1996" s="494"/>
      <c r="I1996" s="373"/>
    </row>
    <row r="1997">
      <c r="A1997" s="493"/>
      <c r="B1997" s="494"/>
      <c r="C1997" s="494"/>
      <c r="D1997" s="494"/>
      <c r="E1997" s="494"/>
      <c r="F1997" s="494"/>
      <c r="G1997" s="494"/>
      <c r="H1997" s="494"/>
      <c r="I1997" s="373"/>
    </row>
    <row r="1998">
      <c r="A1998" s="493"/>
      <c r="B1998" s="494"/>
      <c r="C1998" s="494"/>
      <c r="D1998" s="494"/>
      <c r="E1998" s="494"/>
      <c r="F1998" s="494"/>
      <c r="G1998" s="494"/>
      <c r="H1998" s="494"/>
      <c r="I1998" s="373"/>
    </row>
    <row r="1999">
      <c r="A1999" s="493"/>
      <c r="B1999" s="494"/>
      <c r="C1999" s="494"/>
      <c r="D1999" s="494"/>
      <c r="E1999" s="494"/>
      <c r="F1999" s="494"/>
      <c r="G1999" s="494"/>
      <c r="H1999" s="494"/>
      <c r="I1999" s="373"/>
    </row>
    <row r="2000">
      <c r="A2000" s="493"/>
      <c r="B2000" s="494"/>
      <c r="C2000" s="494"/>
      <c r="D2000" s="494"/>
      <c r="E2000" s="494"/>
      <c r="F2000" s="494"/>
      <c r="G2000" s="494"/>
      <c r="H2000" s="494"/>
      <c r="I2000" s="373"/>
    </row>
    <row r="2001">
      <c r="A2001" s="493"/>
      <c r="B2001" s="494"/>
      <c r="C2001" s="494"/>
      <c r="D2001" s="494"/>
      <c r="E2001" s="494"/>
      <c r="F2001" s="494"/>
      <c r="G2001" s="494"/>
      <c r="H2001" s="494"/>
      <c r="I2001" s="373"/>
    </row>
    <row r="2002">
      <c r="A2002" s="493"/>
      <c r="B2002" s="494"/>
      <c r="C2002" s="494"/>
      <c r="D2002" s="494"/>
      <c r="E2002" s="494"/>
      <c r="F2002" s="494"/>
      <c r="G2002" s="494"/>
      <c r="H2002" s="494"/>
      <c r="I2002" s="373"/>
    </row>
    <row r="2003">
      <c r="A2003" s="493"/>
      <c r="B2003" s="494"/>
      <c r="C2003" s="494"/>
      <c r="D2003" s="494"/>
      <c r="E2003" s="494"/>
      <c r="F2003" s="494"/>
      <c r="G2003" s="494"/>
      <c r="H2003" s="494"/>
      <c r="I2003" s="373"/>
    </row>
    <row r="2004">
      <c r="A2004" s="493"/>
      <c r="B2004" s="494"/>
      <c r="C2004" s="494"/>
      <c r="D2004" s="494"/>
      <c r="E2004" s="494"/>
      <c r="F2004" s="494"/>
      <c r="G2004" s="494"/>
      <c r="H2004" s="494"/>
      <c r="I2004" s="373"/>
    </row>
    <row r="2005">
      <c r="A2005" s="493"/>
      <c r="B2005" s="494"/>
      <c r="C2005" s="494"/>
      <c r="D2005" s="494"/>
      <c r="E2005" s="494"/>
      <c r="F2005" s="494"/>
      <c r="G2005" s="494"/>
      <c r="H2005" s="494"/>
      <c r="I2005" s="373"/>
    </row>
    <row r="2006">
      <c r="A2006" s="493"/>
      <c r="B2006" s="494"/>
      <c r="C2006" s="494"/>
      <c r="D2006" s="494"/>
      <c r="E2006" s="494"/>
      <c r="F2006" s="494"/>
      <c r="G2006" s="494"/>
      <c r="H2006" s="494"/>
      <c r="I2006" s="373"/>
    </row>
    <row r="2007">
      <c r="A2007" s="493"/>
      <c r="B2007" s="494"/>
      <c r="C2007" s="494"/>
      <c r="D2007" s="494"/>
      <c r="E2007" s="494"/>
      <c r="F2007" s="494"/>
      <c r="G2007" s="494"/>
      <c r="H2007" s="494"/>
      <c r="I2007" s="373"/>
    </row>
    <row r="2008">
      <c r="A2008" s="493"/>
      <c r="B2008" s="494"/>
      <c r="C2008" s="494"/>
      <c r="D2008" s="494"/>
      <c r="E2008" s="494"/>
      <c r="F2008" s="494"/>
      <c r="G2008" s="494"/>
      <c r="H2008" s="494"/>
      <c r="I2008" s="373"/>
    </row>
    <row r="2009">
      <c r="A2009" s="493"/>
      <c r="B2009" s="494"/>
      <c r="C2009" s="494"/>
      <c r="D2009" s="494"/>
      <c r="E2009" s="494"/>
      <c r="F2009" s="494"/>
      <c r="G2009" s="494"/>
      <c r="H2009" s="494"/>
      <c r="I2009" s="373"/>
    </row>
    <row r="2010">
      <c r="A2010" s="493"/>
      <c r="B2010" s="494"/>
      <c r="C2010" s="494"/>
      <c r="D2010" s="494"/>
      <c r="E2010" s="494"/>
      <c r="F2010" s="494"/>
      <c r="G2010" s="494"/>
      <c r="H2010" s="494"/>
      <c r="I2010" s="373"/>
    </row>
    <row r="2011">
      <c r="A2011" s="493"/>
      <c r="B2011" s="494"/>
      <c r="C2011" s="494"/>
      <c r="D2011" s="494"/>
      <c r="E2011" s="494"/>
      <c r="F2011" s="494"/>
      <c r="G2011" s="494"/>
      <c r="H2011" s="494"/>
      <c r="I2011" s="373"/>
    </row>
    <row r="2012">
      <c r="A2012" s="493"/>
      <c r="B2012" s="494"/>
      <c r="C2012" s="494"/>
      <c r="D2012" s="494"/>
      <c r="E2012" s="494"/>
      <c r="F2012" s="494"/>
      <c r="G2012" s="494"/>
      <c r="H2012" s="494"/>
      <c r="I2012" s="373"/>
    </row>
    <row r="2013">
      <c r="A2013" s="493"/>
      <c r="B2013" s="494"/>
      <c r="C2013" s="494"/>
      <c r="D2013" s="494"/>
      <c r="E2013" s="494"/>
      <c r="F2013" s="494"/>
      <c r="G2013" s="494"/>
      <c r="H2013" s="494"/>
      <c r="I2013" s="373"/>
    </row>
    <row r="2014">
      <c r="A2014" s="493"/>
      <c r="B2014" s="494"/>
      <c r="C2014" s="494"/>
      <c r="D2014" s="494"/>
      <c r="E2014" s="494"/>
      <c r="F2014" s="494"/>
      <c r="G2014" s="494"/>
      <c r="H2014" s="494"/>
      <c r="I2014" s="373"/>
    </row>
    <row r="2015">
      <c r="A2015" s="493"/>
      <c r="B2015" s="494"/>
      <c r="C2015" s="494"/>
      <c r="D2015" s="494"/>
      <c r="E2015" s="494"/>
      <c r="F2015" s="494"/>
      <c r="G2015" s="494"/>
      <c r="H2015" s="494"/>
      <c r="I2015" s="373"/>
    </row>
    <row r="2016">
      <c r="A2016" s="493"/>
      <c r="B2016" s="494"/>
      <c r="C2016" s="494"/>
      <c r="D2016" s="494"/>
      <c r="E2016" s="494"/>
      <c r="F2016" s="494"/>
      <c r="G2016" s="494"/>
      <c r="H2016" s="494"/>
      <c r="I2016" s="373"/>
    </row>
    <row r="2017">
      <c r="A2017" s="493"/>
      <c r="B2017" s="494"/>
      <c r="C2017" s="494"/>
      <c r="D2017" s="494"/>
      <c r="E2017" s="494"/>
      <c r="F2017" s="494"/>
      <c r="G2017" s="494"/>
      <c r="H2017" s="494"/>
      <c r="I2017" s="373"/>
    </row>
    <row r="2018">
      <c r="A2018" s="493"/>
      <c r="B2018" s="494"/>
      <c r="C2018" s="494"/>
      <c r="D2018" s="494"/>
      <c r="E2018" s="494"/>
      <c r="F2018" s="494"/>
      <c r="G2018" s="494"/>
      <c r="H2018" s="494"/>
      <c r="I2018" s="373"/>
    </row>
    <row r="2019">
      <c r="A2019" s="493"/>
      <c r="B2019" s="494"/>
      <c r="C2019" s="494"/>
      <c r="D2019" s="494"/>
      <c r="E2019" s="494"/>
      <c r="F2019" s="494"/>
      <c r="G2019" s="494"/>
      <c r="H2019" s="494"/>
      <c r="I2019" s="373"/>
    </row>
    <row r="2020">
      <c r="A2020" s="493"/>
      <c r="B2020" s="494"/>
      <c r="C2020" s="494"/>
      <c r="D2020" s="494"/>
      <c r="E2020" s="494"/>
      <c r="F2020" s="494"/>
      <c r="G2020" s="494"/>
      <c r="H2020" s="494"/>
      <c r="I2020" s="373"/>
    </row>
    <row r="2021">
      <c r="A2021" s="493"/>
      <c r="B2021" s="494"/>
      <c r="C2021" s="494"/>
      <c r="D2021" s="494"/>
      <c r="E2021" s="494"/>
      <c r="F2021" s="494"/>
      <c r="G2021" s="494"/>
      <c r="H2021" s="494"/>
      <c r="I2021" s="373"/>
    </row>
    <row r="2022">
      <c r="A2022" s="493"/>
      <c r="B2022" s="494"/>
      <c r="C2022" s="494"/>
      <c r="D2022" s="494"/>
      <c r="E2022" s="494"/>
      <c r="F2022" s="494"/>
      <c r="G2022" s="494"/>
      <c r="H2022" s="494"/>
      <c r="I2022" s="373"/>
    </row>
    <row r="2023">
      <c r="A2023" s="493"/>
      <c r="B2023" s="494"/>
      <c r="C2023" s="494"/>
      <c r="D2023" s="494"/>
      <c r="E2023" s="494"/>
      <c r="F2023" s="494"/>
      <c r="G2023" s="494"/>
      <c r="H2023" s="494"/>
      <c r="I2023" s="373"/>
    </row>
    <row r="2024">
      <c r="A2024" s="493"/>
      <c r="B2024" s="494"/>
      <c r="C2024" s="494"/>
      <c r="D2024" s="494"/>
      <c r="E2024" s="494"/>
      <c r="F2024" s="494"/>
      <c r="G2024" s="494"/>
      <c r="H2024" s="494"/>
      <c r="I2024" s="373"/>
    </row>
    <row r="2025">
      <c r="A2025" s="493"/>
      <c r="B2025" s="494"/>
      <c r="C2025" s="494"/>
      <c r="D2025" s="494"/>
      <c r="E2025" s="494"/>
      <c r="F2025" s="494"/>
      <c r="G2025" s="494"/>
      <c r="H2025" s="494"/>
      <c r="I2025" s="373"/>
    </row>
    <row r="2026">
      <c r="A2026" s="493"/>
      <c r="B2026" s="494"/>
      <c r="C2026" s="494"/>
      <c r="D2026" s="494"/>
      <c r="E2026" s="494"/>
      <c r="F2026" s="494"/>
      <c r="G2026" s="494"/>
      <c r="H2026" s="494"/>
      <c r="I2026" s="373"/>
    </row>
    <row r="2027">
      <c r="A2027" s="493"/>
      <c r="B2027" s="494"/>
      <c r="C2027" s="494"/>
      <c r="D2027" s="494"/>
      <c r="E2027" s="494"/>
      <c r="F2027" s="494"/>
      <c r="G2027" s="494"/>
      <c r="H2027" s="494"/>
      <c r="I2027" s="373"/>
    </row>
    <row r="2028">
      <c r="A2028" s="493"/>
      <c r="B2028" s="494"/>
      <c r="C2028" s="494"/>
      <c r="D2028" s="494"/>
      <c r="E2028" s="494"/>
      <c r="F2028" s="494"/>
      <c r="G2028" s="494"/>
      <c r="H2028" s="494"/>
      <c r="I2028" s="373"/>
    </row>
    <row r="2029">
      <c r="A2029" s="493"/>
      <c r="B2029" s="494"/>
      <c r="C2029" s="494"/>
      <c r="D2029" s="494"/>
      <c r="E2029" s="494"/>
      <c r="F2029" s="494"/>
      <c r="G2029" s="494"/>
      <c r="H2029" s="494"/>
      <c r="I2029" s="373"/>
    </row>
    <row r="2030">
      <c r="A2030" s="493"/>
      <c r="B2030" s="494"/>
      <c r="C2030" s="494"/>
      <c r="D2030" s="494"/>
      <c r="E2030" s="494"/>
      <c r="F2030" s="494"/>
      <c r="G2030" s="494"/>
      <c r="H2030" s="494"/>
      <c r="I2030" s="373"/>
    </row>
    <row r="2031">
      <c r="A2031" s="493"/>
      <c r="B2031" s="494"/>
      <c r="C2031" s="494"/>
      <c r="D2031" s="494"/>
      <c r="E2031" s="494"/>
      <c r="F2031" s="494"/>
      <c r="G2031" s="494"/>
      <c r="H2031" s="494"/>
      <c r="I2031" s="373"/>
    </row>
    <row r="2032">
      <c r="A2032" s="493"/>
      <c r="B2032" s="494"/>
      <c r="C2032" s="494"/>
      <c r="D2032" s="494"/>
      <c r="E2032" s="494"/>
      <c r="F2032" s="494"/>
      <c r="G2032" s="494"/>
      <c r="H2032" s="494"/>
      <c r="I2032" s="373"/>
    </row>
    <row r="2033">
      <c r="A2033" s="493"/>
      <c r="B2033" s="494"/>
      <c r="C2033" s="494"/>
      <c r="D2033" s="494"/>
      <c r="E2033" s="494"/>
      <c r="F2033" s="494"/>
      <c r="G2033" s="494"/>
      <c r="H2033" s="494"/>
      <c r="I2033" s="373"/>
    </row>
    <row r="2034">
      <c r="A2034" s="493"/>
      <c r="B2034" s="494"/>
      <c r="C2034" s="494"/>
      <c r="D2034" s="494"/>
      <c r="E2034" s="494"/>
      <c r="F2034" s="494"/>
      <c r="G2034" s="494"/>
      <c r="H2034" s="494"/>
      <c r="I2034" s="373"/>
    </row>
    <row r="2035">
      <c r="A2035" s="493"/>
      <c r="B2035" s="494"/>
      <c r="C2035" s="494"/>
      <c r="D2035" s="494"/>
      <c r="E2035" s="494"/>
      <c r="F2035" s="494"/>
      <c r="G2035" s="494"/>
      <c r="H2035" s="494"/>
      <c r="I2035" s="373"/>
    </row>
    <row r="2036">
      <c r="A2036" s="493"/>
      <c r="B2036" s="494"/>
      <c r="C2036" s="494"/>
      <c r="D2036" s="494"/>
      <c r="E2036" s="494"/>
      <c r="F2036" s="494"/>
      <c r="G2036" s="494"/>
      <c r="H2036" s="494"/>
      <c r="I2036" s="373"/>
    </row>
    <row r="2037">
      <c r="A2037" s="493"/>
      <c r="B2037" s="494"/>
      <c r="C2037" s="494"/>
      <c r="D2037" s="494"/>
      <c r="E2037" s="494"/>
      <c r="F2037" s="494"/>
      <c r="G2037" s="494"/>
      <c r="H2037" s="494"/>
      <c r="I2037" s="373"/>
    </row>
    <row r="2038">
      <c r="A2038" s="493"/>
      <c r="B2038" s="494"/>
      <c r="C2038" s="494"/>
      <c r="D2038" s="494"/>
      <c r="E2038" s="494"/>
      <c r="F2038" s="494"/>
      <c r="G2038" s="494"/>
      <c r="H2038" s="494"/>
      <c r="I2038" s="373"/>
    </row>
    <row r="2039">
      <c r="A2039" s="493"/>
      <c r="B2039" s="494"/>
      <c r="C2039" s="494"/>
      <c r="D2039" s="494"/>
      <c r="E2039" s="494"/>
      <c r="F2039" s="494"/>
      <c r="G2039" s="494"/>
      <c r="H2039" s="494"/>
      <c r="I2039" s="373"/>
    </row>
    <row r="2040">
      <c r="A2040" s="493"/>
      <c r="B2040" s="494"/>
      <c r="C2040" s="494"/>
      <c r="D2040" s="494"/>
      <c r="E2040" s="494"/>
      <c r="F2040" s="494"/>
      <c r="G2040" s="494"/>
      <c r="H2040" s="494"/>
      <c r="I2040" s="373"/>
    </row>
    <row r="2041">
      <c r="A2041" s="493"/>
      <c r="B2041" s="494"/>
      <c r="C2041" s="494"/>
      <c r="D2041" s="494"/>
      <c r="E2041" s="494"/>
      <c r="F2041" s="494"/>
      <c r="G2041" s="494"/>
      <c r="H2041" s="494"/>
      <c r="I2041" s="373"/>
    </row>
    <row r="2042">
      <c r="A2042" s="493"/>
      <c r="B2042" s="494"/>
      <c r="C2042" s="494"/>
      <c r="D2042" s="494"/>
      <c r="E2042" s="494"/>
      <c r="F2042" s="494"/>
      <c r="G2042" s="494"/>
      <c r="H2042" s="494"/>
      <c r="I2042" s="373"/>
    </row>
    <row r="2043">
      <c r="A2043" s="493"/>
      <c r="B2043" s="494"/>
      <c r="C2043" s="494"/>
      <c r="D2043" s="494"/>
      <c r="E2043" s="494"/>
      <c r="F2043" s="494"/>
      <c r="G2043" s="494"/>
      <c r="H2043" s="494"/>
      <c r="I2043" s="373"/>
    </row>
    <row r="2044">
      <c r="A2044" s="493"/>
      <c r="B2044" s="494"/>
      <c r="C2044" s="494"/>
      <c r="D2044" s="494"/>
      <c r="E2044" s="494"/>
      <c r="F2044" s="494"/>
      <c r="G2044" s="494"/>
      <c r="H2044" s="494"/>
      <c r="I2044" s="373"/>
    </row>
    <row r="2045">
      <c r="A2045" s="493"/>
      <c r="B2045" s="494"/>
      <c r="C2045" s="494"/>
      <c r="D2045" s="494"/>
      <c r="E2045" s="494"/>
      <c r="F2045" s="494"/>
      <c r="G2045" s="494"/>
      <c r="H2045" s="494"/>
      <c r="I2045" s="373"/>
    </row>
    <row r="2046">
      <c r="A2046" s="493"/>
      <c r="B2046" s="494"/>
      <c r="C2046" s="494"/>
      <c r="D2046" s="494"/>
      <c r="E2046" s="494"/>
      <c r="F2046" s="494"/>
      <c r="G2046" s="494"/>
      <c r="H2046" s="494"/>
      <c r="I2046" s="373"/>
    </row>
    <row r="2047">
      <c r="A2047" s="493"/>
      <c r="B2047" s="494"/>
      <c r="C2047" s="494"/>
      <c r="D2047" s="494"/>
      <c r="E2047" s="494"/>
      <c r="F2047" s="494"/>
      <c r="G2047" s="494"/>
      <c r="H2047" s="494"/>
      <c r="I2047" s="373"/>
    </row>
    <row r="2048">
      <c r="A2048" s="493"/>
      <c r="B2048" s="494"/>
      <c r="C2048" s="494"/>
      <c r="D2048" s="494"/>
      <c r="E2048" s="494"/>
      <c r="F2048" s="494"/>
      <c r="G2048" s="494"/>
      <c r="H2048" s="494"/>
      <c r="I2048" s="373"/>
    </row>
    <row r="2049">
      <c r="A2049" s="493"/>
      <c r="B2049" s="494"/>
      <c r="C2049" s="494"/>
      <c r="D2049" s="494"/>
      <c r="E2049" s="494"/>
      <c r="F2049" s="494"/>
      <c r="G2049" s="494"/>
      <c r="H2049" s="494"/>
      <c r="I2049" s="373"/>
    </row>
    <row r="2050">
      <c r="A2050" s="493"/>
      <c r="B2050" s="494"/>
      <c r="C2050" s="494"/>
      <c r="D2050" s="494"/>
      <c r="E2050" s="494"/>
      <c r="F2050" s="494"/>
      <c r="G2050" s="494"/>
      <c r="H2050" s="494"/>
      <c r="I2050" s="373"/>
    </row>
    <row r="2051">
      <c r="A2051" s="493"/>
      <c r="B2051" s="494"/>
      <c r="C2051" s="494"/>
      <c r="D2051" s="494"/>
      <c r="E2051" s="494"/>
      <c r="F2051" s="494"/>
      <c r="G2051" s="494"/>
      <c r="H2051" s="494"/>
      <c r="I2051" s="373"/>
    </row>
    <row r="2052">
      <c r="A2052" s="493"/>
      <c r="B2052" s="494"/>
      <c r="C2052" s="494"/>
      <c r="D2052" s="494"/>
      <c r="E2052" s="494"/>
      <c r="F2052" s="494"/>
      <c r="G2052" s="494"/>
      <c r="H2052" s="494"/>
      <c r="I2052" s="373"/>
    </row>
    <row r="2053">
      <c r="A2053" s="493"/>
      <c r="B2053" s="494"/>
      <c r="C2053" s="494"/>
      <c r="D2053" s="494"/>
      <c r="E2053" s="494"/>
      <c r="F2053" s="494"/>
      <c r="G2053" s="494"/>
      <c r="H2053" s="494"/>
      <c r="I2053" s="373"/>
    </row>
    <row r="2054">
      <c r="A2054" s="493"/>
      <c r="B2054" s="494"/>
      <c r="C2054" s="494"/>
      <c r="D2054" s="494"/>
      <c r="E2054" s="494"/>
      <c r="F2054" s="494"/>
      <c r="G2054" s="494"/>
      <c r="H2054" s="494"/>
      <c r="I2054" s="373"/>
    </row>
  </sheetData>
  <mergeCells count="304">
    <mergeCell ref="B183:I183"/>
    <mergeCell ref="B185:I185"/>
    <mergeCell ref="B186:I186"/>
    <mergeCell ref="B190:I190"/>
    <mergeCell ref="B194:I194"/>
    <mergeCell ref="B203:I203"/>
    <mergeCell ref="B207:I207"/>
    <mergeCell ref="B209:I209"/>
    <mergeCell ref="B219:I219"/>
    <mergeCell ref="B221:I221"/>
    <mergeCell ref="B222:I222"/>
    <mergeCell ref="B226:I226"/>
    <mergeCell ref="B230:I230"/>
    <mergeCell ref="B239:I239"/>
    <mergeCell ref="B1:H1"/>
    <mergeCell ref="B3:G3"/>
    <mergeCell ref="B4:G4"/>
    <mergeCell ref="B8:G8"/>
    <mergeCell ref="B12:G12"/>
    <mergeCell ref="B21:G21"/>
    <mergeCell ref="B25:G25"/>
    <mergeCell ref="B27:G27"/>
    <mergeCell ref="B37:I37"/>
    <mergeCell ref="B38:H38"/>
    <mergeCell ref="B40:H40"/>
    <mergeCell ref="B41:H41"/>
    <mergeCell ref="B45:G45"/>
    <mergeCell ref="B49:G49"/>
    <mergeCell ref="B58:G58"/>
    <mergeCell ref="B62:G62"/>
    <mergeCell ref="B64:G64"/>
    <mergeCell ref="B74:H74"/>
    <mergeCell ref="B76:H76"/>
    <mergeCell ref="B77:H77"/>
    <mergeCell ref="B81:H81"/>
    <mergeCell ref="B85:H85"/>
    <mergeCell ref="B94:H94"/>
    <mergeCell ref="B98:H98"/>
    <mergeCell ref="B100:H100"/>
    <mergeCell ref="B110:H110"/>
    <mergeCell ref="B112:H112"/>
    <mergeCell ref="B113:H113"/>
    <mergeCell ref="B117:H117"/>
    <mergeCell ref="B121:H121"/>
    <mergeCell ref="B130:H130"/>
    <mergeCell ref="B134:H134"/>
    <mergeCell ref="B136:H136"/>
    <mergeCell ref="B146:H146"/>
    <mergeCell ref="B148:H148"/>
    <mergeCell ref="B149:H149"/>
    <mergeCell ref="B153:H153"/>
    <mergeCell ref="B157:H157"/>
    <mergeCell ref="B166:H166"/>
    <mergeCell ref="B170:H170"/>
    <mergeCell ref="B172:H172"/>
    <mergeCell ref="B182:I182"/>
    <mergeCell ref="B243:I243"/>
    <mergeCell ref="B245:I245"/>
    <mergeCell ref="B255:I255"/>
    <mergeCell ref="B257:I257"/>
    <mergeCell ref="B258:I258"/>
    <mergeCell ref="B262:I262"/>
    <mergeCell ref="B266:I266"/>
    <mergeCell ref="B275:I275"/>
    <mergeCell ref="B279:I279"/>
    <mergeCell ref="B281:I281"/>
    <mergeCell ref="B291:I291"/>
    <mergeCell ref="B293:I293"/>
    <mergeCell ref="B294:I294"/>
    <mergeCell ref="B298:I298"/>
    <mergeCell ref="B302:I302"/>
    <mergeCell ref="B311:I311"/>
    <mergeCell ref="B315:I315"/>
    <mergeCell ref="B317:I317"/>
    <mergeCell ref="B327:I327"/>
    <mergeCell ref="B329:I329"/>
    <mergeCell ref="B330:I330"/>
    <mergeCell ref="B334:I334"/>
    <mergeCell ref="B338:I338"/>
    <mergeCell ref="B347:I347"/>
    <mergeCell ref="B351:I351"/>
    <mergeCell ref="B353:I353"/>
    <mergeCell ref="B363:I363"/>
    <mergeCell ref="B364:I364"/>
    <mergeCell ref="B366:I366"/>
    <mergeCell ref="B367:I367"/>
    <mergeCell ref="B371:I371"/>
    <mergeCell ref="B375:I375"/>
    <mergeCell ref="B384:I384"/>
    <mergeCell ref="B388:I388"/>
    <mergeCell ref="B390:I390"/>
    <mergeCell ref="B400:I400"/>
    <mergeCell ref="B402:I402"/>
    <mergeCell ref="B403:I403"/>
    <mergeCell ref="B407:I407"/>
    <mergeCell ref="B411:I411"/>
    <mergeCell ref="B420:I420"/>
    <mergeCell ref="B424:I424"/>
    <mergeCell ref="B426:I426"/>
    <mergeCell ref="B436:I436"/>
    <mergeCell ref="B438:I438"/>
    <mergeCell ref="B439:I439"/>
    <mergeCell ref="B443:I443"/>
    <mergeCell ref="B447:I447"/>
    <mergeCell ref="B456:I456"/>
    <mergeCell ref="B460:I460"/>
    <mergeCell ref="B462:I462"/>
    <mergeCell ref="B472:I472"/>
    <mergeCell ref="B474:I474"/>
    <mergeCell ref="B475:I475"/>
    <mergeCell ref="B479:I479"/>
    <mergeCell ref="B483:I483"/>
    <mergeCell ref="B492:I492"/>
    <mergeCell ref="B496:I496"/>
    <mergeCell ref="B498:I498"/>
    <mergeCell ref="B508:I508"/>
    <mergeCell ref="B509:I509"/>
    <mergeCell ref="B511:I511"/>
    <mergeCell ref="B512:I512"/>
    <mergeCell ref="B516:I516"/>
    <mergeCell ref="B520:I520"/>
    <mergeCell ref="B529:I529"/>
    <mergeCell ref="B533:I533"/>
    <mergeCell ref="B535:I535"/>
    <mergeCell ref="B545:I545"/>
    <mergeCell ref="B547:I547"/>
    <mergeCell ref="B548:I548"/>
    <mergeCell ref="B552:I552"/>
    <mergeCell ref="B556:I556"/>
    <mergeCell ref="B565:I565"/>
    <mergeCell ref="B569:I569"/>
    <mergeCell ref="B571:I571"/>
    <mergeCell ref="B581:I581"/>
    <mergeCell ref="B583:I583"/>
    <mergeCell ref="B584:I584"/>
    <mergeCell ref="B588:I588"/>
    <mergeCell ref="B592:I592"/>
    <mergeCell ref="B601:I601"/>
    <mergeCell ref="B605:I605"/>
    <mergeCell ref="B607:I607"/>
    <mergeCell ref="B617:I617"/>
    <mergeCell ref="B619:I619"/>
    <mergeCell ref="B620:I620"/>
    <mergeCell ref="B624:I624"/>
    <mergeCell ref="B628:I628"/>
    <mergeCell ref="B637:I637"/>
    <mergeCell ref="B641:I641"/>
    <mergeCell ref="B643:I643"/>
    <mergeCell ref="B653:I653"/>
    <mergeCell ref="B654:I654"/>
    <mergeCell ref="B656:I656"/>
    <mergeCell ref="B657:I657"/>
    <mergeCell ref="B661:I661"/>
    <mergeCell ref="B665:I665"/>
    <mergeCell ref="B674:I674"/>
    <mergeCell ref="B678:I678"/>
    <mergeCell ref="B680:I680"/>
    <mergeCell ref="B690:I690"/>
    <mergeCell ref="B692:I692"/>
    <mergeCell ref="B693:I693"/>
    <mergeCell ref="B697:I697"/>
    <mergeCell ref="B701:I701"/>
    <mergeCell ref="B710:I710"/>
    <mergeCell ref="B714:I714"/>
    <mergeCell ref="B716:I716"/>
    <mergeCell ref="B726:I726"/>
    <mergeCell ref="B728:I728"/>
    <mergeCell ref="B729:I729"/>
    <mergeCell ref="B733:I733"/>
    <mergeCell ref="B737:I737"/>
    <mergeCell ref="B746:I746"/>
    <mergeCell ref="B750:I750"/>
    <mergeCell ref="B752:I752"/>
    <mergeCell ref="B762:I762"/>
    <mergeCell ref="B764:I764"/>
    <mergeCell ref="B765:I765"/>
    <mergeCell ref="B769:I769"/>
    <mergeCell ref="B773:I773"/>
    <mergeCell ref="B782:I782"/>
    <mergeCell ref="B786:I786"/>
    <mergeCell ref="B788:I788"/>
    <mergeCell ref="B798:I798"/>
    <mergeCell ref="B800:I800"/>
    <mergeCell ref="B801:I801"/>
    <mergeCell ref="B805:I805"/>
    <mergeCell ref="B809:I809"/>
    <mergeCell ref="B818:I818"/>
    <mergeCell ref="B822:I822"/>
    <mergeCell ref="B824:I824"/>
    <mergeCell ref="B834:I834"/>
    <mergeCell ref="B835:I835"/>
    <mergeCell ref="B837:I837"/>
    <mergeCell ref="B838:I838"/>
    <mergeCell ref="B842:I842"/>
    <mergeCell ref="B846:I846"/>
    <mergeCell ref="B855:I855"/>
    <mergeCell ref="B859:I859"/>
    <mergeCell ref="B861:I861"/>
    <mergeCell ref="B871:I871"/>
    <mergeCell ref="B873:I873"/>
    <mergeCell ref="B874:I874"/>
    <mergeCell ref="B878:I878"/>
    <mergeCell ref="B882:I882"/>
    <mergeCell ref="B891:I891"/>
    <mergeCell ref="B895:I895"/>
    <mergeCell ref="B897:I897"/>
    <mergeCell ref="B907:I907"/>
    <mergeCell ref="B909:I909"/>
    <mergeCell ref="B910:I910"/>
    <mergeCell ref="B914:I914"/>
    <mergeCell ref="B1135:I1135"/>
    <mergeCell ref="B1144:I1144"/>
    <mergeCell ref="B1148:I1148"/>
    <mergeCell ref="B1150:I1150"/>
    <mergeCell ref="B1160:I1160"/>
    <mergeCell ref="B1161:I1161"/>
    <mergeCell ref="B1163:I1163"/>
    <mergeCell ref="B1164:I1164"/>
    <mergeCell ref="B1168:I1168"/>
    <mergeCell ref="B1172:I1172"/>
    <mergeCell ref="B1181:I1181"/>
    <mergeCell ref="B1185:I1185"/>
    <mergeCell ref="B1187:I1187"/>
    <mergeCell ref="B1197:I1197"/>
    <mergeCell ref="B1199:I1199"/>
    <mergeCell ref="B1200:I1200"/>
    <mergeCell ref="B1204:I1204"/>
    <mergeCell ref="B1208:I1208"/>
    <mergeCell ref="B1217:I1217"/>
    <mergeCell ref="B1221:I1221"/>
    <mergeCell ref="B1223:I1223"/>
    <mergeCell ref="B1233:I1233"/>
    <mergeCell ref="B1235:I1235"/>
    <mergeCell ref="B1236:I1236"/>
    <mergeCell ref="B1240:I1240"/>
    <mergeCell ref="B1244:I1244"/>
    <mergeCell ref="B1253:I1253"/>
    <mergeCell ref="B1257:I1257"/>
    <mergeCell ref="B1259:I1259"/>
    <mergeCell ref="B1269:I1269"/>
    <mergeCell ref="B1271:I1271"/>
    <mergeCell ref="B1272:I1272"/>
    <mergeCell ref="B1276:I1276"/>
    <mergeCell ref="B1280:I1280"/>
    <mergeCell ref="B1289:I1289"/>
    <mergeCell ref="B1325:I1325"/>
    <mergeCell ref="B1329:I1329"/>
    <mergeCell ref="B1331:I1331"/>
    <mergeCell ref="B1293:I1293"/>
    <mergeCell ref="B1295:I1295"/>
    <mergeCell ref="B1305:I1305"/>
    <mergeCell ref="B1307:I1307"/>
    <mergeCell ref="B1308:I1308"/>
    <mergeCell ref="B1312:I1312"/>
    <mergeCell ref="B1316:I1316"/>
    <mergeCell ref="B918:I918"/>
    <mergeCell ref="B927:I927"/>
    <mergeCell ref="B931:I931"/>
    <mergeCell ref="B933:I933"/>
    <mergeCell ref="B943:I943"/>
    <mergeCell ref="B945:I945"/>
    <mergeCell ref="B946:I946"/>
    <mergeCell ref="B950:I950"/>
    <mergeCell ref="B954:I954"/>
    <mergeCell ref="B963:I963"/>
    <mergeCell ref="B967:I967"/>
    <mergeCell ref="B969:I969"/>
    <mergeCell ref="B979:I979"/>
    <mergeCell ref="B980:I980"/>
    <mergeCell ref="B982:I982"/>
    <mergeCell ref="B983:I983"/>
    <mergeCell ref="B987:I987"/>
    <mergeCell ref="B991:I991"/>
    <mergeCell ref="B1000:I1000"/>
    <mergeCell ref="B1004:I1004"/>
    <mergeCell ref="B1006:I1006"/>
    <mergeCell ref="B1016:I1016"/>
    <mergeCell ref="B1018:I1018"/>
    <mergeCell ref="B1019:I1019"/>
    <mergeCell ref="B1023:I1023"/>
    <mergeCell ref="B1027:I1027"/>
    <mergeCell ref="B1036:I1036"/>
    <mergeCell ref="B1040:I1040"/>
    <mergeCell ref="B1042:I1042"/>
    <mergeCell ref="B1052:I1052"/>
    <mergeCell ref="B1054:I1054"/>
    <mergeCell ref="B1055:I1055"/>
    <mergeCell ref="B1059:I1059"/>
    <mergeCell ref="B1063:I1063"/>
    <mergeCell ref="B1072:I1072"/>
    <mergeCell ref="B1076:I1076"/>
    <mergeCell ref="B1078:I1078"/>
    <mergeCell ref="B1088:I1088"/>
    <mergeCell ref="B1090:I1090"/>
    <mergeCell ref="B1091:I1091"/>
    <mergeCell ref="B1095:I1095"/>
    <mergeCell ref="B1099:I1099"/>
    <mergeCell ref="B1108:I1108"/>
    <mergeCell ref="B1112:I1112"/>
    <mergeCell ref="B1114:I1114"/>
    <mergeCell ref="B1124:I1124"/>
    <mergeCell ref="B1126:I1126"/>
    <mergeCell ref="B1127:I1127"/>
    <mergeCell ref="B1131:I1131"/>
  </mergeCells>
  <dataValidations>
    <dataValidation type="list" allowBlank="1" showErrorMessage="1" sqref="B13:I13 B50:I50 B86:I86 B122:I122 B158:I158 B195:I195 B231:I231 B267:I267 B303:I303 B339:I339 B376:I376 B412:I412 B448:I448 B484:I484 B521:I521 B557:I557 B593:I593 B629:I629 B666:I666 B702:I702 B738:I738 B774:I774 B810:I810 B847:I847 B883:I883 B919:I919 B955:I955 B992:I992 B1028:I1028 B1064:I1064 B1100:I1100 B1136:I1136 B1173:I1173 B1209:I1209 B1245:I1245 B1281:I1281 B1317:I1317">
      <formula1>"AM,MID,GY"</formula1>
    </dataValidation>
    <dataValidation type="list" allowBlank="1" showErrorMessage="1" sqref="B14:I14 B51:I51 B87:I87 B123:I123 B159:I159 B196:I196 B232:I232 B268:I268 B304:I304 B340:I340 B377:I377 B413:I413 B449:I449 B485:I485 B522:I522 B558:I558 B594:I594 B630:I630 B667:I667 B703:I703 B739:I739 B775:I775 B811:I811 B848:I848 B884:I884 B920:I920 B956:I956 B993:I993 B1029:I1029 B1065:I1065 B1101:I1101 B1137:I1137 B1174:I1174 B1210:I1210 B1246:I1246 B1282:I1282 B1318:I1318">
      <formula1>"Oricle,Other Brands,Oricle Prio"</formula1>
    </dataValidation>
    <dataValidation type="list" allowBlank="1" showErrorMessage="1" sqref="B35:I35 B72:I72 B108:I108 B144:I144 B180:I180 B217:I217 B253:I253 B289:I289 B325:I325 B361:I361 B398:I398 B434:I434 B470:I470 B506:I506 B543:I543 B579:I579 B615:I615 B651:I651 B688:I688 B724:I724 B760:I760 B796:I796 B832:I832 B869:I869 B905:I905 B941:I941 B977:I977 B1014:I1014 B1050:I1050 B1086:I1086 B1122:I1122 B1158:I1158 B1195:I1195 B1231:I1231 B1267:I1267 B1303:I1303 B1339:I1339">
      <formula1>"Top Performer,Low Performer,Good"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41.5"/>
    <col hidden="1" min="13" max="13" width="12.63"/>
    <col customWidth="1" min="14" max="14" width="56.38"/>
  </cols>
  <sheetData>
    <row r="1" hidden="1" collapsed="1">
      <c r="A1" s="85" t="s">
        <v>87</v>
      </c>
      <c r="B1" s="86"/>
      <c r="C1" s="86"/>
      <c r="D1" s="88"/>
      <c r="E1" s="89"/>
      <c r="F1" s="89"/>
      <c r="G1" s="91"/>
      <c r="H1" s="91"/>
      <c r="I1" s="91"/>
      <c r="J1" s="91"/>
      <c r="K1" s="91"/>
      <c r="L1" s="91"/>
      <c r="M1" s="93"/>
      <c r="N1" s="95"/>
    </row>
    <row r="2" hidden="1" outlineLevel="1">
      <c r="A2" s="96" t="s">
        <v>89</v>
      </c>
      <c r="B2" s="98" t="s">
        <v>90</v>
      </c>
      <c r="C2" s="98" t="s">
        <v>91</v>
      </c>
      <c r="D2" s="101" t="s">
        <v>93</v>
      </c>
      <c r="E2" s="102" t="s">
        <v>94</v>
      </c>
      <c r="F2" s="102" t="s">
        <v>95</v>
      </c>
      <c r="G2" s="105" t="s">
        <v>96</v>
      </c>
      <c r="H2" s="107" t="s">
        <v>97</v>
      </c>
      <c r="I2" s="107" t="s">
        <v>104</v>
      </c>
      <c r="J2" s="105" t="s">
        <v>106</v>
      </c>
      <c r="K2" s="107" t="s">
        <v>109</v>
      </c>
      <c r="L2" s="105" t="s">
        <v>111</v>
      </c>
      <c r="M2" s="98" t="s">
        <v>114</v>
      </c>
      <c r="N2" s="101" t="s">
        <v>116</v>
      </c>
    </row>
    <row r="3" hidden="1" outlineLevel="1">
      <c r="A3" s="113" t="s">
        <v>117</v>
      </c>
      <c r="B3" s="115">
        <v>46209.0</v>
      </c>
      <c r="C3" s="118" t="str">
        <f t="shared" ref="C3:C17" si="1">IF(B3="", "", TEXT(B3, "ddd"))</f>
        <v>Mon</v>
      </c>
      <c r="D3" s="128">
        <f t="shared" ref="D3:D17" si="2">IF(E3="Yes",0.05,0)
+IF(F3="Yes",0.1,0)
+IF(G3="Yes",0.15,0)
+IF(H3="Yes",0.15,0)
+IF(I3="Yes",0.05,0)
+IF(J3="Yes",0.05,0)
+IF(K3="Yes",0.15,0)
+IF(L3="Yes",0.3,0)
</f>
        <v>1</v>
      </c>
      <c r="E3" s="131" t="s">
        <v>142</v>
      </c>
      <c r="F3" s="134" t="s">
        <v>142</v>
      </c>
      <c r="G3" s="134" t="s">
        <v>142</v>
      </c>
      <c r="H3" s="134" t="s">
        <v>142</v>
      </c>
      <c r="I3" s="134" t="s">
        <v>142</v>
      </c>
      <c r="J3" s="134" t="s">
        <v>142</v>
      </c>
      <c r="K3" s="134" t="s">
        <v>142</v>
      </c>
      <c r="L3" s="134" t="s">
        <v>142</v>
      </c>
      <c r="M3" s="136"/>
      <c r="N3" s="137"/>
    </row>
    <row r="4" hidden="1" outlineLevel="1">
      <c r="A4" s="113" t="s">
        <v>147</v>
      </c>
      <c r="B4" s="115">
        <v>46209.0</v>
      </c>
      <c r="C4" s="118" t="str">
        <f t="shared" si="1"/>
        <v>Mon</v>
      </c>
      <c r="D4" s="143">
        <f t="shared" si="2"/>
        <v>1</v>
      </c>
      <c r="E4" s="144" t="s">
        <v>142</v>
      </c>
      <c r="F4" s="134" t="s">
        <v>142</v>
      </c>
      <c r="G4" s="134" t="s">
        <v>142</v>
      </c>
      <c r="H4" s="134" t="s">
        <v>142</v>
      </c>
      <c r="I4" s="134" t="s">
        <v>142</v>
      </c>
      <c r="J4" s="134" t="s">
        <v>142</v>
      </c>
      <c r="K4" s="134" t="s">
        <v>142</v>
      </c>
      <c r="L4" s="134" t="s">
        <v>142</v>
      </c>
      <c r="M4" s="136"/>
      <c r="N4" s="131"/>
    </row>
    <row r="5" hidden="1" outlineLevel="1">
      <c r="A5" s="113" t="s">
        <v>151</v>
      </c>
      <c r="B5" s="115">
        <v>46209.0</v>
      </c>
      <c r="C5" s="118" t="str">
        <f t="shared" si="1"/>
        <v>Mon</v>
      </c>
      <c r="D5" s="128">
        <f t="shared" si="2"/>
        <v>1</v>
      </c>
      <c r="E5" s="131" t="s">
        <v>142</v>
      </c>
      <c r="F5" s="134" t="s">
        <v>142</v>
      </c>
      <c r="G5" s="134" t="s">
        <v>142</v>
      </c>
      <c r="H5" s="134" t="s">
        <v>142</v>
      </c>
      <c r="I5" s="134" t="s">
        <v>142</v>
      </c>
      <c r="J5" s="134" t="s">
        <v>142</v>
      </c>
      <c r="K5" s="134" t="s">
        <v>142</v>
      </c>
      <c r="L5" s="134" t="s">
        <v>142</v>
      </c>
      <c r="M5" s="136"/>
      <c r="N5" s="131"/>
    </row>
    <row r="6" hidden="1" outlineLevel="1">
      <c r="A6" s="113" t="s">
        <v>153</v>
      </c>
      <c r="B6" s="115">
        <v>46210.0</v>
      </c>
      <c r="C6" s="118" t="str">
        <f t="shared" si="1"/>
        <v>Tue</v>
      </c>
      <c r="D6" s="143">
        <f t="shared" si="2"/>
        <v>1</v>
      </c>
      <c r="E6" s="144" t="s">
        <v>142</v>
      </c>
      <c r="F6" s="134" t="s">
        <v>142</v>
      </c>
      <c r="G6" s="134" t="s">
        <v>142</v>
      </c>
      <c r="H6" s="134" t="s">
        <v>142</v>
      </c>
      <c r="I6" s="134" t="s">
        <v>142</v>
      </c>
      <c r="J6" s="134" t="s">
        <v>142</v>
      </c>
      <c r="K6" s="134" t="s">
        <v>142</v>
      </c>
      <c r="L6" s="134" t="s">
        <v>142</v>
      </c>
      <c r="M6" s="136"/>
      <c r="N6" s="137"/>
    </row>
    <row r="7" hidden="1" outlineLevel="1">
      <c r="A7" s="113" t="s">
        <v>159</v>
      </c>
      <c r="B7" s="115">
        <v>46210.0</v>
      </c>
      <c r="C7" s="118" t="str">
        <f t="shared" si="1"/>
        <v>Tue</v>
      </c>
      <c r="D7" s="128">
        <f t="shared" si="2"/>
        <v>1</v>
      </c>
      <c r="E7" s="131" t="s">
        <v>142</v>
      </c>
      <c r="F7" s="134" t="s">
        <v>142</v>
      </c>
      <c r="G7" s="134" t="s">
        <v>142</v>
      </c>
      <c r="H7" s="134" t="s">
        <v>142</v>
      </c>
      <c r="I7" s="134" t="s">
        <v>142</v>
      </c>
      <c r="J7" s="134" t="s">
        <v>142</v>
      </c>
      <c r="K7" s="134" t="s">
        <v>142</v>
      </c>
      <c r="L7" s="134" t="s">
        <v>142</v>
      </c>
      <c r="M7" s="136"/>
      <c r="N7" s="137"/>
    </row>
    <row r="8" hidden="1" outlineLevel="1">
      <c r="A8" s="113" t="s">
        <v>172</v>
      </c>
      <c r="B8" s="115">
        <v>46210.0</v>
      </c>
      <c r="C8" s="118" t="str">
        <f t="shared" si="1"/>
        <v>Tue</v>
      </c>
      <c r="D8" s="143">
        <f t="shared" si="2"/>
        <v>1</v>
      </c>
      <c r="E8" s="144" t="s">
        <v>142</v>
      </c>
      <c r="F8" s="134" t="s">
        <v>142</v>
      </c>
      <c r="G8" s="134" t="s">
        <v>142</v>
      </c>
      <c r="H8" s="134" t="s">
        <v>142</v>
      </c>
      <c r="I8" s="134" t="s">
        <v>142</v>
      </c>
      <c r="J8" s="134" t="s">
        <v>142</v>
      </c>
      <c r="K8" s="134" t="s">
        <v>142</v>
      </c>
      <c r="L8" s="134" t="s">
        <v>142</v>
      </c>
      <c r="M8" s="136"/>
      <c r="N8" s="137"/>
    </row>
    <row r="9" hidden="1" outlineLevel="1">
      <c r="A9" s="113" t="s">
        <v>174</v>
      </c>
      <c r="B9" s="115">
        <v>46211.0</v>
      </c>
      <c r="C9" s="118" t="str">
        <f t="shared" si="1"/>
        <v>Wed</v>
      </c>
      <c r="D9" s="128">
        <f t="shared" si="2"/>
        <v>1</v>
      </c>
      <c r="E9" s="131" t="s">
        <v>142</v>
      </c>
      <c r="F9" s="134" t="s">
        <v>142</v>
      </c>
      <c r="G9" s="134" t="s">
        <v>142</v>
      </c>
      <c r="H9" s="134" t="s">
        <v>142</v>
      </c>
      <c r="I9" s="134" t="s">
        <v>142</v>
      </c>
      <c r="J9" s="134" t="s">
        <v>142</v>
      </c>
      <c r="K9" s="134" t="s">
        <v>142</v>
      </c>
      <c r="L9" s="134" t="s">
        <v>142</v>
      </c>
      <c r="M9" s="136"/>
      <c r="N9" s="137"/>
    </row>
    <row r="10" hidden="1" outlineLevel="1">
      <c r="A10" s="113" t="s">
        <v>176</v>
      </c>
      <c r="B10" s="115">
        <v>46211.0</v>
      </c>
      <c r="C10" s="118" t="str">
        <f t="shared" si="1"/>
        <v>Wed</v>
      </c>
      <c r="D10" s="143">
        <f t="shared" si="2"/>
        <v>1</v>
      </c>
      <c r="E10" s="144" t="s">
        <v>142</v>
      </c>
      <c r="F10" s="134" t="s">
        <v>142</v>
      </c>
      <c r="G10" s="134" t="s">
        <v>142</v>
      </c>
      <c r="H10" s="134" t="s">
        <v>142</v>
      </c>
      <c r="I10" s="134" t="s">
        <v>142</v>
      </c>
      <c r="J10" s="134" t="s">
        <v>142</v>
      </c>
      <c r="K10" s="134" t="s">
        <v>142</v>
      </c>
      <c r="L10" s="134" t="s">
        <v>142</v>
      </c>
      <c r="M10" s="136"/>
      <c r="N10" s="131"/>
    </row>
    <row r="11" hidden="1" outlineLevel="1">
      <c r="A11" s="113" t="s">
        <v>181</v>
      </c>
      <c r="B11" s="115">
        <v>46211.0</v>
      </c>
      <c r="C11" s="118" t="str">
        <f t="shared" si="1"/>
        <v>Wed</v>
      </c>
      <c r="D11" s="128">
        <f t="shared" si="2"/>
        <v>1</v>
      </c>
      <c r="E11" s="131" t="s">
        <v>142</v>
      </c>
      <c r="F11" s="134" t="s">
        <v>142</v>
      </c>
      <c r="G11" s="134" t="s">
        <v>142</v>
      </c>
      <c r="H11" s="134" t="s">
        <v>142</v>
      </c>
      <c r="I11" s="134" t="s">
        <v>142</v>
      </c>
      <c r="J11" s="134" t="s">
        <v>142</v>
      </c>
      <c r="K11" s="134" t="s">
        <v>142</v>
      </c>
      <c r="L11" s="134" t="s">
        <v>142</v>
      </c>
      <c r="M11" s="136"/>
      <c r="N11" s="137"/>
    </row>
    <row r="12" hidden="1" outlineLevel="1">
      <c r="A12" s="113" t="s">
        <v>183</v>
      </c>
      <c r="B12" s="115">
        <v>46212.0</v>
      </c>
      <c r="C12" s="118" t="str">
        <f t="shared" si="1"/>
        <v>Thu</v>
      </c>
      <c r="D12" s="143">
        <f t="shared" si="2"/>
        <v>1</v>
      </c>
      <c r="E12" s="144" t="s">
        <v>142</v>
      </c>
      <c r="F12" s="134" t="s">
        <v>142</v>
      </c>
      <c r="G12" s="134" t="s">
        <v>142</v>
      </c>
      <c r="H12" s="134" t="s">
        <v>142</v>
      </c>
      <c r="I12" s="134" t="s">
        <v>142</v>
      </c>
      <c r="J12" s="134" t="s">
        <v>142</v>
      </c>
      <c r="K12" s="134" t="s">
        <v>142</v>
      </c>
      <c r="L12" s="134" t="s">
        <v>142</v>
      </c>
      <c r="M12" s="136"/>
      <c r="N12" s="131"/>
    </row>
    <row r="13" hidden="1" outlineLevel="1">
      <c r="A13" s="113" t="s">
        <v>184</v>
      </c>
      <c r="B13" s="115">
        <v>46212.0</v>
      </c>
      <c r="C13" s="118" t="str">
        <f t="shared" si="1"/>
        <v>Thu</v>
      </c>
      <c r="D13" s="128">
        <f t="shared" si="2"/>
        <v>1</v>
      </c>
      <c r="E13" s="131" t="s">
        <v>142</v>
      </c>
      <c r="F13" s="134" t="s">
        <v>142</v>
      </c>
      <c r="G13" s="134" t="s">
        <v>142</v>
      </c>
      <c r="H13" s="134" t="s">
        <v>142</v>
      </c>
      <c r="I13" s="134" t="s">
        <v>142</v>
      </c>
      <c r="J13" s="134" t="s">
        <v>142</v>
      </c>
      <c r="K13" s="134" t="s">
        <v>142</v>
      </c>
      <c r="L13" s="134" t="s">
        <v>142</v>
      </c>
      <c r="M13" s="136"/>
      <c r="N13" s="131"/>
    </row>
    <row r="14" hidden="1" outlineLevel="1">
      <c r="A14" s="113" t="s">
        <v>188</v>
      </c>
      <c r="B14" s="115">
        <v>46212.0</v>
      </c>
      <c r="C14" s="118" t="str">
        <f t="shared" si="1"/>
        <v>Thu</v>
      </c>
      <c r="D14" s="143">
        <f t="shared" si="2"/>
        <v>1</v>
      </c>
      <c r="E14" s="144" t="s">
        <v>142</v>
      </c>
      <c r="F14" s="134" t="s">
        <v>142</v>
      </c>
      <c r="G14" s="134" t="s">
        <v>142</v>
      </c>
      <c r="H14" s="134" t="s">
        <v>142</v>
      </c>
      <c r="I14" s="134" t="s">
        <v>142</v>
      </c>
      <c r="J14" s="134" t="s">
        <v>142</v>
      </c>
      <c r="K14" s="134" t="s">
        <v>142</v>
      </c>
      <c r="L14" s="134" t="s">
        <v>142</v>
      </c>
      <c r="M14" s="136"/>
      <c r="N14" s="131"/>
    </row>
    <row r="15" hidden="1" outlineLevel="1">
      <c r="A15" s="113" t="s">
        <v>193</v>
      </c>
      <c r="B15" s="115">
        <v>46213.0</v>
      </c>
      <c r="C15" s="118" t="str">
        <f t="shared" si="1"/>
        <v>Fri</v>
      </c>
      <c r="D15" s="128">
        <f t="shared" si="2"/>
        <v>1</v>
      </c>
      <c r="E15" s="131" t="s">
        <v>142</v>
      </c>
      <c r="F15" s="134" t="s">
        <v>142</v>
      </c>
      <c r="G15" s="134" t="s">
        <v>142</v>
      </c>
      <c r="H15" s="134" t="s">
        <v>142</v>
      </c>
      <c r="I15" s="134" t="s">
        <v>142</v>
      </c>
      <c r="J15" s="134" t="s">
        <v>142</v>
      </c>
      <c r="K15" s="134" t="s">
        <v>142</v>
      </c>
      <c r="L15" s="134" t="s">
        <v>142</v>
      </c>
      <c r="M15" s="136"/>
      <c r="N15" s="137"/>
    </row>
    <row r="16" hidden="1" outlineLevel="1">
      <c r="A16" s="113" t="s">
        <v>195</v>
      </c>
      <c r="B16" s="115">
        <v>46213.0</v>
      </c>
      <c r="C16" s="118" t="str">
        <f t="shared" si="1"/>
        <v>Fri</v>
      </c>
      <c r="D16" s="143">
        <f t="shared" si="2"/>
        <v>1</v>
      </c>
      <c r="E16" s="144" t="s">
        <v>142</v>
      </c>
      <c r="F16" s="134" t="s">
        <v>142</v>
      </c>
      <c r="G16" s="134" t="s">
        <v>142</v>
      </c>
      <c r="H16" s="134" t="s">
        <v>142</v>
      </c>
      <c r="I16" s="134" t="s">
        <v>142</v>
      </c>
      <c r="J16" s="134" t="s">
        <v>142</v>
      </c>
      <c r="K16" s="134" t="s">
        <v>142</v>
      </c>
      <c r="L16" s="134" t="s">
        <v>142</v>
      </c>
      <c r="M16" s="136"/>
      <c r="N16" s="137"/>
    </row>
    <row r="17" ht="15.0" hidden="1" customHeight="1" outlineLevel="1">
      <c r="A17" s="113" t="s">
        <v>198</v>
      </c>
      <c r="B17" s="115">
        <v>46213.0</v>
      </c>
      <c r="C17" s="118" t="str">
        <f t="shared" si="1"/>
        <v>Fri</v>
      </c>
      <c r="D17" s="128">
        <f t="shared" si="2"/>
        <v>1</v>
      </c>
      <c r="E17" s="131" t="s">
        <v>142</v>
      </c>
      <c r="F17" s="134" t="s">
        <v>142</v>
      </c>
      <c r="G17" s="134" t="s">
        <v>142</v>
      </c>
      <c r="H17" s="134" t="s">
        <v>142</v>
      </c>
      <c r="I17" s="134" t="s">
        <v>142</v>
      </c>
      <c r="J17" s="134" t="s">
        <v>142</v>
      </c>
      <c r="K17" s="134" t="s">
        <v>142</v>
      </c>
      <c r="L17" s="134" t="s">
        <v>142</v>
      </c>
      <c r="M17" s="136"/>
      <c r="N17" s="131"/>
    </row>
    <row r="18" hidden="1" outlineLevel="1">
      <c r="B18" s="215"/>
      <c r="C18" s="216" t="s">
        <v>199</v>
      </c>
      <c r="D18" s="217">
        <f>AVERAGE(D3:D17)</f>
        <v>1</v>
      </c>
      <c r="E18" s="218"/>
      <c r="L18" s="216" t="s">
        <v>199</v>
      </c>
      <c r="M18" s="217">
        <f>SUM(M3:M17)/75*0.1</f>
        <v>0</v>
      </c>
    </row>
    <row r="19" hidden="1" collapsed="1">
      <c r="A19" s="85" t="s">
        <v>210</v>
      </c>
      <c r="B19" s="86"/>
      <c r="C19" s="86"/>
      <c r="D19" s="88"/>
      <c r="E19" s="89"/>
      <c r="F19" s="89"/>
      <c r="G19" s="91"/>
      <c r="H19" s="91"/>
      <c r="I19" s="91"/>
      <c r="J19" s="91"/>
      <c r="K19" s="91"/>
      <c r="L19" s="91"/>
      <c r="M19" s="93"/>
      <c r="N19" s="95"/>
    </row>
    <row r="20" hidden="1" outlineLevel="1">
      <c r="A20" s="96" t="s">
        <v>89</v>
      </c>
      <c r="B20" s="98" t="s">
        <v>90</v>
      </c>
      <c r="C20" s="98" t="s">
        <v>91</v>
      </c>
      <c r="D20" s="101" t="s">
        <v>93</v>
      </c>
      <c r="E20" s="102" t="s">
        <v>94</v>
      </c>
      <c r="F20" s="102" t="s">
        <v>95</v>
      </c>
      <c r="G20" s="105" t="s">
        <v>96</v>
      </c>
      <c r="H20" s="107" t="s">
        <v>97</v>
      </c>
      <c r="I20" s="107" t="s">
        <v>104</v>
      </c>
      <c r="J20" s="105" t="s">
        <v>106</v>
      </c>
      <c r="K20" s="107" t="s">
        <v>109</v>
      </c>
      <c r="L20" s="105" t="s">
        <v>111</v>
      </c>
      <c r="M20" s="98" t="s">
        <v>114</v>
      </c>
      <c r="N20" s="101" t="s">
        <v>116</v>
      </c>
    </row>
    <row r="21" hidden="1" outlineLevel="1">
      <c r="A21" s="113" t="s">
        <v>211</v>
      </c>
      <c r="B21" s="115">
        <v>46216.0</v>
      </c>
      <c r="C21" s="118" t="str">
        <f t="shared" ref="C21:C35" si="3">IF(B21="", "", TEXT(B21, "ddd"))</f>
        <v>Mon</v>
      </c>
      <c r="D21" s="128">
        <f t="shared" ref="D21:D35" si="4">IF(E21="Yes",0.05,0)
+IF(F21="Yes",0.1,0)
+IF(G21="Yes",0.15,0)
+IF(H21="Yes",0.15,0)
+IF(I21="Yes",0.05,0)
+IF(J21="Yes",0.05,0)
+IF(K21="Yes",0.15,0)
+IF(L21="Yes",0.3,0)
</f>
        <v>1</v>
      </c>
      <c r="E21" s="131" t="s">
        <v>142</v>
      </c>
      <c r="F21" s="134" t="s">
        <v>142</v>
      </c>
      <c r="G21" s="134" t="s">
        <v>142</v>
      </c>
      <c r="H21" s="134" t="s">
        <v>142</v>
      </c>
      <c r="I21" s="134" t="s">
        <v>142</v>
      </c>
      <c r="J21" s="134" t="s">
        <v>142</v>
      </c>
      <c r="K21" s="134" t="s">
        <v>142</v>
      </c>
      <c r="L21" s="134" t="s">
        <v>142</v>
      </c>
      <c r="M21" s="136"/>
      <c r="N21" s="137"/>
    </row>
    <row r="22" hidden="1" outlineLevel="1">
      <c r="A22" s="113" t="s">
        <v>217</v>
      </c>
      <c r="B22" s="115">
        <v>46216.0</v>
      </c>
      <c r="C22" s="118" t="str">
        <f t="shared" si="3"/>
        <v>Mon</v>
      </c>
      <c r="D22" s="143">
        <f t="shared" si="4"/>
        <v>1</v>
      </c>
      <c r="E22" s="144" t="s">
        <v>142</v>
      </c>
      <c r="F22" s="134" t="s">
        <v>142</v>
      </c>
      <c r="G22" s="134" t="s">
        <v>142</v>
      </c>
      <c r="H22" s="134" t="s">
        <v>142</v>
      </c>
      <c r="I22" s="134" t="s">
        <v>142</v>
      </c>
      <c r="J22" s="134" t="s">
        <v>142</v>
      </c>
      <c r="K22" s="134" t="s">
        <v>142</v>
      </c>
      <c r="L22" s="134" t="s">
        <v>142</v>
      </c>
      <c r="M22" s="136"/>
      <c r="N22" s="131"/>
    </row>
    <row r="23" hidden="1" outlineLevel="1">
      <c r="A23" s="113" t="s">
        <v>220</v>
      </c>
      <c r="B23" s="115">
        <v>46216.0</v>
      </c>
      <c r="C23" s="118" t="str">
        <f t="shared" si="3"/>
        <v>Mon</v>
      </c>
      <c r="D23" s="128">
        <f t="shared" si="4"/>
        <v>1</v>
      </c>
      <c r="E23" s="131" t="s">
        <v>142</v>
      </c>
      <c r="F23" s="134" t="s">
        <v>142</v>
      </c>
      <c r="G23" s="134" t="s">
        <v>142</v>
      </c>
      <c r="H23" s="134" t="s">
        <v>142</v>
      </c>
      <c r="I23" s="134" t="s">
        <v>142</v>
      </c>
      <c r="J23" s="134" t="s">
        <v>142</v>
      </c>
      <c r="K23" s="134" t="s">
        <v>142</v>
      </c>
      <c r="L23" s="134" t="s">
        <v>142</v>
      </c>
      <c r="M23" s="136"/>
      <c r="N23" s="131"/>
    </row>
    <row r="24" hidden="1" outlineLevel="1">
      <c r="A24" s="113" t="s">
        <v>222</v>
      </c>
      <c r="B24" s="115">
        <v>46217.0</v>
      </c>
      <c r="C24" s="118" t="str">
        <f t="shared" si="3"/>
        <v>Tue</v>
      </c>
      <c r="D24" s="143">
        <f t="shared" si="4"/>
        <v>1</v>
      </c>
      <c r="E24" s="144" t="s">
        <v>142</v>
      </c>
      <c r="F24" s="134" t="s">
        <v>142</v>
      </c>
      <c r="G24" s="134" t="s">
        <v>142</v>
      </c>
      <c r="H24" s="134" t="s">
        <v>142</v>
      </c>
      <c r="I24" s="134" t="s">
        <v>142</v>
      </c>
      <c r="J24" s="134" t="s">
        <v>142</v>
      </c>
      <c r="K24" s="134" t="s">
        <v>142</v>
      </c>
      <c r="L24" s="134" t="s">
        <v>142</v>
      </c>
      <c r="M24" s="136"/>
      <c r="N24" s="137"/>
    </row>
    <row r="25" hidden="1" outlineLevel="1">
      <c r="A25" s="113" t="s">
        <v>224</v>
      </c>
      <c r="B25" s="115">
        <v>46217.0</v>
      </c>
      <c r="C25" s="118" t="str">
        <f t="shared" si="3"/>
        <v>Tue</v>
      </c>
      <c r="D25" s="128">
        <f t="shared" si="4"/>
        <v>1</v>
      </c>
      <c r="E25" s="131" t="s">
        <v>142</v>
      </c>
      <c r="F25" s="134" t="s">
        <v>142</v>
      </c>
      <c r="G25" s="134" t="s">
        <v>142</v>
      </c>
      <c r="H25" s="134" t="s">
        <v>142</v>
      </c>
      <c r="I25" s="134" t="s">
        <v>142</v>
      </c>
      <c r="J25" s="134" t="s">
        <v>142</v>
      </c>
      <c r="K25" s="134" t="s">
        <v>142</v>
      </c>
      <c r="L25" s="134" t="s">
        <v>142</v>
      </c>
      <c r="M25" s="136"/>
      <c r="N25" s="137"/>
    </row>
    <row r="26" hidden="1" outlineLevel="1">
      <c r="A26" s="113" t="s">
        <v>225</v>
      </c>
      <c r="B26" s="115">
        <v>46217.0</v>
      </c>
      <c r="C26" s="118" t="str">
        <f t="shared" si="3"/>
        <v>Tue</v>
      </c>
      <c r="D26" s="143">
        <f t="shared" si="4"/>
        <v>1</v>
      </c>
      <c r="E26" s="144" t="s">
        <v>142</v>
      </c>
      <c r="F26" s="134" t="s">
        <v>142</v>
      </c>
      <c r="G26" s="134" t="s">
        <v>142</v>
      </c>
      <c r="H26" s="134" t="s">
        <v>142</v>
      </c>
      <c r="I26" s="134" t="s">
        <v>142</v>
      </c>
      <c r="J26" s="134" t="s">
        <v>142</v>
      </c>
      <c r="K26" s="134" t="s">
        <v>142</v>
      </c>
      <c r="L26" s="134" t="s">
        <v>142</v>
      </c>
      <c r="M26" s="136"/>
      <c r="N26" s="137"/>
    </row>
    <row r="27" hidden="1" outlineLevel="1">
      <c r="A27" s="113" t="s">
        <v>227</v>
      </c>
      <c r="B27" s="115">
        <v>46218.0</v>
      </c>
      <c r="C27" s="118" t="str">
        <f t="shared" si="3"/>
        <v>Wed</v>
      </c>
      <c r="D27" s="128">
        <f t="shared" si="4"/>
        <v>1</v>
      </c>
      <c r="E27" s="131" t="s">
        <v>142</v>
      </c>
      <c r="F27" s="134" t="s">
        <v>142</v>
      </c>
      <c r="G27" s="134" t="s">
        <v>142</v>
      </c>
      <c r="H27" s="134" t="s">
        <v>142</v>
      </c>
      <c r="I27" s="134" t="s">
        <v>142</v>
      </c>
      <c r="J27" s="134" t="s">
        <v>142</v>
      </c>
      <c r="K27" s="134" t="s">
        <v>142</v>
      </c>
      <c r="L27" s="134" t="s">
        <v>142</v>
      </c>
      <c r="M27" s="136"/>
      <c r="N27" s="137"/>
    </row>
    <row r="28" hidden="1" outlineLevel="1">
      <c r="A28" s="113" t="s">
        <v>228</v>
      </c>
      <c r="B28" s="115">
        <v>46218.0</v>
      </c>
      <c r="C28" s="118" t="str">
        <f t="shared" si="3"/>
        <v>Wed</v>
      </c>
      <c r="D28" s="143">
        <f t="shared" si="4"/>
        <v>1</v>
      </c>
      <c r="E28" s="144" t="s">
        <v>142</v>
      </c>
      <c r="F28" s="134" t="s">
        <v>142</v>
      </c>
      <c r="G28" s="134" t="s">
        <v>142</v>
      </c>
      <c r="H28" s="134" t="s">
        <v>142</v>
      </c>
      <c r="I28" s="134" t="s">
        <v>142</v>
      </c>
      <c r="J28" s="134" t="s">
        <v>142</v>
      </c>
      <c r="K28" s="134" t="s">
        <v>142</v>
      </c>
      <c r="L28" s="134" t="s">
        <v>142</v>
      </c>
      <c r="M28" s="136"/>
      <c r="N28" s="131"/>
    </row>
    <row r="29" hidden="1" outlineLevel="1">
      <c r="A29" s="113" t="s">
        <v>229</v>
      </c>
      <c r="B29" s="115">
        <v>46218.0</v>
      </c>
      <c r="C29" s="118" t="str">
        <f t="shared" si="3"/>
        <v>Wed</v>
      </c>
      <c r="D29" s="128">
        <f t="shared" si="4"/>
        <v>1</v>
      </c>
      <c r="E29" s="131" t="s">
        <v>142</v>
      </c>
      <c r="F29" s="134" t="s">
        <v>142</v>
      </c>
      <c r="G29" s="134" t="s">
        <v>142</v>
      </c>
      <c r="H29" s="134" t="s">
        <v>142</v>
      </c>
      <c r="I29" s="134" t="s">
        <v>142</v>
      </c>
      <c r="J29" s="134" t="s">
        <v>142</v>
      </c>
      <c r="K29" s="134" t="s">
        <v>142</v>
      </c>
      <c r="L29" s="134" t="s">
        <v>142</v>
      </c>
      <c r="M29" s="136"/>
      <c r="N29" s="137"/>
    </row>
    <row r="30" hidden="1" outlineLevel="1">
      <c r="A30" s="113" t="s">
        <v>230</v>
      </c>
      <c r="B30" s="115">
        <v>46219.0</v>
      </c>
      <c r="C30" s="118" t="str">
        <f t="shared" si="3"/>
        <v>Thu</v>
      </c>
      <c r="D30" s="143">
        <f t="shared" si="4"/>
        <v>1</v>
      </c>
      <c r="E30" s="144" t="s">
        <v>142</v>
      </c>
      <c r="F30" s="134" t="s">
        <v>142</v>
      </c>
      <c r="G30" s="134" t="s">
        <v>142</v>
      </c>
      <c r="H30" s="134" t="s">
        <v>142</v>
      </c>
      <c r="I30" s="134" t="s">
        <v>142</v>
      </c>
      <c r="J30" s="134" t="s">
        <v>142</v>
      </c>
      <c r="K30" s="134" t="s">
        <v>142</v>
      </c>
      <c r="L30" s="134" t="s">
        <v>142</v>
      </c>
      <c r="M30" s="136"/>
      <c r="N30" s="131"/>
    </row>
    <row r="31" hidden="1" outlineLevel="1">
      <c r="A31" s="113" t="s">
        <v>231</v>
      </c>
      <c r="B31" s="115">
        <v>46219.0</v>
      </c>
      <c r="C31" s="118" t="str">
        <f t="shared" si="3"/>
        <v>Thu</v>
      </c>
      <c r="D31" s="128">
        <f t="shared" si="4"/>
        <v>1</v>
      </c>
      <c r="E31" s="131" t="s">
        <v>142</v>
      </c>
      <c r="F31" s="134" t="s">
        <v>142</v>
      </c>
      <c r="G31" s="134" t="s">
        <v>142</v>
      </c>
      <c r="H31" s="134" t="s">
        <v>142</v>
      </c>
      <c r="I31" s="134" t="s">
        <v>142</v>
      </c>
      <c r="J31" s="134" t="s">
        <v>142</v>
      </c>
      <c r="K31" s="134" t="s">
        <v>142</v>
      </c>
      <c r="L31" s="134" t="s">
        <v>142</v>
      </c>
      <c r="M31" s="136"/>
      <c r="N31" s="131"/>
    </row>
    <row r="32" hidden="1" outlineLevel="1">
      <c r="A32" s="113" t="s">
        <v>232</v>
      </c>
      <c r="B32" s="115">
        <v>46219.0</v>
      </c>
      <c r="C32" s="118" t="str">
        <f t="shared" si="3"/>
        <v>Thu</v>
      </c>
      <c r="D32" s="143">
        <f t="shared" si="4"/>
        <v>1</v>
      </c>
      <c r="E32" s="144" t="s">
        <v>142</v>
      </c>
      <c r="F32" s="134" t="s">
        <v>142</v>
      </c>
      <c r="G32" s="134" t="s">
        <v>142</v>
      </c>
      <c r="H32" s="134" t="s">
        <v>142</v>
      </c>
      <c r="I32" s="134" t="s">
        <v>142</v>
      </c>
      <c r="J32" s="134" t="s">
        <v>142</v>
      </c>
      <c r="K32" s="134" t="s">
        <v>142</v>
      </c>
      <c r="L32" s="134" t="s">
        <v>142</v>
      </c>
      <c r="M32" s="136"/>
      <c r="N32" s="131"/>
    </row>
    <row r="33" hidden="1" outlineLevel="1">
      <c r="A33" s="113" t="s">
        <v>233</v>
      </c>
      <c r="B33" s="115">
        <v>46220.0</v>
      </c>
      <c r="C33" s="118" t="str">
        <f t="shared" si="3"/>
        <v>Fri</v>
      </c>
      <c r="D33" s="128">
        <f t="shared" si="4"/>
        <v>1</v>
      </c>
      <c r="E33" s="131" t="s">
        <v>142</v>
      </c>
      <c r="F33" s="134" t="s">
        <v>142</v>
      </c>
      <c r="G33" s="134" t="s">
        <v>142</v>
      </c>
      <c r="H33" s="134" t="s">
        <v>142</v>
      </c>
      <c r="I33" s="134" t="s">
        <v>142</v>
      </c>
      <c r="J33" s="134" t="s">
        <v>142</v>
      </c>
      <c r="K33" s="134" t="s">
        <v>142</v>
      </c>
      <c r="L33" s="134" t="s">
        <v>142</v>
      </c>
      <c r="M33" s="136"/>
      <c r="N33" s="137"/>
    </row>
    <row r="34" hidden="1" outlineLevel="1">
      <c r="A34" s="113" t="s">
        <v>234</v>
      </c>
      <c r="B34" s="115">
        <v>46220.0</v>
      </c>
      <c r="C34" s="118" t="str">
        <f t="shared" si="3"/>
        <v>Fri</v>
      </c>
      <c r="D34" s="143">
        <f t="shared" si="4"/>
        <v>1</v>
      </c>
      <c r="E34" s="144" t="s">
        <v>142</v>
      </c>
      <c r="F34" s="134" t="s">
        <v>142</v>
      </c>
      <c r="G34" s="134" t="s">
        <v>142</v>
      </c>
      <c r="H34" s="134" t="s">
        <v>142</v>
      </c>
      <c r="I34" s="134" t="s">
        <v>142</v>
      </c>
      <c r="J34" s="134" t="s">
        <v>142</v>
      </c>
      <c r="K34" s="134" t="s">
        <v>142</v>
      </c>
      <c r="L34" s="134" t="s">
        <v>142</v>
      </c>
      <c r="M34" s="136"/>
      <c r="N34" s="137"/>
    </row>
    <row r="35" ht="15.0" hidden="1" customHeight="1" outlineLevel="1">
      <c r="A35" s="113" t="s">
        <v>237</v>
      </c>
      <c r="B35" s="115">
        <v>46220.0</v>
      </c>
      <c r="C35" s="118" t="str">
        <f t="shared" si="3"/>
        <v>Fri</v>
      </c>
      <c r="D35" s="128">
        <f t="shared" si="4"/>
        <v>1</v>
      </c>
      <c r="E35" s="131" t="s">
        <v>142</v>
      </c>
      <c r="F35" s="134" t="s">
        <v>142</v>
      </c>
      <c r="G35" s="134" t="s">
        <v>142</v>
      </c>
      <c r="H35" s="134" t="s">
        <v>142</v>
      </c>
      <c r="I35" s="134" t="s">
        <v>142</v>
      </c>
      <c r="J35" s="134" t="s">
        <v>142</v>
      </c>
      <c r="K35" s="134" t="s">
        <v>142</v>
      </c>
      <c r="L35" s="134" t="s">
        <v>142</v>
      </c>
      <c r="M35" s="136"/>
      <c r="N35" s="131"/>
    </row>
    <row r="36" hidden="1" outlineLevel="1">
      <c r="B36" s="215"/>
      <c r="C36" s="216" t="s">
        <v>199</v>
      </c>
      <c r="D36" s="217">
        <f>AVERAGE(D21:D35)</f>
        <v>1</v>
      </c>
      <c r="E36" s="218"/>
      <c r="L36" s="216" t="s">
        <v>199</v>
      </c>
      <c r="M36" s="217">
        <f>SUM(M21:M35)/75*0.1</f>
        <v>0</v>
      </c>
    </row>
    <row r="37" hidden="1" collapsed="1">
      <c r="A37" s="85" t="s">
        <v>246</v>
      </c>
      <c r="B37" s="86"/>
      <c r="C37" s="86"/>
      <c r="D37" s="88"/>
      <c r="E37" s="89"/>
      <c r="F37" s="89"/>
      <c r="G37" s="91"/>
      <c r="H37" s="91"/>
      <c r="I37" s="91"/>
      <c r="J37" s="91"/>
      <c r="K37" s="91"/>
      <c r="L37" s="91"/>
      <c r="M37" s="93"/>
      <c r="N37" s="95"/>
    </row>
    <row r="38" hidden="1" outlineLevel="1">
      <c r="A38" s="96" t="s">
        <v>89</v>
      </c>
      <c r="B38" s="98" t="s">
        <v>90</v>
      </c>
      <c r="C38" s="98" t="s">
        <v>91</v>
      </c>
      <c r="D38" s="101" t="s">
        <v>93</v>
      </c>
      <c r="E38" s="102" t="s">
        <v>94</v>
      </c>
      <c r="F38" s="102" t="s">
        <v>95</v>
      </c>
      <c r="G38" s="105" t="s">
        <v>96</v>
      </c>
      <c r="H38" s="107" t="s">
        <v>97</v>
      </c>
      <c r="I38" s="107" t="s">
        <v>104</v>
      </c>
      <c r="J38" s="105" t="s">
        <v>106</v>
      </c>
      <c r="K38" s="107" t="s">
        <v>109</v>
      </c>
      <c r="L38" s="105" t="s">
        <v>111</v>
      </c>
      <c r="M38" s="98" t="s">
        <v>114</v>
      </c>
      <c r="N38" s="101" t="s">
        <v>116</v>
      </c>
    </row>
    <row r="39" hidden="1" outlineLevel="1">
      <c r="A39" s="113" t="s">
        <v>259</v>
      </c>
      <c r="B39" s="270">
        <v>46223.0</v>
      </c>
      <c r="C39" s="118" t="str">
        <f t="shared" ref="C39:C53" si="5">IF(B39="", "", TEXT(B39, "ddd"))</f>
        <v>Mon</v>
      </c>
      <c r="D39" s="128">
        <f t="shared" ref="D39:D53" si="6">IF(E39="Yes",0.05,0)
+IF(F39="Yes",0.1,0)
+IF(G39="Yes",0.15,0)
+IF(H39="Yes",0.15,0)
+IF(I39="Yes",0.05,0)
+IF(J39="Yes",0.05,0)
+IF(K39="Yes",0.15,0)
+IF(L39="Yes",0.3,0)
</f>
        <v>1</v>
      </c>
      <c r="E39" s="131" t="s">
        <v>142</v>
      </c>
      <c r="F39" s="134" t="s">
        <v>142</v>
      </c>
      <c r="G39" s="134" t="s">
        <v>142</v>
      </c>
      <c r="H39" s="134" t="s">
        <v>142</v>
      </c>
      <c r="I39" s="134" t="s">
        <v>142</v>
      </c>
      <c r="J39" s="134" t="s">
        <v>142</v>
      </c>
      <c r="K39" s="134" t="s">
        <v>142</v>
      </c>
      <c r="L39" s="134" t="s">
        <v>142</v>
      </c>
      <c r="M39" s="136"/>
      <c r="N39" s="137"/>
    </row>
    <row r="40" hidden="1" outlineLevel="1">
      <c r="A40" s="113" t="s">
        <v>260</v>
      </c>
      <c r="B40" s="270">
        <v>46223.0</v>
      </c>
      <c r="C40" s="118" t="str">
        <f t="shared" si="5"/>
        <v>Mon</v>
      </c>
      <c r="D40" s="143">
        <f t="shared" si="6"/>
        <v>1</v>
      </c>
      <c r="E40" s="144" t="s">
        <v>142</v>
      </c>
      <c r="F40" s="134" t="s">
        <v>142</v>
      </c>
      <c r="G40" s="134" t="s">
        <v>142</v>
      </c>
      <c r="H40" s="134" t="s">
        <v>142</v>
      </c>
      <c r="I40" s="134" t="s">
        <v>142</v>
      </c>
      <c r="J40" s="134" t="s">
        <v>142</v>
      </c>
      <c r="K40" s="134" t="s">
        <v>142</v>
      </c>
      <c r="L40" s="134" t="s">
        <v>142</v>
      </c>
      <c r="M40" s="136"/>
      <c r="N40" s="131"/>
    </row>
    <row r="41" hidden="1" outlineLevel="1">
      <c r="A41" s="113" t="s">
        <v>262</v>
      </c>
      <c r="B41" s="270">
        <v>46223.0</v>
      </c>
      <c r="C41" s="118" t="str">
        <f t="shared" si="5"/>
        <v>Mon</v>
      </c>
      <c r="D41" s="128">
        <f t="shared" si="6"/>
        <v>1</v>
      </c>
      <c r="E41" s="131" t="s">
        <v>142</v>
      </c>
      <c r="F41" s="134" t="s">
        <v>142</v>
      </c>
      <c r="G41" s="134" t="s">
        <v>142</v>
      </c>
      <c r="H41" s="134" t="s">
        <v>142</v>
      </c>
      <c r="I41" s="134" t="s">
        <v>142</v>
      </c>
      <c r="J41" s="134" t="s">
        <v>142</v>
      </c>
      <c r="K41" s="134" t="s">
        <v>142</v>
      </c>
      <c r="L41" s="134" t="s">
        <v>142</v>
      </c>
      <c r="M41" s="136"/>
      <c r="N41" s="131"/>
    </row>
    <row r="42" hidden="1" outlineLevel="1">
      <c r="A42" s="113" t="s">
        <v>263</v>
      </c>
      <c r="B42" s="270">
        <v>46224.0</v>
      </c>
      <c r="C42" s="118" t="str">
        <f t="shared" si="5"/>
        <v>Tue</v>
      </c>
      <c r="D42" s="143">
        <f t="shared" si="6"/>
        <v>1</v>
      </c>
      <c r="E42" s="144" t="s">
        <v>142</v>
      </c>
      <c r="F42" s="134" t="s">
        <v>142</v>
      </c>
      <c r="G42" s="134" t="s">
        <v>142</v>
      </c>
      <c r="H42" s="134" t="s">
        <v>142</v>
      </c>
      <c r="I42" s="134" t="s">
        <v>142</v>
      </c>
      <c r="J42" s="134" t="s">
        <v>142</v>
      </c>
      <c r="K42" s="134" t="s">
        <v>142</v>
      </c>
      <c r="L42" s="134" t="s">
        <v>142</v>
      </c>
      <c r="M42" s="136"/>
      <c r="N42" s="137"/>
    </row>
    <row r="43" hidden="1" outlineLevel="1">
      <c r="A43" s="113" t="s">
        <v>264</v>
      </c>
      <c r="B43" s="270">
        <v>46224.0</v>
      </c>
      <c r="C43" s="118" t="str">
        <f t="shared" si="5"/>
        <v>Tue</v>
      </c>
      <c r="D43" s="128">
        <f t="shared" si="6"/>
        <v>1</v>
      </c>
      <c r="E43" s="131" t="s">
        <v>142</v>
      </c>
      <c r="F43" s="134" t="s">
        <v>142</v>
      </c>
      <c r="G43" s="134" t="s">
        <v>142</v>
      </c>
      <c r="H43" s="134" t="s">
        <v>142</v>
      </c>
      <c r="I43" s="134" t="s">
        <v>142</v>
      </c>
      <c r="J43" s="134" t="s">
        <v>142</v>
      </c>
      <c r="K43" s="134" t="s">
        <v>142</v>
      </c>
      <c r="L43" s="134" t="s">
        <v>142</v>
      </c>
      <c r="M43" s="136"/>
      <c r="N43" s="137"/>
    </row>
    <row r="44" hidden="1" outlineLevel="1">
      <c r="A44" s="113" t="s">
        <v>265</v>
      </c>
      <c r="B44" s="270">
        <v>46224.0</v>
      </c>
      <c r="C44" s="118" t="str">
        <f t="shared" si="5"/>
        <v>Tue</v>
      </c>
      <c r="D44" s="143">
        <f t="shared" si="6"/>
        <v>1</v>
      </c>
      <c r="E44" s="144" t="s">
        <v>142</v>
      </c>
      <c r="F44" s="134" t="s">
        <v>142</v>
      </c>
      <c r="G44" s="134" t="s">
        <v>142</v>
      </c>
      <c r="H44" s="134" t="s">
        <v>142</v>
      </c>
      <c r="I44" s="134" t="s">
        <v>142</v>
      </c>
      <c r="J44" s="134" t="s">
        <v>142</v>
      </c>
      <c r="K44" s="134" t="s">
        <v>142</v>
      </c>
      <c r="L44" s="134" t="s">
        <v>142</v>
      </c>
      <c r="M44" s="136"/>
      <c r="N44" s="137"/>
    </row>
    <row r="45" hidden="1" outlineLevel="1">
      <c r="A45" s="113" t="s">
        <v>266</v>
      </c>
      <c r="B45" s="270">
        <v>46225.0</v>
      </c>
      <c r="C45" s="118" t="str">
        <f t="shared" si="5"/>
        <v>Wed</v>
      </c>
      <c r="D45" s="128">
        <f t="shared" si="6"/>
        <v>1</v>
      </c>
      <c r="E45" s="131" t="s">
        <v>142</v>
      </c>
      <c r="F45" s="134" t="s">
        <v>142</v>
      </c>
      <c r="G45" s="134" t="s">
        <v>142</v>
      </c>
      <c r="H45" s="134" t="s">
        <v>142</v>
      </c>
      <c r="I45" s="134" t="s">
        <v>142</v>
      </c>
      <c r="J45" s="134" t="s">
        <v>142</v>
      </c>
      <c r="K45" s="134" t="s">
        <v>142</v>
      </c>
      <c r="L45" s="134" t="s">
        <v>142</v>
      </c>
      <c r="M45" s="136"/>
      <c r="N45" s="137"/>
    </row>
    <row r="46" hidden="1" outlineLevel="1">
      <c r="A46" s="113" t="s">
        <v>267</v>
      </c>
      <c r="B46" s="270">
        <v>46225.0</v>
      </c>
      <c r="C46" s="118" t="str">
        <f t="shared" si="5"/>
        <v>Wed</v>
      </c>
      <c r="D46" s="143">
        <f t="shared" si="6"/>
        <v>1</v>
      </c>
      <c r="E46" s="144" t="s">
        <v>142</v>
      </c>
      <c r="F46" s="134" t="s">
        <v>142</v>
      </c>
      <c r="G46" s="134" t="s">
        <v>142</v>
      </c>
      <c r="H46" s="134" t="s">
        <v>142</v>
      </c>
      <c r="I46" s="134" t="s">
        <v>142</v>
      </c>
      <c r="J46" s="134" t="s">
        <v>142</v>
      </c>
      <c r="K46" s="134" t="s">
        <v>142</v>
      </c>
      <c r="L46" s="134" t="s">
        <v>142</v>
      </c>
      <c r="M46" s="136"/>
      <c r="N46" s="131"/>
    </row>
    <row r="47" hidden="1" outlineLevel="1">
      <c r="A47" s="113" t="s">
        <v>268</v>
      </c>
      <c r="B47" s="270">
        <v>46225.0</v>
      </c>
      <c r="C47" s="118" t="str">
        <f t="shared" si="5"/>
        <v>Wed</v>
      </c>
      <c r="D47" s="128">
        <f t="shared" si="6"/>
        <v>1</v>
      </c>
      <c r="E47" s="131" t="s">
        <v>142</v>
      </c>
      <c r="F47" s="134" t="s">
        <v>142</v>
      </c>
      <c r="G47" s="134" t="s">
        <v>142</v>
      </c>
      <c r="H47" s="134" t="s">
        <v>142</v>
      </c>
      <c r="I47" s="134" t="s">
        <v>142</v>
      </c>
      <c r="J47" s="134" t="s">
        <v>142</v>
      </c>
      <c r="K47" s="134" t="s">
        <v>142</v>
      </c>
      <c r="L47" s="134" t="s">
        <v>142</v>
      </c>
      <c r="M47" s="136"/>
      <c r="N47" s="137"/>
    </row>
    <row r="48" hidden="1" outlineLevel="1">
      <c r="A48" s="113" t="s">
        <v>271</v>
      </c>
      <c r="B48" s="270">
        <v>46226.0</v>
      </c>
      <c r="C48" s="118" t="str">
        <f t="shared" si="5"/>
        <v>Thu</v>
      </c>
      <c r="D48" s="143">
        <f t="shared" si="6"/>
        <v>1</v>
      </c>
      <c r="E48" s="144" t="s">
        <v>142</v>
      </c>
      <c r="F48" s="134" t="s">
        <v>142</v>
      </c>
      <c r="G48" s="134" t="s">
        <v>142</v>
      </c>
      <c r="H48" s="134" t="s">
        <v>142</v>
      </c>
      <c r="I48" s="134" t="s">
        <v>142</v>
      </c>
      <c r="J48" s="134" t="s">
        <v>142</v>
      </c>
      <c r="K48" s="134" t="s">
        <v>142</v>
      </c>
      <c r="L48" s="134" t="s">
        <v>142</v>
      </c>
      <c r="M48" s="136"/>
      <c r="N48" s="131"/>
    </row>
    <row r="49" hidden="1" outlineLevel="1">
      <c r="A49" s="113" t="s">
        <v>278</v>
      </c>
      <c r="B49" s="270">
        <v>46226.0</v>
      </c>
      <c r="C49" s="118" t="str">
        <f t="shared" si="5"/>
        <v>Thu</v>
      </c>
      <c r="D49" s="128">
        <f t="shared" si="6"/>
        <v>1</v>
      </c>
      <c r="E49" s="131" t="s">
        <v>142</v>
      </c>
      <c r="F49" s="134" t="s">
        <v>142</v>
      </c>
      <c r="G49" s="134" t="s">
        <v>142</v>
      </c>
      <c r="H49" s="134" t="s">
        <v>142</v>
      </c>
      <c r="I49" s="134" t="s">
        <v>142</v>
      </c>
      <c r="J49" s="134" t="s">
        <v>142</v>
      </c>
      <c r="K49" s="134" t="s">
        <v>142</v>
      </c>
      <c r="L49" s="134" t="s">
        <v>142</v>
      </c>
      <c r="M49" s="136"/>
      <c r="N49" s="131"/>
    </row>
    <row r="50" hidden="1" outlineLevel="1">
      <c r="A50" s="113" t="s">
        <v>279</v>
      </c>
      <c r="B50" s="270">
        <v>46226.0</v>
      </c>
      <c r="C50" s="118" t="str">
        <f t="shared" si="5"/>
        <v>Thu</v>
      </c>
      <c r="D50" s="143">
        <f t="shared" si="6"/>
        <v>1</v>
      </c>
      <c r="E50" s="144" t="s">
        <v>142</v>
      </c>
      <c r="F50" s="134" t="s">
        <v>142</v>
      </c>
      <c r="G50" s="134" t="s">
        <v>142</v>
      </c>
      <c r="H50" s="134" t="s">
        <v>142</v>
      </c>
      <c r="I50" s="134" t="s">
        <v>142</v>
      </c>
      <c r="J50" s="134" t="s">
        <v>142</v>
      </c>
      <c r="K50" s="134" t="s">
        <v>142</v>
      </c>
      <c r="L50" s="134" t="s">
        <v>142</v>
      </c>
      <c r="M50" s="136"/>
      <c r="N50" s="131"/>
    </row>
    <row r="51" hidden="1" outlineLevel="1">
      <c r="A51" s="113" t="s">
        <v>281</v>
      </c>
      <c r="B51" s="270">
        <v>46227.0</v>
      </c>
      <c r="C51" s="118" t="str">
        <f t="shared" si="5"/>
        <v>Fri</v>
      </c>
      <c r="D51" s="128">
        <f t="shared" si="6"/>
        <v>1</v>
      </c>
      <c r="E51" s="131" t="s">
        <v>142</v>
      </c>
      <c r="F51" s="134" t="s">
        <v>142</v>
      </c>
      <c r="G51" s="134" t="s">
        <v>142</v>
      </c>
      <c r="H51" s="134" t="s">
        <v>142</v>
      </c>
      <c r="I51" s="134" t="s">
        <v>142</v>
      </c>
      <c r="J51" s="134" t="s">
        <v>142</v>
      </c>
      <c r="K51" s="134" t="s">
        <v>142</v>
      </c>
      <c r="L51" s="134" t="s">
        <v>142</v>
      </c>
      <c r="M51" s="136"/>
      <c r="N51" s="137"/>
    </row>
    <row r="52" hidden="1" outlineLevel="1">
      <c r="A52" s="113" t="s">
        <v>284</v>
      </c>
      <c r="B52" s="270">
        <v>46227.0</v>
      </c>
      <c r="C52" s="118" t="str">
        <f t="shared" si="5"/>
        <v>Fri</v>
      </c>
      <c r="D52" s="143">
        <f t="shared" si="6"/>
        <v>1</v>
      </c>
      <c r="E52" s="144" t="s">
        <v>142</v>
      </c>
      <c r="F52" s="134" t="s">
        <v>142</v>
      </c>
      <c r="G52" s="134" t="s">
        <v>142</v>
      </c>
      <c r="H52" s="134" t="s">
        <v>142</v>
      </c>
      <c r="I52" s="134" t="s">
        <v>142</v>
      </c>
      <c r="J52" s="134" t="s">
        <v>142</v>
      </c>
      <c r="K52" s="134" t="s">
        <v>142</v>
      </c>
      <c r="L52" s="134" t="s">
        <v>142</v>
      </c>
      <c r="M52" s="136"/>
      <c r="N52" s="137"/>
    </row>
    <row r="53" ht="15.0" hidden="1" customHeight="1" outlineLevel="1">
      <c r="A53" s="113" t="s">
        <v>285</v>
      </c>
      <c r="B53" s="270">
        <v>46227.0</v>
      </c>
      <c r="C53" s="118" t="str">
        <f t="shared" si="5"/>
        <v>Fri</v>
      </c>
      <c r="D53" s="128">
        <f t="shared" si="6"/>
        <v>1</v>
      </c>
      <c r="E53" s="131" t="s">
        <v>142</v>
      </c>
      <c r="F53" s="134" t="s">
        <v>142</v>
      </c>
      <c r="G53" s="134" t="s">
        <v>142</v>
      </c>
      <c r="H53" s="134" t="s">
        <v>142</v>
      </c>
      <c r="I53" s="134" t="s">
        <v>142</v>
      </c>
      <c r="J53" s="134" t="s">
        <v>142</v>
      </c>
      <c r="K53" s="134" t="s">
        <v>142</v>
      </c>
      <c r="L53" s="134" t="s">
        <v>142</v>
      </c>
      <c r="M53" s="136"/>
      <c r="N53" s="131"/>
    </row>
    <row r="54" hidden="1" outlineLevel="1">
      <c r="B54" s="215"/>
      <c r="C54" s="216" t="s">
        <v>199</v>
      </c>
      <c r="D54" s="217">
        <f>AVERAGE(D39:D53)</f>
        <v>1</v>
      </c>
      <c r="E54" s="218"/>
      <c r="L54" s="216" t="s">
        <v>199</v>
      </c>
      <c r="M54" s="217">
        <f>SUM(M39:M53)/75*0.1</f>
        <v>0</v>
      </c>
    </row>
    <row r="55" hidden="1" collapsed="1">
      <c r="A55" s="85" t="s">
        <v>286</v>
      </c>
      <c r="B55" s="86"/>
      <c r="C55" s="86"/>
      <c r="D55" s="88"/>
      <c r="E55" s="89"/>
      <c r="F55" s="89"/>
      <c r="G55" s="91"/>
      <c r="H55" s="91"/>
      <c r="I55" s="91"/>
      <c r="J55" s="91"/>
      <c r="K55" s="91"/>
      <c r="L55" s="91"/>
      <c r="M55" s="93"/>
      <c r="N55" s="95"/>
    </row>
    <row r="56" hidden="1" outlineLevel="1">
      <c r="A56" s="96" t="s">
        <v>89</v>
      </c>
      <c r="B56" s="98" t="s">
        <v>90</v>
      </c>
      <c r="C56" s="98" t="s">
        <v>91</v>
      </c>
      <c r="D56" s="101" t="s">
        <v>93</v>
      </c>
      <c r="E56" s="102" t="s">
        <v>94</v>
      </c>
      <c r="F56" s="102" t="s">
        <v>95</v>
      </c>
      <c r="G56" s="105" t="s">
        <v>96</v>
      </c>
      <c r="H56" s="107" t="s">
        <v>97</v>
      </c>
      <c r="I56" s="107" t="s">
        <v>104</v>
      </c>
      <c r="J56" s="105" t="s">
        <v>106</v>
      </c>
      <c r="K56" s="107" t="s">
        <v>109</v>
      </c>
      <c r="L56" s="105" t="s">
        <v>111</v>
      </c>
      <c r="M56" s="98" t="s">
        <v>114</v>
      </c>
      <c r="N56" s="101" t="s">
        <v>116</v>
      </c>
    </row>
    <row r="57" hidden="1" outlineLevel="1">
      <c r="A57" s="308" t="s">
        <v>287</v>
      </c>
      <c r="B57" s="309">
        <v>46230.0</v>
      </c>
      <c r="C57" s="118" t="str">
        <f t="shared" ref="C57:C71" si="7">IF(B57="", "", TEXT(B57, "ddd"))</f>
        <v>Mon</v>
      </c>
      <c r="D57" s="128">
        <f t="shared" ref="D57:D71" si="8">IF(E57="Yes",0.05,0)
+IF(F57="Yes",0.1,0)
+IF(G57="Yes",0.15,0)
+IF(H57="Yes",0.15,0)
+IF(I57="Yes",0.05,0)
+IF(J57="Yes",0.05,0)
+IF(K57="Yes",0.15,0)
+IF(L57="Yes",0.3,0)
</f>
        <v>1</v>
      </c>
      <c r="E57" s="131" t="s">
        <v>142</v>
      </c>
      <c r="F57" s="134" t="s">
        <v>142</v>
      </c>
      <c r="G57" s="134" t="s">
        <v>142</v>
      </c>
      <c r="H57" s="134" t="s">
        <v>142</v>
      </c>
      <c r="I57" s="134" t="s">
        <v>142</v>
      </c>
      <c r="J57" s="134" t="s">
        <v>142</v>
      </c>
      <c r="K57" s="134" t="s">
        <v>142</v>
      </c>
      <c r="L57" s="134" t="s">
        <v>142</v>
      </c>
      <c r="M57" s="136"/>
      <c r="N57" s="137"/>
    </row>
    <row r="58" hidden="1" outlineLevel="1">
      <c r="A58" s="113" t="s">
        <v>288</v>
      </c>
      <c r="B58" s="309">
        <v>46230.0</v>
      </c>
      <c r="C58" s="118" t="str">
        <f t="shared" si="7"/>
        <v>Mon</v>
      </c>
      <c r="D58" s="143">
        <f t="shared" si="8"/>
        <v>1</v>
      </c>
      <c r="E58" s="144" t="s">
        <v>142</v>
      </c>
      <c r="F58" s="134" t="s">
        <v>142</v>
      </c>
      <c r="G58" s="134" t="s">
        <v>142</v>
      </c>
      <c r="H58" s="134" t="s">
        <v>142</v>
      </c>
      <c r="I58" s="134" t="s">
        <v>142</v>
      </c>
      <c r="J58" s="134" t="s">
        <v>142</v>
      </c>
      <c r="K58" s="134" t="s">
        <v>142</v>
      </c>
      <c r="L58" s="134" t="s">
        <v>142</v>
      </c>
      <c r="M58" s="136"/>
      <c r="N58" s="131"/>
    </row>
    <row r="59" hidden="1" outlineLevel="1">
      <c r="A59" s="113" t="s">
        <v>292</v>
      </c>
      <c r="B59" s="309">
        <v>46230.0</v>
      </c>
      <c r="C59" s="118" t="str">
        <f t="shared" si="7"/>
        <v>Mon</v>
      </c>
      <c r="D59" s="128">
        <f t="shared" si="8"/>
        <v>1</v>
      </c>
      <c r="E59" s="131" t="s">
        <v>142</v>
      </c>
      <c r="F59" s="134" t="s">
        <v>142</v>
      </c>
      <c r="G59" s="134" t="s">
        <v>142</v>
      </c>
      <c r="H59" s="134" t="s">
        <v>142</v>
      </c>
      <c r="I59" s="134" t="s">
        <v>142</v>
      </c>
      <c r="J59" s="134" t="s">
        <v>142</v>
      </c>
      <c r="K59" s="134" t="s">
        <v>142</v>
      </c>
      <c r="L59" s="134" t="s">
        <v>142</v>
      </c>
      <c r="M59" s="136"/>
      <c r="N59" s="131"/>
    </row>
    <row r="60" hidden="1" outlineLevel="1">
      <c r="A60" s="113" t="s">
        <v>293</v>
      </c>
      <c r="B60" s="309">
        <v>46231.0</v>
      </c>
      <c r="C60" s="118" t="str">
        <f t="shared" si="7"/>
        <v>Tue</v>
      </c>
      <c r="D60" s="143">
        <f t="shared" si="8"/>
        <v>1</v>
      </c>
      <c r="E60" s="144" t="s">
        <v>142</v>
      </c>
      <c r="F60" s="134" t="s">
        <v>142</v>
      </c>
      <c r="G60" s="134" t="s">
        <v>142</v>
      </c>
      <c r="H60" s="134" t="s">
        <v>142</v>
      </c>
      <c r="I60" s="134" t="s">
        <v>142</v>
      </c>
      <c r="J60" s="134" t="s">
        <v>142</v>
      </c>
      <c r="K60" s="134" t="s">
        <v>142</v>
      </c>
      <c r="L60" s="134" t="s">
        <v>142</v>
      </c>
      <c r="M60" s="136"/>
      <c r="N60" s="131"/>
    </row>
    <row r="61" hidden="1" outlineLevel="1">
      <c r="A61" s="113" t="s">
        <v>294</v>
      </c>
      <c r="B61" s="309">
        <v>46231.0</v>
      </c>
      <c r="C61" s="118" t="str">
        <f t="shared" si="7"/>
        <v>Tue</v>
      </c>
      <c r="D61" s="128">
        <f t="shared" si="8"/>
        <v>1</v>
      </c>
      <c r="E61" s="131" t="s">
        <v>142</v>
      </c>
      <c r="F61" s="134" t="s">
        <v>142</v>
      </c>
      <c r="G61" s="134" t="s">
        <v>142</v>
      </c>
      <c r="H61" s="134" t="s">
        <v>142</v>
      </c>
      <c r="I61" s="134" t="s">
        <v>142</v>
      </c>
      <c r="J61" s="134" t="s">
        <v>142</v>
      </c>
      <c r="K61" s="134" t="s">
        <v>142</v>
      </c>
      <c r="L61" s="134" t="s">
        <v>142</v>
      </c>
      <c r="M61" s="136"/>
      <c r="N61" s="131"/>
    </row>
    <row r="62" hidden="1" outlineLevel="1">
      <c r="A62" s="113" t="s">
        <v>295</v>
      </c>
      <c r="B62" s="309">
        <v>46231.0</v>
      </c>
      <c r="C62" s="118" t="str">
        <f t="shared" si="7"/>
        <v>Tue</v>
      </c>
      <c r="D62" s="143">
        <f t="shared" si="8"/>
        <v>1</v>
      </c>
      <c r="E62" s="144" t="s">
        <v>142</v>
      </c>
      <c r="F62" s="134" t="s">
        <v>142</v>
      </c>
      <c r="G62" s="134" t="s">
        <v>142</v>
      </c>
      <c r="H62" s="134" t="s">
        <v>142</v>
      </c>
      <c r="I62" s="134" t="s">
        <v>142</v>
      </c>
      <c r="J62" s="134" t="s">
        <v>142</v>
      </c>
      <c r="K62" s="134" t="s">
        <v>142</v>
      </c>
      <c r="L62" s="134" t="s">
        <v>142</v>
      </c>
      <c r="M62" s="136"/>
      <c r="N62" s="131"/>
    </row>
    <row r="63" hidden="1" outlineLevel="1">
      <c r="A63" s="113" t="s">
        <v>304</v>
      </c>
      <c r="B63" s="309">
        <v>46232.0</v>
      </c>
      <c r="C63" s="118" t="str">
        <f t="shared" si="7"/>
        <v>Wed</v>
      </c>
      <c r="D63" s="128">
        <f t="shared" si="8"/>
        <v>1</v>
      </c>
      <c r="E63" s="131" t="s">
        <v>142</v>
      </c>
      <c r="F63" s="134" t="s">
        <v>142</v>
      </c>
      <c r="G63" s="134" t="s">
        <v>142</v>
      </c>
      <c r="H63" s="134" t="s">
        <v>142</v>
      </c>
      <c r="I63" s="134" t="s">
        <v>142</v>
      </c>
      <c r="J63" s="134" t="s">
        <v>142</v>
      </c>
      <c r="K63" s="134" t="s">
        <v>142</v>
      </c>
      <c r="L63" s="134" t="s">
        <v>142</v>
      </c>
      <c r="M63" s="136"/>
      <c r="N63" s="137"/>
    </row>
    <row r="64" hidden="1" outlineLevel="1">
      <c r="A64" s="113" t="s">
        <v>306</v>
      </c>
      <c r="B64" s="309">
        <v>46232.0</v>
      </c>
      <c r="C64" s="118" t="str">
        <f t="shared" si="7"/>
        <v>Wed</v>
      </c>
      <c r="D64" s="143">
        <f t="shared" si="8"/>
        <v>1</v>
      </c>
      <c r="E64" s="144" t="s">
        <v>142</v>
      </c>
      <c r="F64" s="134" t="s">
        <v>142</v>
      </c>
      <c r="G64" s="134" t="s">
        <v>142</v>
      </c>
      <c r="H64" s="134" t="s">
        <v>142</v>
      </c>
      <c r="I64" s="134" t="s">
        <v>142</v>
      </c>
      <c r="J64" s="134" t="s">
        <v>142</v>
      </c>
      <c r="K64" s="134" t="s">
        <v>142</v>
      </c>
      <c r="L64" s="134" t="s">
        <v>142</v>
      </c>
      <c r="M64" s="136"/>
      <c r="N64" s="131"/>
    </row>
    <row r="65" hidden="1" outlineLevel="1">
      <c r="A65" s="113" t="s">
        <v>307</v>
      </c>
      <c r="B65" s="309">
        <v>46232.0</v>
      </c>
      <c r="C65" s="118" t="str">
        <f t="shared" si="7"/>
        <v>Wed</v>
      </c>
      <c r="D65" s="128">
        <f t="shared" si="8"/>
        <v>1</v>
      </c>
      <c r="E65" s="131" t="s">
        <v>142</v>
      </c>
      <c r="F65" s="134" t="s">
        <v>142</v>
      </c>
      <c r="G65" s="134" t="s">
        <v>142</v>
      </c>
      <c r="H65" s="134" t="s">
        <v>142</v>
      </c>
      <c r="I65" s="134" t="s">
        <v>142</v>
      </c>
      <c r="J65" s="134" t="s">
        <v>142</v>
      </c>
      <c r="K65" s="134" t="s">
        <v>142</v>
      </c>
      <c r="L65" s="134" t="s">
        <v>142</v>
      </c>
      <c r="M65" s="136"/>
      <c r="N65" s="137"/>
    </row>
    <row r="66" hidden="1" outlineLevel="1">
      <c r="A66" s="113" t="s">
        <v>308</v>
      </c>
      <c r="B66" s="309">
        <v>46233.0</v>
      </c>
      <c r="C66" s="118" t="str">
        <f t="shared" si="7"/>
        <v>Thu</v>
      </c>
      <c r="D66" s="143">
        <f t="shared" si="8"/>
        <v>1</v>
      </c>
      <c r="E66" s="144" t="s">
        <v>142</v>
      </c>
      <c r="F66" s="134" t="s">
        <v>142</v>
      </c>
      <c r="G66" s="134" t="s">
        <v>142</v>
      </c>
      <c r="H66" s="134" t="s">
        <v>142</v>
      </c>
      <c r="I66" s="134" t="s">
        <v>142</v>
      </c>
      <c r="J66" s="134" t="s">
        <v>142</v>
      </c>
      <c r="K66" s="134" t="s">
        <v>142</v>
      </c>
      <c r="L66" s="134" t="s">
        <v>142</v>
      </c>
      <c r="M66" s="136"/>
      <c r="N66" s="131"/>
    </row>
    <row r="67" hidden="1" outlineLevel="1">
      <c r="A67" s="113" t="s">
        <v>309</v>
      </c>
      <c r="B67" s="309">
        <v>46233.0</v>
      </c>
      <c r="C67" s="118" t="str">
        <f t="shared" si="7"/>
        <v>Thu</v>
      </c>
      <c r="D67" s="128">
        <f t="shared" si="8"/>
        <v>1</v>
      </c>
      <c r="E67" s="131" t="s">
        <v>142</v>
      </c>
      <c r="F67" s="134" t="s">
        <v>142</v>
      </c>
      <c r="G67" s="134" t="s">
        <v>142</v>
      </c>
      <c r="H67" s="134" t="s">
        <v>142</v>
      </c>
      <c r="I67" s="134" t="s">
        <v>142</v>
      </c>
      <c r="J67" s="134" t="s">
        <v>142</v>
      </c>
      <c r="K67" s="134" t="s">
        <v>142</v>
      </c>
      <c r="L67" s="134" t="s">
        <v>142</v>
      </c>
      <c r="M67" s="136"/>
      <c r="N67" s="131"/>
    </row>
    <row r="68" hidden="1" outlineLevel="1">
      <c r="A68" s="113" t="s">
        <v>310</v>
      </c>
      <c r="B68" s="309">
        <v>46233.0</v>
      </c>
      <c r="C68" s="118" t="str">
        <f t="shared" si="7"/>
        <v>Thu</v>
      </c>
      <c r="D68" s="143">
        <f t="shared" si="8"/>
        <v>1</v>
      </c>
      <c r="E68" s="144" t="s">
        <v>142</v>
      </c>
      <c r="F68" s="134" t="s">
        <v>142</v>
      </c>
      <c r="G68" s="134" t="s">
        <v>142</v>
      </c>
      <c r="H68" s="134" t="s">
        <v>142</v>
      </c>
      <c r="I68" s="134" t="s">
        <v>142</v>
      </c>
      <c r="J68" s="134" t="s">
        <v>142</v>
      </c>
      <c r="K68" s="134" t="s">
        <v>142</v>
      </c>
      <c r="L68" s="134" t="s">
        <v>142</v>
      </c>
      <c r="M68" s="136"/>
      <c r="N68" s="131"/>
    </row>
    <row r="69" hidden="1" outlineLevel="1">
      <c r="A69" s="113" t="s">
        <v>311</v>
      </c>
      <c r="B69" s="309">
        <v>46234.0</v>
      </c>
      <c r="C69" s="118" t="str">
        <f t="shared" si="7"/>
        <v>Fri</v>
      </c>
      <c r="D69" s="128">
        <f t="shared" si="8"/>
        <v>1</v>
      </c>
      <c r="E69" s="131" t="s">
        <v>142</v>
      </c>
      <c r="F69" s="134" t="s">
        <v>142</v>
      </c>
      <c r="G69" s="134" t="s">
        <v>142</v>
      </c>
      <c r="H69" s="134" t="s">
        <v>142</v>
      </c>
      <c r="I69" s="134" t="s">
        <v>142</v>
      </c>
      <c r="J69" s="134" t="s">
        <v>142</v>
      </c>
      <c r="K69" s="134" t="s">
        <v>142</v>
      </c>
      <c r="L69" s="134" t="s">
        <v>142</v>
      </c>
      <c r="M69" s="136"/>
      <c r="N69" s="137"/>
    </row>
    <row r="70" hidden="1" outlineLevel="1">
      <c r="A70" s="113" t="s">
        <v>312</v>
      </c>
      <c r="B70" s="309">
        <v>46234.0</v>
      </c>
      <c r="C70" s="118" t="str">
        <f t="shared" si="7"/>
        <v>Fri</v>
      </c>
      <c r="D70" s="143">
        <f t="shared" si="8"/>
        <v>1</v>
      </c>
      <c r="E70" s="144" t="s">
        <v>142</v>
      </c>
      <c r="F70" s="134" t="s">
        <v>142</v>
      </c>
      <c r="G70" s="134" t="s">
        <v>142</v>
      </c>
      <c r="H70" s="134" t="s">
        <v>142</v>
      </c>
      <c r="I70" s="134" t="s">
        <v>142</v>
      </c>
      <c r="J70" s="134" t="s">
        <v>142</v>
      </c>
      <c r="K70" s="134" t="s">
        <v>142</v>
      </c>
      <c r="L70" s="134" t="s">
        <v>142</v>
      </c>
      <c r="M70" s="136"/>
      <c r="N70" s="137"/>
    </row>
    <row r="71" ht="15.0" hidden="1" customHeight="1" outlineLevel="1">
      <c r="A71" s="113" t="s">
        <v>314</v>
      </c>
      <c r="B71" s="309">
        <v>46234.0</v>
      </c>
      <c r="C71" s="118" t="str">
        <f t="shared" si="7"/>
        <v>Fri</v>
      </c>
      <c r="D71" s="128">
        <f t="shared" si="8"/>
        <v>1</v>
      </c>
      <c r="E71" s="131" t="s">
        <v>142</v>
      </c>
      <c r="F71" s="134" t="s">
        <v>142</v>
      </c>
      <c r="G71" s="134" t="s">
        <v>142</v>
      </c>
      <c r="H71" s="134" t="s">
        <v>142</v>
      </c>
      <c r="I71" s="134" t="s">
        <v>142</v>
      </c>
      <c r="J71" s="134" t="s">
        <v>142</v>
      </c>
      <c r="K71" s="134" t="s">
        <v>142</v>
      </c>
      <c r="L71" s="134" t="s">
        <v>142</v>
      </c>
      <c r="M71" s="136"/>
      <c r="N71" s="131"/>
    </row>
    <row r="72" hidden="1" outlineLevel="1">
      <c r="B72" s="215"/>
      <c r="C72" s="216" t="s">
        <v>199</v>
      </c>
      <c r="D72" s="217">
        <f>AVERAGE(D57:D71)</f>
        <v>1</v>
      </c>
      <c r="E72" s="218"/>
      <c r="L72" s="216" t="s">
        <v>199</v>
      </c>
      <c r="M72" s="217">
        <f>SUM(M57:M71)/75*0.1</f>
        <v>0</v>
      </c>
    </row>
    <row r="73" hidden="1" collapsed="1">
      <c r="A73" s="85" t="s">
        <v>315</v>
      </c>
      <c r="B73" s="86"/>
      <c r="C73" s="86"/>
      <c r="D73" s="88"/>
      <c r="E73" s="89"/>
      <c r="F73" s="89"/>
      <c r="G73" s="91"/>
      <c r="H73" s="91"/>
      <c r="I73" s="91"/>
      <c r="J73" s="91"/>
      <c r="K73" s="91"/>
      <c r="L73" s="91"/>
      <c r="M73" s="93"/>
      <c r="N73" s="95"/>
    </row>
    <row r="74" hidden="1" outlineLevel="1">
      <c r="A74" s="96" t="s">
        <v>89</v>
      </c>
      <c r="B74" s="98" t="s">
        <v>90</v>
      </c>
      <c r="C74" s="98" t="s">
        <v>91</v>
      </c>
      <c r="D74" s="101" t="s">
        <v>93</v>
      </c>
      <c r="E74" s="102" t="s">
        <v>94</v>
      </c>
      <c r="F74" s="102" t="s">
        <v>95</v>
      </c>
      <c r="G74" s="105" t="s">
        <v>96</v>
      </c>
      <c r="H74" s="107" t="s">
        <v>97</v>
      </c>
      <c r="I74" s="107" t="s">
        <v>104</v>
      </c>
      <c r="J74" s="105" t="s">
        <v>106</v>
      </c>
      <c r="K74" s="107" t="s">
        <v>109</v>
      </c>
      <c r="L74" s="105" t="s">
        <v>111</v>
      </c>
      <c r="M74" s="98" t="s">
        <v>114</v>
      </c>
      <c r="N74" s="101" t="s">
        <v>116</v>
      </c>
    </row>
    <row r="75" hidden="1" outlineLevel="1">
      <c r="A75" s="113" t="s">
        <v>316</v>
      </c>
      <c r="B75" s="309">
        <v>46237.0</v>
      </c>
      <c r="C75" s="118" t="str">
        <f t="shared" ref="C75:C89" si="9">IF(B75="", "", TEXT(B75, "ddd"))</f>
        <v>Mon</v>
      </c>
      <c r="D75" s="128">
        <f t="shared" ref="D75:D89" si="10">IF(E75="Yes",0.05,0)
+IF(F75="Yes",0.1,0)
+IF(G75="Yes",0.15,0)
+IF(H75="Yes",0.15,0)
+IF(I75="Yes",0.05,0)
+IF(J75="Yes",0.05,0)
+IF(K75="Yes",0.15,0)
+IF(L75="Yes",0.3,0)
</f>
        <v>1</v>
      </c>
      <c r="E75" s="131" t="s">
        <v>142</v>
      </c>
      <c r="F75" s="134" t="s">
        <v>142</v>
      </c>
      <c r="G75" s="134" t="s">
        <v>142</v>
      </c>
      <c r="H75" s="134" t="s">
        <v>142</v>
      </c>
      <c r="I75" s="134" t="s">
        <v>142</v>
      </c>
      <c r="J75" s="134" t="s">
        <v>142</v>
      </c>
      <c r="K75" s="134" t="s">
        <v>142</v>
      </c>
      <c r="L75" s="134" t="s">
        <v>142</v>
      </c>
      <c r="M75" s="136"/>
      <c r="N75" s="137"/>
    </row>
    <row r="76" hidden="1" outlineLevel="1">
      <c r="A76" s="113" t="s">
        <v>317</v>
      </c>
      <c r="B76" s="309">
        <v>46237.0</v>
      </c>
      <c r="C76" s="118" t="str">
        <f t="shared" si="9"/>
        <v>Mon</v>
      </c>
      <c r="D76" s="143">
        <f t="shared" si="10"/>
        <v>1</v>
      </c>
      <c r="E76" s="144" t="s">
        <v>142</v>
      </c>
      <c r="F76" s="134" t="s">
        <v>142</v>
      </c>
      <c r="G76" s="134" t="s">
        <v>142</v>
      </c>
      <c r="H76" s="134" t="s">
        <v>142</v>
      </c>
      <c r="I76" s="134" t="s">
        <v>142</v>
      </c>
      <c r="J76" s="134" t="s">
        <v>142</v>
      </c>
      <c r="K76" s="134" t="s">
        <v>142</v>
      </c>
      <c r="L76" s="134" t="s">
        <v>142</v>
      </c>
      <c r="M76" s="136"/>
      <c r="N76" s="131"/>
    </row>
    <row r="77" hidden="1" outlineLevel="1">
      <c r="A77" s="113" t="s">
        <v>318</v>
      </c>
      <c r="B77" s="309">
        <v>46237.0</v>
      </c>
      <c r="C77" s="118" t="str">
        <f t="shared" si="9"/>
        <v>Mon</v>
      </c>
      <c r="D77" s="128">
        <f t="shared" si="10"/>
        <v>1</v>
      </c>
      <c r="E77" s="131" t="s">
        <v>142</v>
      </c>
      <c r="F77" s="134" t="s">
        <v>142</v>
      </c>
      <c r="G77" s="134" t="s">
        <v>142</v>
      </c>
      <c r="H77" s="134" t="s">
        <v>142</v>
      </c>
      <c r="I77" s="134" t="s">
        <v>142</v>
      </c>
      <c r="J77" s="134" t="s">
        <v>142</v>
      </c>
      <c r="K77" s="134" t="s">
        <v>142</v>
      </c>
      <c r="L77" s="134" t="s">
        <v>142</v>
      </c>
      <c r="M77" s="136"/>
      <c r="N77" s="131"/>
    </row>
    <row r="78" hidden="1" outlineLevel="1">
      <c r="A78" s="113" t="s">
        <v>319</v>
      </c>
      <c r="B78" s="309">
        <v>46238.0</v>
      </c>
      <c r="C78" s="118" t="str">
        <f t="shared" si="9"/>
        <v>Tue</v>
      </c>
      <c r="D78" s="143">
        <f t="shared" si="10"/>
        <v>1</v>
      </c>
      <c r="E78" s="144" t="s">
        <v>142</v>
      </c>
      <c r="F78" s="134" t="s">
        <v>142</v>
      </c>
      <c r="G78" s="134" t="s">
        <v>142</v>
      </c>
      <c r="H78" s="134" t="s">
        <v>142</v>
      </c>
      <c r="I78" s="134" t="s">
        <v>142</v>
      </c>
      <c r="J78" s="134" t="s">
        <v>142</v>
      </c>
      <c r="K78" s="134" t="s">
        <v>142</v>
      </c>
      <c r="L78" s="134" t="s">
        <v>142</v>
      </c>
      <c r="M78" s="136"/>
      <c r="N78" s="131"/>
    </row>
    <row r="79" hidden="1" outlineLevel="1">
      <c r="A79" s="113" t="s">
        <v>320</v>
      </c>
      <c r="B79" s="309">
        <v>46238.0</v>
      </c>
      <c r="C79" s="118" t="str">
        <f t="shared" si="9"/>
        <v>Tue</v>
      </c>
      <c r="D79" s="128">
        <f t="shared" si="10"/>
        <v>1</v>
      </c>
      <c r="E79" s="131" t="s">
        <v>142</v>
      </c>
      <c r="F79" s="134" t="s">
        <v>142</v>
      </c>
      <c r="G79" s="134" t="s">
        <v>142</v>
      </c>
      <c r="H79" s="134" t="s">
        <v>142</v>
      </c>
      <c r="I79" s="134" t="s">
        <v>142</v>
      </c>
      <c r="J79" s="134" t="s">
        <v>142</v>
      </c>
      <c r="K79" s="134" t="s">
        <v>142</v>
      </c>
      <c r="L79" s="134" t="s">
        <v>142</v>
      </c>
      <c r="M79" s="136"/>
      <c r="N79" s="131"/>
    </row>
    <row r="80" hidden="1" outlineLevel="1">
      <c r="A80" s="113" t="s">
        <v>321</v>
      </c>
      <c r="B80" s="309">
        <v>46238.0</v>
      </c>
      <c r="C80" s="118" t="str">
        <f t="shared" si="9"/>
        <v>Tue</v>
      </c>
      <c r="D80" s="143">
        <f t="shared" si="10"/>
        <v>1</v>
      </c>
      <c r="E80" s="144" t="s">
        <v>142</v>
      </c>
      <c r="F80" s="134" t="s">
        <v>142</v>
      </c>
      <c r="G80" s="134" t="s">
        <v>142</v>
      </c>
      <c r="H80" s="134" t="s">
        <v>142</v>
      </c>
      <c r="I80" s="134" t="s">
        <v>142</v>
      </c>
      <c r="J80" s="134" t="s">
        <v>142</v>
      </c>
      <c r="K80" s="134" t="s">
        <v>142</v>
      </c>
      <c r="L80" s="134" t="s">
        <v>142</v>
      </c>
      <c r="M80" s="136"/>
      <c r="N80" s="131"/>
    </row>
    <row r="81" hidden="1" outlineLevel="1">
      <c r="A81" s="113" t="s">
        <v>324</v>
      </c>
      <c r="B81" s="270">
        <v>46239.0</v>
      </c>
      <c r="C81" s="118" t="str">
        <f t="shared" si="9"/>
        <v>Wed</v>
      </c>
      <c r="D81" s="128">
        <f t="shared" si="10"/>
        <v>1</v>
      </c>
      <c r="E81" s="131" t="s">
        <v>142</v>
      </c>
      <c r="F81" s="134" t="s">
        <v>142</v>
      </c>
      <c r="G81" s="134" t="s">
        <v>142</v>
      </c>
      <c r="H81" s="134" t="s">
        <v>142</v>
      </c>
      <c r="I81" s="134" t="s">
        <v>142</v>
      </c>
      <c r="J81" s="134" t="s">
        <v>142</v>
      </c>
      <c r="K81" s="134" t="s">
        <v>142</v>
      </c>
      <c r="L81" s="134" t="s">
        <v>142</v>
      </c>
      <c r="M81" s="136"/>
      <c r="N81" s="137"/>
    </row>
    <row r="82" hidden="1" outlineLevel="1">
      <c r="A82" s="113" t="s">
        <v>335</v>
      </c>
      <c r="B82" s="270">
        <v>46239.0</v>
      </c>
      <c r="C82" s="118" t="str">
        <f t="shared" si="9"/>
        <v>Wed</v>
      </c>
      <c r="D82" s="143">
        <f t="shared" si="10"/>
        <v>1</v>
      </c>
      <c r="E82" s="144" t="s">
        <v>142</v>
      </c>
      <c r="F82" s="134" t="s">
        <v>142</v>
      </c>
      <c r="G82" s="134" t="s">
        <v>142</v>
      </c>
      <c r="H82" s="134" t="s">
        <v>142</v>
      </c>
      <c r="I82" s="134" t="s">
        <v>142</v>
      </c>
      <c r="J82" s="134" t="s">
        <v>142</v>
      </c>
      <c r="K82" s="134" t="s">
        <v>142</v>
      </c>
      <c r="L82" s="134" t="s">
        <v>142</v>
      </c>
      <c r="M82" s="136"/>
      <c r="N82" s="131"/>
    </row>
    <row r="83" hidden="1" outlineLevel="1">
      <c r="A83" s="113" t="s">
        <v>336</v>
      </c>
      <c r="B83" s="270">
        <v>46239.0</v>
      </c>
      <c r="C83" s="118" t="str">
        <f t="shared" si="9"/>
        <v>Wed</v>
      </c>
      <c r="D83" s="128">
        <f t="shared" si="10"/>
        <v>1</v>
      </c>
      <c r="E83" s="131" t="s">
        <v>142</v>
      </c>
      <c r="F83" s="134" t="s">
        <v>142</v>
      </c>
      <c r="G83" s="134" t="s">
        <v>142</v>
      </c>
      <c r="H83" s="134" t="s">
        <v>142</v>
      </c>
      <c r="I83" s="134" t="s">
        <v>142</v>
      </c>
      <c r="J83" s="134" t="s">
        <v>142</v>
      </c>
      <c r="K83" s="134" t="s">
        <v>142</v>
      </c>
      <c r="L83" s="134" t="s">
        <v>142</v>
      </c>
      <c r="M83" s="136"/>
      <c r="N83" s="131"/>
    </row>
    <row r="84" hidden="1" outlineLevel="1">
      <c r="A84" s="113" t="s">
        <v>339</v>
      </c>
      <c r="B84" s="270">
        <v>46240.0</v>
      </c>
      <c r="C84" s="118" t="str">
        <f t="shared" si="9"/>
        <v>Thu</v>
      </c>
      <c r="D84" s="143">
        <f t="shared" si="10"/>
        <v>1</v>
      </c>
      <c r="E84" s="144" t="s">
        <v>142</v>
      </c>
      <c r="F84" s="134" t="s">
        <v>142</v>
      </c>
      <c r="G84" s="134" t="s">
        <v>142</v>
      </c>
      <c r="H84" s="134" t="s">
        <v>142</v>
      </c>
      <c r="I84" s="134" t="s">
        <v>142</v>
      </c>
      <c r="J84" s="134" t="s">
        <v>142</v>
      </c>
      <c r="K84" s="134" t="s">
        <v>142</v>
      </c>
      <c r="L84" s="134" t="s">
        <v>142</v>
      </c>
      <c r="M84" s="136"/>
      <c r="N84" s="131"/>
    </row>
    <row r="85" hidden="1" outlineLevel="1">
      <c r="A85" s="113" t="s">
        <v>340</v>
      </c>
      <c r="B85" s="270">
        <v>46240.0</v>
      </c>
      <c r="C85" s="118" t="str">
        <f t="shared" si="9"/>
        <v>Thu</v>
      </c>
      <c r="D85" s="128">
        <f t="shared" si="10"/>
        <v>1</v>
      </c>
      <c r="E85" s="131" t="s">
        <v>142</v>
      </c>
      <c r="F85" s="134" t="s">
        <v>142</v>
      </c>
      <c r="G85" s="134" t="s">
        <v>142</v>
      </c>
      <c r="H85" s="134" t="s">
        <v>142</v>
      </c>
      <c r="I85" s="134" t="s">
        <v>142</v>
      </c>
      <c r="J85" s="134" t="s">
        <v>142</v>
      </c>
      <c r="K85" s="134" t="s">
        <v>142</v>
      </c>
      <c r="L85" s="134" t="s">
        <v>142</v>
      </c>
      <c r="M85" s="136"/>
      <c r="N85" s="131"/>
    </row>
    <row r="86" hidden="1" outlineLevel="1">
      <c r="A86" s="113" t="s">
        <v>341</v>
      </c>
      <c r="B86" s="270">
        <v>46240.0</v>
      </c>
      <c r="C86" s="118" t="str">
        <f t="shared" si="9"/>
        <v>Thu</v>
      </c>
      <c r="D86" s="143">
        <f t="shared" si="10"/>
        <v>1</v>
      </c>
      <c r="E86" s="144" t="s">
        <v>142</v>
      </c>
      <c r="F86" s="134" t="s">
        <v>142</v>
      </c>
      <c r="G86" s="134" t="s">
        <v>142</v>
      </c>
      <c r="H86" s="134" t="s">
        <v>142</v>
      </c>
      <c r="I86" s="134" t="s">
        <v>142</v>
      </c>
      <c r="J86" s="134" t="s">
        <v>142</v>
      </c>
      <c r="K86" s="134" t="s">
        <v>142</v>
      </c>
      <c r="L86" s="134" t="s">
        <v>142</v>
      </c>
      <c r="M86" s="136"/>
      <c r="N86" s="131"/>
    </row>
    <row r="87" hidden="1" outlineLevel="1">
      <c r="A87" s="113" t="s">
        <v>342</v>
      </c>
      <c r="B87" s="270">
        <v>46241.0</v>
      </c>
      <c r="C87" s="118" t="str">
        <f t="shared" si="9"/>
        <v>Fri</v>
      </c>
      <c r="D87" s="128">
        <f t="shared" si="10"/>
        <v>1</v>
      </c>
      <c r="E87" s="131" t="s">
        <v>142</v>
      </c>
      <c r="F87" s="134" t="s">
        <v>142</v>
      </c>
      <c r="G87" s="134" t="s">
        <v>142</v>
      </c>
      <c r="H87" s="134" t="s">
        <v>142</v>
      </c>
      <c r="I87" s="134" t="s">
        <v>142</v>
      </c>
      <c r="J87" s="134" t="s">
        <v>142</v>
      </c>
      <c r="K87" s="134" t="s">
        <v>142</v>
      </c>
      <c r="L87" s="134" t="s">
        <v>142</v>
      </c>
      <c r="M87" s="136"/>
      <c r="N87" s="131"/>
    </row>
    <row r="88" hidden="1" outlineLevel="1">
      <c r="A88" s="113" t="s">
        <v>343</v>
      </c>
      <c r="B88" s="270">
        <v>46241.0</v>
      </c>
      <c r="C88" s="118" t="str">
        <f t="shared" si="9"/>
        <v>Fri</v>
      </c>
      <c r="D88" s="143">
        <f t="shared" si="10"/>
        <v>1</v>
      </c>
      <c r="E88" s="144" t="s">
        <v>142</v>
      </c>
      <c r="F88" s="134" t="s">
        <v>142</v>
      </c>
      <c r="G88" s="134" t="s">
        <v>142</v>
      </c>
      <c r="H88" s="134" t="s">
        <v>142</v>
      </c>
      <c r="I88" s="134" t="s">
        <v>142</v>
      </c>
      <c r="J88" s="134" t="s">
        <v>142</v>
      </c>
      <c r="K88" s="134" t="s">
        <v>142</v>
      </c>
      <c r="L88" s="134" t="s">
        <v>142</v>
      </c>
      <c r="M88" s="136"/>
      <c r="N88" s="131"/>
    </row>
    <row r="89" ht="15.0" hidden="1" customHeight="1" outlineLevel="1">
      <c r="A89" s="113" t="s">
        <v>345</v>
      </c>
      <c r="B89" s="270">
        <v>46241.0</v>
      </c>
      <c r="C89" s="118" t="str">
        <f t="shared" si="9"/>
        <v>Fri</v>
      </c>
      <c r="D89" s="128">
        <f t="shared" si="10"/>
        <v>1</v>
      </c>
      <c r="E89" s="131" t="s">
        <v>142</v>
      </c>
      <c r="F89" s="134" t="s">
        <v>142</v>
      </c>
      <c r="G89" s="134" t="s">
        <v>142</v>
      </c>
      <c r="H89" s="134" t="s">
        <v>142</v>
      </c>
      <c r="I89" s="134" t="s">
        <v>142</v>
      </c>
      <c r="J89" s="134" t="s">
        <v>142</v>
      </c>
      <c r="K89" s="134" t="s">
        <v>142</v>
      </c>
      <c r="L89" s="134" t="s">
        <v>142</v>
      </c>
      <c r="M89" s="136"/>
      <c r="N89" s="131"/>
    </row>
    <row r="90" hidden="1" outlineLevel="1">
      <c r="B90" s="215"/>
      <c r="C90" s="216" t="s">
        <v>199</v>
      </c>
      <c r="D90" s="217">
        <f>AVERAGE(D75:D89)</f>
        <v>1</v>
      </c>
      <c r="E90" s="218"/>
      <c r="L90" s="216" t="s">
        <v>199</v>
      </c>
      <c r="M90" s="217">
        <f>SUM(M75:M89)/75*0.1</f>
        <v>0</v>
      </c>
    </row>
    <row r="91" hidden="1" collapsed="1">
      <c r="A91" s="85" t="s">
        <v>347</v>
      </c>
      <c r="B91" s="86"/>
      <c r="C91" s="86"/>
      <c r="D91" s="88"/>
      <c r="E91" s="89"/>
      <c r="F91" s="89"/>
      <c r="G91" s="91"/>
      <c r="H91" s="91"/>
      <c r="I91" s="91"/>
      <c r="J91" s="91"/>
      <c r="K91" s="91"/>
      <c r="L91" s="91"/>
      <c r="M91" s="93"/>
      <c r="N91" s="95"/>
    </row>
    <row r="92" hidden="1" outlineLevel="1">
      <c r="A92" s="96" t="s">
        <v>89</v>
      </c>
      <c r="B92" s="98" t="s">
        <v>90</v>
      </c>
      <c r="C92" s="98" t="s">
        <v>91</v>
      </c>
      <c r="D92" s="101" t="s">
        <v>93</v>
      </c>
      <c r="E92" s="102" t="s">
        <v>94</v>
      </c>
      <c r="F92" s="102" t="s">
        <v>95</v>
      </c>
      <c r="G92" s="105" t="s">
        <v>96</v>
      </c>
      <c r="H92" s="107" t="s">
        <v>97</v>
      </c>
      <c r="I92" s="107" t="s">
        <v>104</v>
      </c>
      <c r="J92" s="105" t="s">
        <v>106</v>
      </c>
      <c r="K92" s="107" t="s">
        <v>109</v>
      </c>
      <c r="L92" s="105" t="s">
        <v>111</v>
      </c>
      <c r="M92" s="98" t="s">
        <v>114</v>
      </c>
      <c r="N92" s="101" t="s">
        <v>116</v>
      </c>
    </row>
    <row r="93" hidden="1" outlineLevel="1">
      <c r="A93" s="113" t="s">
        <v>348</v>
      </c>
      <c r="B93" s="309">
        <v>46244.0</v>
      </c>
      <c r="C93" s="118" t="str">
        <f t="shared" ref="C93:C107" si="11">IF(B93="", "", TEXT(B93, "ddd"))</f>
        <v>Mon</v>
      </c>
      <c r="D93" s="128">
        <f t="shared" ref="D93:D107" si="12">IF(E93="Yes",0.05,0)
+IF(F93="Yes",0.1,0)
+IF(G93="Yes",0.15,0)
+IF(H93="Yes",0.15,0)
+IF(I93="Yes",0.05,0)
+IF(J93="Yes",0.05,0)
+IF(K93="Yes",0.15,0)
+IF(L93="Yes",0.3,0)
</f>
        <v>1</v>
      </c>
      <c r="E93" s="131" t="s">
        <v>142</v>
      </c>
      <c r="F93" s="134" t="s">
        <v>142</v>
      </c>
      <c r="G93" s="134" t="s">
        <v>142</v>
      </c>
      <c r="H93" s="134" t="s">
        <v>142</v>
      </c>
      <c r="I93" s="134" t="s">
        <v>142</v>
      </c>
      <c r="J93" s="134" t="s">
        <v>142</v>
      </c>
      <c r="K93" s="134" t="s">
        <v>142</v>
      </c>
      <c r="L93" s="134" t="s">
        <v>142</v>
      </c>
      <c r="M93" s="136"/>
      <c r="N93" s="137"/>
    </row>
    <row r="94" hidden="1" outlineLevel="1">
      <c r="A94" s="113" t="s">
        <v>352</v>
      </c>
      <c r="B94" s="309">
        <v>46244.0</v>
      </c>
      <c r="C94" s="118" t="str">
        <f t="shared" si="11"/>
        <v>Mon</v>
      </c>
      <c r="D94" s="143">
        <f t="shared" si="12"/>
        <v>1</v>
      </c>
      <c r="E94" s="144" t="s">
        <v>142</v>
      </c>
      <c r="F94" s="134" t="s">
        <v>142</v>
      </c>
      <c r="G94" s="134" t="s">
        <v>142</v>
      </c>
      <c r="H94" s="134" t="s">
        <v>142</v>
      </c>
      <c r="I94" s="134" t="s">
        <v>142</v>
      </c>
      <c r="J94" s="134" t="s">
        <v>142</v>
      </c>
      <c r="K94" s="134" t="s">
        <v>142</v>
      </c>
      <c r="L94" s="134" t="s">
        <v>142</v>
      </c>
      <c r="M94" s="136"/>
      <c r="N94" s="131"/>
    </row>
    <row r="95" hidden="1" outlineLevel="1">
      <c r="A95" s="113" t="s">
        <v>353</v>
      </c>
      <c r="B95" s="309">
        <v>46244.0</v>
      </c>
      <c r="C95" s="118" t="str">
        <f t="shared" si="11"/>
        <v>Mon</v>
      </c>
      <c r="D95" s="128">
        <f t="shared" si="12"/>
        <v>1</v>
      </c>
      <c r="E95" s="131" t="s">
        <v>142</v>
      </c>
      <c r="F95" s="134" t="s">
        <v>142</v>
      </c>
      <c r="G95" s="134" t="s">
        <v>142</v>
      </c>
      <c r="H95" s="134" t="s">
        <v>142</v>
      </c>
      <c r="I95" s="134" t="s">
        <v>142</v>
      </c>
      <c r="J95" s="134" t="s">
        <v>142</v>
      </c>
      <c r="K95" s="134" t="s">
        <v>142</v>
      </c>
      <c r="L95" s="134" t="s">
        <v>142</v>
      </c>
      <c r="M95" s="136"/>
      <c r="N95" s="131"/>
    </row>
    <row r="96" hidden="1" outlineLevel="1">
      <c r="A96" s="113" t="s">
        <v>354</v>
      </c>
      <c r="B96" s="309">
        <v>46245.0</v>
      </c>
      <c r="C96" s="118" t="str">
        <f t="shared" si="11"/>
        <v>Tue</v>
      </c>
      <c r="D96" s="143">
        <f t="shared" si="12"/>
        <v>1</v>
      </c>
      <c r="E96" s="144" t="s">
        <v>142</v>
      </c>
      <c r="F96" s="134" t="s">
        <v>142</v>
      </c>
      <c r="G96" s="134" t="s">
        <v>142</v>
      </c>
      <c r="H96" s="134" t="s">
        <v>142</v>
      </c>
      <c r="I96" s="134" t="s">
        <v>142</v>
      </c>
      <c r="J96" s="134" t="s">
        <v>142</v>
      </c>
      <c r="K96" s="134" t="s">
        <v>142</v>
      </c>
      <c r="L96" s="134" t="s">
        <v>142</v>
      </c>
      <c r="M96" s="136"/>
      <c r="N96" s="131"/>
    </row>
    <row r="97" hidden="1" outlineLevel="1">
      <c r="A97" s="113" t="s">
        <v>355</v>
      </c>
      <c r="B97" s="309">
        <v>46245.0</v>
      </c>
      <c r="C97" s="118" t="str">
        <f t="shared" si="11"/>
        <v>Tue</v>
      </c>
      <c r="D97" s="128">
        <f t="shared" si="12"/>
        <v>1</v>
      </c>
      <c r="E97" s="131" t="s">
        <v>142</v>
      </c>
      <c r="F97" s="134" t="s">
        <v>142</v>
      </c>
      <c r="G97" s="134" t="s">
        <v>142</v>
      </c>
      <c r="H97" s="134" t="s">
        <v>142</v>
      </c>
      <c r="I97" s="134" t="s">
        <v>142</v>
      </c>
      <c r="J97" s="134" t="s">
        <v>142</v>
      </c>
      <c r="K97" s="134" t="s">
        <v>142</v>
      </c>
      <c r="L97" s="134" t="s">
        <v>142</v>
      </c>
      <c r="M97" s="136"/>
      <c r="N97" s="131"/>
    </row>
    <row r="98" hidden="1" outlineLevel="1">
      <c r="A98" s="113" t="s">
        <v>356</v>
      </c>
      <c r="B98" s="309">
        <v>46245.0</v>
      </c>
      <c r="C98" s="118" t="str">
        <f t="shared" si="11"/>
        <v>Tue</v>
      </c>
      <c r="D98" s="143">
        <f t="shared" si="12"/>
        <v>1</v>
      </c>
      <c r="E98" s="144" t="s">
        <v>142</v>
      </c>
      <c r="F98" s="134" t="s">
        <v>142</v>
      </c>
      <c r="G98" s="134" t="s">
        <v>142</v>
      </c>
      <c r="H98" s="134" t="s">
        <v>142</v>
      </c>
      <c r="I98" s="134" t="s">
        <v>142</v>
      </c>
      <c r="J98" s="134" t="s">
        <v>142</v>
      </c>
      <c r="K98" s="134" t="s">
        <v>142</v>
      </c>
      <c r="L98" s="134" t="s">
        <v>142</v>
      </c>
      <c r="M98" s="136"/>
      <c r="N98" s="131"/>
    </row>
    <row r="99" hidden="1" outlineLevel="1">
      <c r="A99" s="308" t="s">
        <v>357</v>
      </c>
      <c r="B99" s="309">
        <v>46246.0</v>
      </c>
      <c r="C99" s="118" t="str">
        <f t="shared" si="11"/>
        <v>Wed</v>
      </c>
      <c r="D99" s="128">
        <f t="shared" si="12"/>
        <v>1</v>
      </c>
      <c r="E99" s="131" t="s">
        <v>142</v>
      </c>
      <c r="F99" s="134" t="s">
        <v>142</v>
      </c>
      <c r="G99" s="134" t="s">
        <v>142</v>
      </c>
      <c r="H99" s="134" t="s">
        <v>142</v>
      </c>
      <c r="I99" s="134" t="s">
        <v>142</v>
      </c>
      <c r="J99" s="134" t="s">
        <v>142</v>
      </c>
      <c r="K99" s="134" t="s">
        <v>142</v>
      </c>
      <c r="L99" s="134" t="s">
        <v>142</v>
      </c>
      <c r="M99" s="136"/>
      <c r="N99" s="131"/>
    </row>
    <row r="100" hidden="1" outlineLevel="1">
      <c r="A100" s="113" t="s">
        <v>358</v>
      </c>
      <c r="B100" s="309">
        <v>46246.0</v>
      </c>
      <c r="C100" s="118" t="str">
        <f t="shared" si="11"/>
        <v>Wed</v>
      </c>
      <c r="D100" s="143">
        <f t="shared" si="12"/>
        <v>1</v>
      </c>
      <c r="E100" s="144" t="s">
        <v>142</v>
      </c>
      <c r="F100" s="134" t="s">
        <v>142</v>
      </c>
      <c r="G100" s="134" t="s">
        <v>142</v>
      </c>
      <c r="H100" s="134" t="s">
        <v>142</v>
      </c>
      <c r="I100" s="134" t="s">
        <v>142</v>
      </c>
      <c r="J100" s="134" t="s">
        <v>142</v>
      </c>
      <c r="K100" s="134" t="s">
        <v>142</v>
      </c>
      <c r="L100" s="134" t="s">
        <v>142</v>
      </c>
      <c r="M100" s="136"/>
      <c r="N100" s="131"/>
    </row>
    <row r="101" hidden="1" outlineLevel="1">
      <c r="A101" s="113" t="s">
        <v>359</v>
      </c>
      <c r="B101" s="309">
        <v>46246.0</v>
      </c>
      <c r="C101" s="118" t="str">
        <f t="shared" si="11"/>
        <v>Wed</v>
      </c>
      <c r="D101" s="128">
        <f t="shared" si="12"/>
        <v>1</v>
      </c>
      <c r="E101" s="131" t="s">
        <v>142</v>
      </c>
      <c r="F101" s="134" t="s">
        <v>142</v>
      </c>
      <c r="G101" s="134" t="s">
        <v>142</v>
      </c>
      <c r="H101" s="134" t="s">
        <v>142</v>
      </c>
      <c r="I101" s="134" t="s">
        <v>142</v>
      </c>
      <c r="J101" s="134" t="s">
        <v>142</v>
      </c>
      <c r="K101" s="134" t="s">
        <v>142</v>
      </c>
      <c r="L101" s="134" t="s">
        <v>142</v>
      </c>
      <c r="M101" s="136"/>
      <c r="N101" s="131"/>
    </row>
    <row r="102" hidden="1" outlineLevel="1">
      <c r="A102" s="113" t="s">
        <v>360</v>
      </c>
      <c r="B102" s="309">
        <v>46247.0</v>
      </c>
      <c r="C102" s="118" t="str">
        <f t="shared" si="11"/>
        <v>Thu</v>
      </c>
      <c r="D102" s="143">
        <f t="shared" si="12"/>
        <v>1</v>
      </c>
      <c r="E102" s="144" t="s">
        <v>142</v>
      </c>
      <c r="F102" s="134" t="s">
        <v>142</v>
      </c>
      <c r="G102" s="134" t="s">
        <v>142</v>
      </c>
      <c r="H102" s="134" t="s">
        <v>142</v>
      </c>
      <c r="I102" s="134" t="s">
        <v>142</v>
      </c>
      <c r="J102" s="134" t="s">
        <v>142</v>
      </c>
      <c r="K102" s="134" t="s">
        <v>142</v>
      </c>
      <c r="L102" s="134" t="s">
        <v>142</v>
      </c>
      <c r="M102" s="136"/>
      <c r="N102" s="131"/>
    </row>
    <row r="103" hidden="1" outlineLevel="1">
      <c r="A103" s="113" t="s">
        <v>361</v>
      </c>
      <c r="B103" s="309">
        <v>46247.0</v>
      </c>
      <c r="C103" s="118" t="str">
        <f t="shared" si="11"/>
        <v>Thu</v>
      </c>
      <c r="D103" s="128">
        <f t="shared" si="12"/>
        <v>1</v>
      </c>
      <c r="E103" s="131" t="s">
        <v>142</v>
      </c>
      <c r="F103" s="134" t="s">
        <v>142</v>
      </c>
      <c r="G103" s="134" t="s">
        <v>142</v>
      </c>
      <c r="H103" s="134" t="s">
        <v>142</v>
      </c>
      <c r="I103" s="134" t="s">
        <v>142</v>
      </c>
      <c r="J103" s="134" t="s">
        <v>142</v>
      </c>
      <c r="K103" s="134" t="s">
        <v>142</v>
      </c>
      <c r="L103" s="134" t="s">
        <v>142</v>
      </c>
      <c r="M103" s="136"/>
      <c r="N103" s="131"/>
    </row>
    <row r="104" hidden="1" outlineLevel="1">
      <c r="A104" s="113" t="s">
        <v>362</v>
      </c>
      <c r="B104" s="309">
        <v>46247.0</v>
      </c>
      <c r="C104" s="118" t="str">
        <f t="shared" si="11"/>
        <v>Thu</v>
      </c>
      <c r="D104" s="143">
        <f t="shared" si="12"/>
        <v>1</v>
      </c>
      <c r="E104" s="144" t="s">
        <v>142</v>
      </c>
      <c r="F104" s="134" t="s">
        <v>142</v>
      </c>
      <c r="G104" s="134" t="s">
        <v>142</v>
      </c>
      <c r="H104" s="134" t="s">
        <v>142</v>
      </c>
      <c r="I104" s="134" t="s">
        <v>142</v>
      </c>
      <c r="J104" s="134" t="s">
        <v>142</v>
      </c>
      <c r="K104" s="134" t="s">
        <v>142</v>
      </c>
      <c r="L104" s="134" t="s">
        <v>142</v>
      </c>
      <c r="M104" s="136"/>
      <c r="N104" s="131"/>
    </row>
    <row r="105" hidden="1" outlineLevel="1">
      <c r="A105" s="113" t="s">
        <v>363</v>
      </c>
      <c r="B105" s="309">
        <v>46248.0</v>
      </c>
      <c r="C105" s="118" t="str">
        <f t="shared" si="11"/>
        <v>Fri</v>
      </c>
      <c r="D105" s="128">
        <f t="shared" si="12"/>
        <v>1</v>
      </c>
      <c r="E105" s="131" t="s">
        <v>142</v>
      </c>
      <c r="F105" s="134" t="s">
        <v>142</v>
      </c>
      <c r="G105" s="134" t="s">
        <v>142</v>
      </c>
      <c r="H105" s="134" t="s">
        <v>142</v>
      </c>
      <c r="I105" s="134" t="s">
        <v>142</v>
      </c>
      <c r="J105" s="134" t="s">
        <v>142</v>
      </c>
      <c r="K105" s="134" t="s">
        <v>142</v>
      </c>
      <c r="L105" s="134" t="s">
        <v>142</v>
      </c>
      <c r="M105" s="136"/>
      <c r="N105" s="131"/>
    </row>
    <row r="106" hidden="1" outlineLevel="1">
      <c r="A106" s="113" t="s">
        <v>364</v>
      </c>
      <c r="B106" s="309">
        <v>46248.0</v>
      </c>
      <c r="C106" s="118" t="str">
        <f t="shared" si="11"/>
        <v>Fri</v>
      </c>
      <c r="D106" s="143">
        <f t="shared" si="12"/>
        <v>1</v>
      </c>
      <c r="E106" s="144" t="s">
        <v>142</v>
      </c>
      <c r="F106" s="134" t="s">
        <v>142</v>
      </c>
      <c r="G106" s="134" t="s">
        <v>142</v>
      </c>
      <c r="H106" s="134" t="s">
        <v>142</v>
      </c>
      <c r="I106" s="134" t="s">
        <v>142</v>
      </c>
      <c r="J106" s="134" t="s">
        <v>142</v>
      </c>
      <c r="K106" s="134" t="s">
        <v>142</v>
      </c>
      <c r="L106" s="134" t="s">
        <v>142</v>
      </c>
      <c r="M106" s="136"/>
      <c r="N106" s="131"/>
    </row>
    <row r="107" ht="15.0" hidden="1" customHeight="1" outlineLevel="1">
      <c r="A107" s="113" t="s">
        <v>365</v>
      </c>
      <c r="B107" s="309">
        <v>46248.0</v>
      </c>
      <c r="C107" s="118" t="str">
        <f t="shared" si="11"/>
        <v>Fri</v>
      </c>
      <c r="D107" s="128">
        <f t="shared" si="12"/>
        <v>1</v>
      </c>
      <c r="E107" s="131" t="s">
        <v>142</v>
      </c>
      <c r="F107" s="134" t="s">
        <v>142</v>
      </c>
      <c r="G107" s="134" t="s">
        <v>142</v>
      </c>
      <c r="H107" s="134" t="s">
        <v>142</v>
      </c>
      <c r="I107" s="134" t="s">
        <v>142</v>
      </c>
      <c r="J107" s="134" t="s">
        <v>142</v>
      </c>
      <c r="K107" s="134" t="s">
        <v>142</v>
      </c>
      <c r="L107" s="134" t="s">
        <v>142</v>
      </c>
      <c r="M107" s="136"/>
      <c r="N107" s="131"/>
    </row>
    <row r="108" hidden="1" outlineLevel="1">
      <c r="B108" s="215"/>
      <c r="C108" s="216" t="s">
        <v>199</v>
      </c>
      <c r="D108" s="217">
        <f>AVERAGE(D93:D107)</f>
        <v>1</v>
      </c>
      <c r="E108" s="218"/>
      <c r="L108" s="216" t="s">
        <v>199</v>
      </c>
      <c r="M108" s="217">
        <f>SUM(M93:M107)/75*0.1</f>
        <v>0</v>
      </c>
    </row>
    <row r="109" collapsed="1">
      <c r="A109" s="85" t="s">
        <v>368</v>
      </c>
      <c r="B109" s="86"/>
      <c r="C109" s="86"/>
      <c r="D109" s="88"/>
      <c r="E109" s="89"/>
      <c r="F109" s="89"/>
      <c r="G109" s="91"/>
      <c r="H109" s="91"/>
      <c r="I109" s="91"/>
      <c r="J109" s="91"/>
      <c r="K109" s="91"/>
      <c r="L109" s="91"/>
      <c r="M109" s="93"/>
      <c r="N109" s="95"/>
    </row>
    <row r="110" hidden="1" outlineLevel="1">
      <c r="A110" s="96" t="s">
        <v>89</v>
      </c>
      <c r="B110" s="98" t="s">
        <v>90</v>
      </c>
      <c r="C110" s="98" t="s">
        <v>91</v>
      </c>
      <c r="D110" s="101" t="s">
        <v>93</v>
      </c>
      <c r="E110" s="102" t="s">
        <v>94</v>
      </c>
      <c r="F110" s="102" t="s">
        <v>95</v>
      </c>
      <c r="G110" s="105" t="s">
        <v>96</v>
      </c>
      <c r="H110" s="107" t="s">
        <v>97</v>
      </c>
      <c r="I110" s="107" t="s">
        <v>104</v>
      </c>
      <c r="J110" s="105" t="s">
        <v>106</v>
      </c>
      <c r="K110" s="107" t="s">
        <v>109</v>
      </c>
      <c r="L110" s="105" t="s">
        <v>111</v>
      </c>
      <c r="M110" s="98" t="s">
        <v>114</v>
      </c>
      <c r="N110" s="101" t="s">
        <v>116</v>
      </c>
    </row>
    <row r="111" hidden="1" outlineLevel="1">
      <c r="A111" s="113" t="s">
        <v>369</v>
      </c>
      <c r="B111" s="309">
        <v>46251.0</v>
      </c>
      <c r="C111" s="118" t="str">
        <f t="shared" ref="C111:C125" si="13">IF(B111="", "", TEXT(B111, "ddd"))</f>
        <v>Mon</v>
      </c>
      <c r="D111" s="128">
        <f t="shared" ref="D111:D125" si="14">IF(E111="Yes",0.05,0)
+IF(F111="Yes",0.1,0)
+IF(G111="Yes",0.15,0)
+IF(H111="Yes",0.15,0)
+IF(I111="Yes",0.05,0)
+IF(J111="Yes",0.05,0)
+IF(K111="Yes",0.15,0)
+IF(L111="Yes",0.3,0)
</f>
        <v>1</v>
      </c>
      <c r="E111" s="131" t="s">
        <v>142</v>
      </c>
      <c r="F111" s="134" t="s">
        <v>142</v>
      </c>
      <c r="G111" s="134" t="s">
        <v>142</v>
      </c>
      <c r="H111" s="134" t="s">
        <v>142</v>
      </c>
      <c r="I111" s="134" t="s">
        <v>142</v>
      </c>
      <c r="J111" s="134" t="s">
        <v>142</v>
      </c>
      <c r="K111" s="134" t="s">
        <v>142</v>
      </c>
      <c r="L111" s="134" t="s">
        <v>142</v>
      </c>
      <c r="M111" s="136"/>
      <c r="N111" s="137"/>
    </row>
    <row r="112" hidden="1" outlineLevel="1">
      <c r="A112" s="113" t="s">
        <v>377</v>
      </c>
      <c r="B112" s="309">
        <v>46251.0</v>
      </c>
      <c r="C112" s="118" t="str">
        <f t="shared" si="13"/>
        <v>Mon</v>
      </c>
      <c r="D112" s="143">
        <f t="shared" si="14"/>
        <v>1</v>
      </c>
      <c r="E112" s="144" t="s">
        <v>142</v>
      </c>
      <c r="F112" s="134" t="s">
        <v>142</v>
      </c>
      <c r="G112" s="134" t="s">
        <v>142</v>
      </c>
      <c r="H112" s="134" t="s">
        <v>142</v>
      </c>
      <c r="I112" s="134" t="s">
        <v>142</v>
      </c>
      <c r="J112" s="134" t="s">
        <v>142</v>
      </c>
      <c r="K112" s="134" t="s">
        <v>142</v>
      </c>
      <c r="L112" s="134" t="s">
        <v>142</v>
      </c>
      <c r="M112" s="136"/>
      <c r="N112" s="131"/>
    </row>
    <row r="113" hidden="1" outlineLevel="1">
      <c r="A113" s="113" t="s">
        <v>379</v>
      </c>
      <c r="B113" s="309">
        <v>46251.0</v>
      </c>
      <c r="C113" s="118" t="str">
        <f t="shared" si="13"/>
        <v>Mon</v>
      </c>
      <c r="D113" s="128">
        <f t="shared" si="14"/>
        <v>1</v>
      </c>
      <c r="E113" s="131" t="s">
        <v>142</v>
      </c>
      <c r="F113" s="134" t="s">
        <v>142</v>
      </c>
      <c r="G113" s="134" t="s">
        <v>142</v>
      </c>
      <c r="H113" s="134" t="s">
        <v>142</v>
      </c>
      <c r="I113" s="134" t="s">
        <v>142</v>
      </c>
      <c r="J113" s="134" t="s">
        <v>142</v>
      </c>
      <c r="K113" s="134" t="s">
        <v>142</v>
      </c>
      <c r="L113" s="134" t="s">
        <v>142</v>
      </c>
      <c r="M113" s="136"/>
      <c r="N113" s="131"/>
    </row>
    <row r="114" hidden="1" outlineLevel="1">
      <c r="A114" s="113" t="s">
        <v>382</v>
      </c>
      <c r="B114" s="309">
        <v>46252.0</v>
      </c>
      <c r="C114" s="118" t="str">
        <f t="shared" si="13"/>
        <v>Tue</v>
      </c>
      <c r="D114" s="143">
        <f t="shared" si="14"/>
        <v>1</v>
      </c>
      <c r="E114" s="144" t="s">
        <v>142</v>
      </c>
      <c r="F114" s="134" t="s">
        <v>142</v>
      </c>
      <c r="G114" s="134" t="s">
        <v>142</v>
      </c>
      <c r="H114" s="134" t="s">
        <v>142</v>
      </c>
      <c r="I114" s="134" t="s">
        <v>142</v>
      </c>
      <c r="J114" s="134" t="s">
        <v>142</v>
      </c>
      <c r="K114" s="134" t="s">
        <v>142</v>
      </c>
      <c r="L114" s="134" t="s">
        <v>142</v>
      </c>
      <c r="M114" s="136"/>
      <c r="N114" s="131"/>
    </row>
    <row r="115" hidden="1" outlineLevel="1">
      <c r="A115" s="113" t="s">
        <v>383</v>
      </c>
      <c r="B115" s="309">
        <v>46252.0</v>
      </c>
      <c r="C115" s="118" t="str">
        <f t="shared" si="13"/>
        <v>Tue</v>
      </c>
      <c r="D115" s="128">
        <f t="shared" si="14"/>
        <v>1</v>
      </c>
      <c r="E115" s="131" t="s">
        <v>142</v>
      </c>
      <c r="F115" s="134" t="s">
        <v>142</v>
      </c>
      <c r="G115" s="134" t="s">
        <v>142</v>
      </c>
      <c r="H115" s="134" t="s">
        <v>142</v>
      </c>
      <c r="I115" s="134" t="s">
        <v>142</v>
      </c>
      <c r="J115" s="134" t="s">
        <v>142</v>
      </c>
      <c r="K115" s="134" t="s">
        <v>142</v>
      </c>
      <c r="L115" s="134" t="s">
        <v>142</v>
      </c>
      <c r="M115" s="136"/>
      <c r="N115" s="131"/>
    </row>
    <row r="116" hidden="1" outlineLevel="1">
      <c r="A116" s="113" t="s">
        <v>384</v>
      </c>
      <c r="B116" s="309">
        <v>46252.0</v>
      </c>
      <c r="C116" s="118" t="str">
        <f t="shared" si="13"/>
        <v>Tue</v>
      </c>
      <c r="D116" s="143">
        <f t="shared" si="14"/>
        <v>1</v>
      </c>
      <c r="E116" s="144" t="s">
        <v>142</v>
      </c>
      <c r="F116" s="134" t="s">
        <v>142</v>
      </c>
      <c r="G116" s="134" t="s">
        <v>142</v>
      </c>
      <c r="H116" s="134" t="s">
        <v>142</v>
      </c>
      <c r="I116" s="134" t="s">
        <v>142</v>
      </c>
      <c r="J116" s="134" t="s">
        <v>142</v>
      </c>
      <c r="K116" s="134" t="s">
        <v>142</v>
      </c>
      <c r="L116" s="134" t="s">
        <v>142</v>
      </c>
      <c r="M116" s="136"/>
      <c r="N116" s="131"/>
    </row>
    <row r="117" hidden="1" outlineLevel="1">
      <c r="A117" s="113" t="s">
        <v>385</v>
      </c>
      <c r="B117" s="309">
        <v>46253.0</v>
      </c>
      <c r="C117" s="118" t="str">
        <f t="shared" si="13"/>
        <v>Wed</v>
      </c>
      <c r="D117" s="128">
        <f t="shared" si="14"/>
        <v>1</v>
      </c>
      <c r="E117" s="131" t="s">
        <v>142</v>
      </c>
      <c r="F117" s="134" t="s">
        <v>142</v>
      </c>
      <c r="G117" s="134" t="s">
        <v>142</v>
      </c>
      <c r="H117" s="134" t="s">
        <v>142</v>
      </c>
      <c r="I117" s="134" t="s">
        <v>142</v>
      </c>
      <c r="J117" s="134" t="s">
        <v>142</v>
      </c>
      <c r="K117" s="134" t="s">
        <v>142</v>
      </c>
      <c r="L117" s="134" t="s">
        <v>142</v>
      </c>
      <c r="M117" s="136"/>
      <c r="N117" s="131"/>
    </row>
    <row r="118" hidden="1" outlineLevel="1">
      <c r="A118" s="113" t="s">
        <v>386</v>
      </c>
      <c r="B118" s="309">
        <v>46253.0</v>
      </c>
      <c r="C118" s="118" t="str">
        <f t="shared" si="13"/>
        <v>Wed</v>
      </c>
      <c r="D118" s="143">
        <f t="shared" si="14"/>
        <v>1</v>
      </c>
      <c r="E118" s="144" t="s">
        <v>142</v>
      </c>
      <c r="F118" s="134" t="s">
        <v>142</v>
      </c>
      <c r="G118" s="134" t="s">
        <v>142</v>
      </c>
      <c r="H118" s="134" t="s">
        <v>142</v>
      </c>
      <c r="I118" s="134" t="s">
        <v>142</v>
      </c>
      <c r="J118" s="134" t="s">
        <v>142</v>
      </c>
      <c r="K118" s="134" t="s">
        <v>142</v>
      </c>
      <c r="L118" s="134" t="s">
        <v>142</v>
      </c>
      <c r="M118" s="136"/>
      <c r="N118" s="131"/>
    </row>
    <row r="119" hidden="1" outlineLevel="1">
      <c r="A119" s="113" t="s">
        <v>387</v>
      </c>
      <c r="B119" s="309">
        <v>46253.0</v>
      </c>
      <c r="C119" s="118" t="str">
        <f t="shared" si="13"/>
        <v>Wed</v>
      </c>
      <c r="D119" s="128">
        <f t="shared" si="14"/>
        <v>1</v>
      </c>
      <c r="E119" s="131" t="s">
        <v>142</v>
      </c>
      <c r="F119" s="134" t="s">
        <v>142</v>
      </c>
      <c r="G119" s="134" t="s">
        <v>142</v>
      </c>
      <c r="H119" s="134" t="s">
        <v>142</v>
      </c>
      <c r="I119" s="134" t="s">
        <v>142</v>
      </c>
      <c r="J119" s="134" t="s">
        <v>142</v>
      </c>
      <c r="K119" s="134" t="s">
        <v>142</v>
      </c>
      <c r="L119" s="134" t="s">
        <v>142</v>
      </c>
      <c r="M119" s="136"/>
      <c r="N119" s="131"/>
    </row>
    <row r="120" hidden="1" outlineLevel="1">
      <c r="A120" s="113" t="s">
        <v>388</v>
      </c>
      <c r="B120" s="309">
        <v>46254.0</v>
      </c>
      <c r="C120" s="118" t="str">
        <f t="shared" si="13"/>
        <v>Thu</v>
      </c>
      <c r="D120" s="143">
        <f t="shared" si="14"/>
        <v>1</v>
      </c>
      <c r="E120" s="144" t="s">
        <v>142</v>
      </c>
      <c r="F120" s="134" t="s">
        <v>142</v>
      </c>
      <c r="G120" s="134" t="s">
        <v>142</v>
      </c>
      <c r="H120" s="134" t="s">
        <v>142</v>
      </c>
      <c r="I120" s="134" t="s">
        <v>142</v>
      </c>
      <c r="J120" s="134" t="s">
        <v>142</v>
      </c>
      <c r="K120" s="134" t="s">
        <v>142</v>
      </c>
      <c r="L120" s="134" t="s">
        <v>142</v>
      </c>
      <c r="M120" s="136"/>
      <c r="N120" s="131"/>
    </row>
    <row r="121" hidden="1" outlineLevel="1">
      <c r="A121" s="113" t="s">
        <v>389</v>
      </c>
      <c r="B121" s="309">
        <v>46254.0</v>
      </c>
      <c r="C121" s="118" t="str">
        <f t="shared" si="13"/>
        <v>Thu</v>
      </c>
      <c r="D121" s="128">
        <f t="shared" si="14"/>
        <v>1</v>
      </c>
      <c r="E121" s="131" t="s">
        <v>142</v>
      </c>
      <c r="F121" s="134" t="s">
        <v>142</v>
      </c>
      <c r="G121" s="134" t="s">
        <v>142</v>
      </c>
      <c r="H121" s="134" t="s">
        <v>142</v>
      </c>
      <c r="I121" s="134" t="s">
        <v>142</v>
      </c>
      <c r="J121" s="134" t="s">
        <v>142</v>
      </c>
      <c r="K121" s="134" t="s">
        <v>142</v>
      </c>
      <c r="L121" s="134" t="s">
        <v>142</v>
      </c>
      <c r="M121" s="136"/>
      <c r="N121" s="131"/>
    </row>
    <row r="122" hidden="1" outlineLevel="1">
      <c r="A122" s="113" t="s">
        <v>390</v>
      </c>
      <c r="B122" s="309">
        <v>46254.0</v>
      </c>
      <c r="C122" s="118" t="str">
        <f t="shared" si="13"/>
        <v>Thu</v>
      </c>
      <c r="D122" s="143">
        <f t="shared" si="14"/>
        <v>1</v>
      </c>
      <c r="E122" s="144" t="s">
        <v>142</v>
      </c>
      <c r="F122" s="134" t="s">
        <v>142</v>
      </c>
      <c r="G122" s="134" t="s">
        <v>142</v>
      </c>
      <c r="H122" s="134" t="s">
        <v>142</v>
      </c>
      <c r="I122" s="134" t="s">
        <v>142</v>
      </c>
      <c r="J122" s="134" t="s">
        <v>142</v>
      </c>
      <c r="K122" s="134" t="s">
        <v>142</v>
      </c>
      <c r="L122" s="134" t="s">
        <v>142</v>
      </c>
      <c r="M122" s="136"/>
      <c r="N122" s="131"/>
    </row>
    <row r="123" hidden="1" outlineLevel="1">
      <c r="A123" s="353" t="s">
        <v>393</v>
      </c>
      <c r="B123" s="309">
        <v>46256.0</v>
      </c>
      <c r="C123" s="118" t="str">
        <f t="shared" si="13"/>
        <v>Sat</v>
      </c>
      <c r="D123" s="128">
        <f t="shared" si="14"/>
        <v>1</v>
      </c>
      <c r="E123" s="131" t="s">
        <v>142</v>
      </c>
      <c r="F123" s="134" t="s">
        <v>142</v>
      </c>
      <c r="G123" s="134" t="s">
        <v>142</v>
      </c>
      <c r="H123" s="134" t="s">
        <v>142</v>
      </c>
      <c r="I123" s="134" t="s">
        <v>142</v>
      </c>
      <c r="J123" s="134" t="s">
        <v>142</v>
      </c>
      <c r="K123" s="134" t="s">
        <v>142</v>
      </c>
      <c r="L123" s="134" t="s">
        <v>142</v>
      </c>
      <c r="M123" s="136"/>
      <c r="N123" s="131"/>
    </row>
    <row r="124" hidden="1" outlineLevel="1">
      <c r="A124" s="353" t="s">
        <v>394</v>
      </c>
      <c r="B124" s="309">
        <v>46256.0</v>
      </c>
      <c r="C124" s="118" t="str">
        <f t="shared" si="13"/>
        <v>Sat</v>
      </c>
      <c r="D124" s="143">
        <f t="shared" si="14"/>
        <v>1</v>
      </c>
      <c r="E124" s="144" t="s">
        <v>142</v>
      </c>
      <c r="F124" s="134" t="s">
        <v>142</v>
      </c>
      <c r="G124" s="134" t="s">
        <v>142</v>
      </c>
      <c r="H124" s="134" t="s">
        <v>142</v>
      </c>
      <c r="I124" s="134" t="s">
        <v>142</v>
      </c>
      <c r="J124" s="134" t="s">
        <v>142</v>
      </c>
      <c r="K124" s="134" t="s">
        <v>142</v>
      </c>
      <c r="L124" s="134" t="s">
        <v>142</v>
      </c>
      <c r="M124" s="136"/>
      <c r="N124" s="131"/>
    </row>
    <row r="125" ht="15.0" hidden="1" customHeight="1" outlineLevel="1">
      <c r="A125" s="353" t="s">
        <v>395</v>
      </c>
      <c r="B125" s="309">
        <v>46256.0</v>
      </c>
      <c r="C125" s="118" t="str">
        <f t="shared" si="13"/>
        <v>Sat</v>
      </c>
      <c r="D125" s="128">
        <f t="shared" si="14"/>
        <v>1</v>
      </c>
      <c r="E125" s="131" t="s">
        <v>142</v>
      </c>
      <c r="F125" s="134" t="s">
        <v>142</v>
      </c>
      <c r="G125" s="134" t="s">
        <v>142</v>
      </c>
      <c r="H125" s="134" t="s">
        <v>142</v>
      </c>
      <c r="I125" s="134" t="s">
        <v>142</v>
      </c>
      <c r="J125" s="134" t="s">
        <v>142</v>
      </c>
      <c r="K125" s="134" t="s">
        <v>142</v>
      </c>
      <c r="L125" s="134" t="s">
        <v>142</v>
      </c>
      <c r="M125" s="136"/>
      <c r="N125" s="131"/>
    </row>
    <row r="126" hidden="1" outlineLevel="1">
      <c r="B126" s="215"/>
      <c r="C126" s="216" t="s">
        <v>199</v>
      </c>
      <c r="D126" s="217">
        <f>AVERAGE(D111:D125)</f>
        <v>1</v>
      </c>
      <c r="E126" s="218"/>
      <c r="L126" s="216" t="s">
        <v>199</v>
      </c>
      <c r="M126" s="217">
        <f>SUM(M111:M125)/75*0.1</f>
        <v>0</v>
      </c>
    </row>
    <row r="127" collapsed="1">
      <c r="A127" s="85" t="s">
        <v>397</v>
      </c>
      <c r="B127" s="86"/>
      <c r="C127" s="86"/>
      <c r="D127" s="359"/>
      <c r="E127" s="360"/>
      <c r="F127" s="361"/>
      <c r="G127" s="361"/>
      <c r="H127" s="361"/>
      <c r="I127" s="361"/>
      <c r="J127" s="361"/>
      <c r="K127" s="361"/>
      <c r="L127" s="361"/>
      <c r="M127" s="361"/>
      <c r="N127" s="361"/>
    </row>
    <row r="128" hidden="1" outlineLevel="1">
      <c r="A128" s="362" t="s">
        <v>89</v>
      </c>
      <c r="B128" s="363" t="s">
        <v>90</v>
      </c>
      <c r="C128" s="363" t="s">
        <v>91</v>
      </c>
      <c r="D128" s="364" t="s">
        <v>93</v>
      </c>
      <c r="E128" s="365" t="s">
        <v>94</v>
      </c>
      <c r="F128" s="365" t="s">
        <v>95</v>
      </c>
      <c r="G128" s="366" t="s">
        <v>96</v>
      </c>
      <c r="H128" s="366" t="s">
        <v>97</v>
      </c>
      <c r="I128" s="366" t="s">
        <v>104</v>
      </c>
      <c r="J128" s="366" t="s">
        <v>106</v>
      </c>
      <c r="K128" s="366" t="s">
        <v>109</v>
      </c>
      <c r="L128" s="366" t="s">
        <v>111</v>
      </c>
      <c r="M128" s="363" t="s">
        <v>114</v>
      </c>
      <c r="N128" s="363" t="s">
        <v>116</v>
      </c>
    </row>
    <row r="129" hidden="1" outlineLevel="1">
      <c r="A129" s="367" t="s">
        <v>398</v>
      </c>
      <c r="B129" s="309">
        <v>46258.0</v>
      </c>
      <c r="C129" s="368" t="str">
        <f t="shared" ref="C129:C143" si="15">IF(B129="", "", TEXT(B129, "ddd"))</f>
        <v>Mon</v>
      </c>
      <c r="D129" s="143">
        <f t="shared" ref="D129:D143" si="16">IF(E129="Yes",0.05,0)
+IF(F129="Yes",0.1,0)
+IF(G129="Yes",0.15,0)
+IF(H129="Yes",0.15,0)
+IF(I129="Yes",0.05,0)
+IF(J129="Yes",0.05,0)
+IF(K129="Yes",0.15,0)
+IF(L129="Yes",0.3,0)
</f>
        <v>1</v>
      </c>
      <c r="E129" s="369" t="s">
        <v>142</v>
      </c>
      <c r="F129" s="7" t="s">
        <v>142</v>
      </c>
      <c r="G129" s="7" t="s">
        <v>142</v>
      </c>
      <c r="H129" s="7" t="s">
        <v>142</v>
      </c>
      <c r="I129" s="7" t="s">
        <v>142</v>
      </c>
      <c r="J129" s="7" t="s">
        <v>142</v>
      </c>
      <c r="K129" s="7" t="s">
        <v>142</v>
      </c>
      <c r="L129" s="7" t="s">
        <v>142</v>
      </c>
      <c r="M129" s="370"/>
      <c r="N129" s="137"/>
    </row>
    <row r="130" hidden="1" outlineLevel="1">
      <c r="A130" s="367" t="s">
        <v>399</v>
      </c>
      <c r="B130" s="309">
        <v>46258.0</v>
      </c>
      <c r="C130" s="368" t="str">
        <f t="shared" si="15"/>
        <v>Mon</v>
      </c>
      <c r="D130" s="128">
        <f t="shared" si="16"/>
        <v>1</v>
      </c>
      <c r="E130" s="370" t="s">
        <v>142</v>
      </c>
      <c r="F130" s="7" t="s">
        <v>142</v>
      </c>
      <c r="G130" s="7" t="s">
        <v>142</v>
      </c>
      <c r="H130" s="7" t="s">
        <v>142</v>
      </c>
      <c r="I130" s="7" t="s">
        <v>142</v>
      </c>
      <c r="J130" s="7" t="s">
        <v>142</v>
      </c>
      <c r="K130" s="7" t="s">
        <v>142</v>
      </c>
      <c r="L130" s="7" t="s">
        <v>142</v>
      </c>
      <c r="M130" s="370"/>
      <c r="N130" s="137"/>
    </row>
    <row r="131" hidden="1" outlineLevel="1">
      <c r="A131" s="367" t="s">
        <v>401</v>
      </c>
      <c r="B131" s="309">
        <v>46258.0</v>
      </c>
      <c r="C131" s="368" t="str">
        <f t="shared" si="15"/>
        <v>Mon</v>
      </c>
      <c r="D131" s="143">
        <f t="shared" si="16"/>
        <v>1</v>
      </c>
      <c r="E131" s="369" t="s">
        <v>142</v>
      </c>
      <c r="F131" s="7" t="s">
        <v>142</v>
      </c>
      <c r="G131" s="7" t="s">
        <v>142</v>
      </c>
      <c r="H131" s="7" t="s">
        <v>142</v>
      </c>
      <c r="I131" s="7" t="s">
        <v>142</v>
      </c>
      <c r="J131" s="7" t="s">
        <v>142</v>
      </c>
      <c r="K131" s="7" t="s">
        <v>142</v>
      </c>
      <c r="L131" s="7" t="s">
        <v>142</v>
      </c>
      <c r="M131" s="370"/>
      <c r="N131" s="137"/>
    </row>
    <row r="132" hidden="1" outlineLevel="1">
      <c r="A132" s="367" t="s">
        <v>402</v>
      </c>
      <c r="B132" s="309">
        <v>46259.0</v>
      </c>
      <c r="C132" s="368" t="str">
        <f t="shared" si="15"/>
        <v>Tue</v>
      </c>
      <c r="D132" s="128">
        <f t="shared" si="16"/>
        <v>1</v>
      </c>
      <c r="E132" s="370" t="s">
        <v>142</v>
      </c>
      <c r="F132" s="7" t="s">
        <v>142</v>
      </c>
      <c r="G132" s="7" t="s">
        <v>142</v>
      </c>
      <c r="H132" s="7" t="s">
        <v>142</v>
      </c>
      <c r="I132" s="7" t="s">
        <v>142</v>
      </c>
      <c r="J132" s="7" t="s">
        <v>142</v>
      </c>
      <c r="K132" s="7" t="s">
        <v>142</v>
      </c>
      <c r="L132" s="7" t="s">
        <v>142</v>
      </c>
      <c r="M132" s="370"/>
      <c r="N132" s="137"/>
    </row>
    <row r="133" hidden="1" outlineLevel="1">
      <c r="A133" s="367" t="s">
        <v>403</v>
      </c>
      <c r="B133" s="309">
        <v>46259.0</v>
      </c>
      <c r="C133" s="368" t="str">
        <f t="shared" si="15"/>
        <v>Tue</v>
      </c>
      <c r="D133" s="143">
        <f t="shared" si="16"/>
        <v>1</v>
      </c>
      <c r="E133" s="369" t="s">
        <v>142</v>
      </c>
      <c r="F133" s="7" t="s">
        <v>142</v>
      </c>
      <c r="G133" s="7" t="s">
        <v>142</v>
      </c>
      <c r="H133" s="7" t="s">
        <v>142</v>
      </c>
      <c r="I133" s="7" t="s">
        <v>142</v>
      </c>
      <c r="J133" s="7" t="s">
        <v>142</v>
      </c>
      <c r="K133" s="7" t="s">
        <v>142</v>
      </c>
      <c r="L133" s="7" t="s">
        <v>142</v>
      </c>
      <c r="M133" s="370"/>
      <c r="N133" s="137"/>
    </row>
    <row r="134" hidden="1" outlineLevel="1">
      <c r="A134" s="367" t="s">
        <v>404</v>
      </c>
      <c r="B134" s="309">
        <v>46259.0</v>
      </c>
      <c r="C134" s="368" t="str">
        <f t="shared" si="15"/>
        <v>Tue</v>
      </c>
      <c r="D134" s="128">
        <f t="shared" si="16"/>
        <v>1</v>
      </c>
      <c r="E134" s="370" t="s">
        <v>142</v>
      </c>
      <c r="F134" s="7" t="s">
        <v>142</v>
      </c>
      <c r="G134" s="7" t="s">
        <v>142</v>
      </c>
      <c r="H134" s="7" t="s">
        <v>142</v>
      </c>
      <c r="I134" s="7" t="s">
        <v>142</v>
      </c>
      <c r="J134" s="7" t="s">
        <v>142</v>
      </c>
      <c r="K134" s="7" t="s">
        <v>142</v>
      </c>
      <c r="L134" s="7" t="s">
        <v>142</v>
      </c>
      <c r="M134" s="370"/>
      <c r="N134" s="137"/>
    </row>
    <row r="135" hidden="1" outlineLevel="1">
      <c r="A135" s="367" t="s">
        <v>405</v>
      </c>
      <c r="B135" s="309">
        <v>46260.0</v>
      </c>
      <c r="C135" s="368" t="str">
        <f t="shared" si="15"/>
        <v>Wed</v>
      </c>
      <c r="D135" s="143">
        <f t="shared" si="16"/>
        <v>1</v>
      </c>
      <c r="E135" s="369" t="s">
        <v>142</v>
      </c>
      <c r="F135" s="7" t="s">
        <v>142</v>
      </c>
      <c r="G135" s="7" t="s">
        <v>142</v>
      </c>
      <c r="H135" s="7" t="s">
        <v>142</v>
      </c>
      <c r="I135" s="7" t="s">
        <v>142</v>
      </c>
      <c r="J135" s="7" t="s">
        <v>142</v>
      </c>
      <c r="K135" s="7" t="s">
        <v>142</v>
      </c>
      <c r="L135" s="7" t="s">
        <v>142</v>
      </c>
      <c r="M135" s="370"/>
      <c r="N135" s="137"/>
    </row>
    <row r="136" hidden="1" outlineLevel="1">
      <c r="A136" s="367" t="s">
        <v>410</v>
      </c>
      <c r="B136" s="309">
        <v>46260.0</v>
      </c>
      <c r="C136" s="368" t="str">
        <f t="shared" si="15"/>
        <v>Wed</v>
      </c>
      <c r="D136" s="128">
        <f t="shared" si="16"/>
        <v>1</v>
      </c>
      <c r="E136" s="370" t="s">
        <v>142</v>
      </c>
      <c r="F136" s="7" t="s">
        <v>142</v>
      </c>
      <c r="G136" s="7" t="s">
        <v>142</v>
      </c>
      <c r="H136" s="7" t="s">
        <v>142</v>
      </c>
      <c r="I136" s="7" t="s">
        <v>142</v>
      </c>
      <c r="J136" s="7" t="s">
        <v>142</v>
      </c>
      <c r="K136" s="7" t="s">
        <v>142</v>
      </c>
      <c r="L136" s="7" t="s">
        <v>142</v>
      </c>
      <c r="M136" s="370"/>
      <c r="N136" s="137"/>
    </row>
    <row r="137" hidden="1" outlineLevel="1">
      <c r="A137" s="367" t="s">
        <v>413</v>
      </c>
      <c r="B137" s="309">
        <v>46260.0</v>
      </c>
      <c r="C137" s="368" t="str">
        <f t="shared" si="15"/>
        <v>Wed</v>
      </c>
      <c r="D137" s="143">
        <f t="shared" si="16"/>
        <v>1</v>
      </c>
      <c r="E137" s="369" t="s">
        <v>142</v>
      </c>
      <c r="F137" s="7" t="s">
        <v>142</v>
      </c>
      <c r="G137" s="7" t="s">
        <v>142</v>
      </c>
      <c r="H137" s="7" t="s">
        <v>142</v>
      </c>
      <c r="I137" s="7" t="s">
        <v>142</v>
      </c>
      <c r="J137" s="7" t="s">
        <v>142</v>
      </c>
      <c r="K137" s="7" t="s">
        <v>142</v>
      </c>
      <c r="L137" s="7" t="s">
        <v>142</v>
      </c>
      <c r="M137" s="370"/>
      <c r="N137" s="137"/>
    </row>
    <row r="138" hidden="1" outlineLevel="1">
      <c r="A138" s="367" t="s">
        <v>414</v>
      </c>
      <c r="B138" s="309">
        <v>46261.0</v>
      </c>
      <c r="C138" s="368" t="str">
        <f t="shared" si="15"/>
        <v>Thu</v>
      </c>
      <c r="D138" s="128">
        <f t="shared" si="16"/>
        <v>1</v>
      </c>
      <c r="E138" s="370" t="s">
        <v>142</v>
      </c>
      <c r="F138" s="7" t="s">
        <v>142</v>
      </c>
      <c r="G138" s="7" t="s">
        <v>142</v>
      </c>
      <c r="H138" s="7" t="s">
        <v>142</v>
      </c>
      <c r="I138" s="7" t="s">
        <v>142</v>
      </c>
      <c r="J138" s="7" t="s">
        <v>142</v>
      </c>
      <c r="K138" s="7" t="s">
        <v>142</v>
      </c>
      <c r="L138" s="7" t="s">
        <v>142</v>
      </c>
      <c r="M138" s="370"/>
      <c r="N138" s="137"/>
    </row>
    <row r="139" hidden="1" outlineLevel="1">
      <c r="A139" s="367" t="s">
        <v>415</v>
      </c>
      <c r="B139" s="309">
        <v>46261.0</v>
      </c>
      <c r="C139" s="368" t="str">
        <f t="shared" si="15"/>
        <v>Thu</v>
      </c>
      <c r="D139" s="143">
        <f t="shared" si="16"/>
        <v>1</v>
      </c>
      <c r="E139" s="369" t="s">
        <v>142</v>
      </c>
      <c r="F139" s="7" t="s">
        <v>142</v>
      </c>
      <c r="G139" s="7" t="s">
        <v>142</v>
      </c>
      <c r="H139" s="7" t="s">
        <v>142</v>
      </c>
      <c r="I139" s="7" t="s">
        <v>142</v>
      </c>
      <c r="J139" s="7" t="s">
        <v>142</v>
      </c>
      <c r="K139" s="7" t="s">
        <v>142</v>
      </c>
      <c r="L139" s="7" t="s">
        <v>142</v>
      </c>
      <c r="M139" s="370"/>
      <c r="N139" s="137"/>
    </row>
    <row r="140" hidden="1" outlineLevel="1">
      <c r="A140" s="367" t="s">
        <v>416</v>
      </c>
      <c r="B140" s="309">
        <v>46261.0</v>
      </c>
      <c r="C140" s="368" t="str">
        <f t="shared" si="15"/>
        <v>Thu</v>
      </c>
      <c r="D140" s="128">
        <f t="shared" si="16"/>
        <v>1</v>
      </c>
      <c r="E140" s="370" t="s">
        <v>142</v>
      </c>
      <c r="F140" s="7" t="s">
        <v>142</v>
      </c>
      <c r="G140" s="7" t="s">
        <v>142</v>
      </c>
      <c r="H140" s="7" t="s">
        <v>142</v>
      </c>
      <c r="I140" s="7" t="s">
        <v>142</v>
      </c>
      <c r="J140" s="7" t="s">
        <v>142</v>
      </c>
      <c r="K140" s="7" t="s">
        <v>142</v>
      </c>
      <c r="L140" s="7" t="s">
        <v>142</v>
      </c>
      <c r="M140" s="370"/>
      <c r="N140" s="137"/>
    </row>
    <row r="141" hidden="1" outlineLevel="1">
      <c r="A141" s="372" t="s">
        <v>417</v>
      </c>
      <c r="B141" s="309">
        <v>46262.0</v>
      </c>
      <c r="C141" s="368" t="str">
        <f t="shared" si="15"/>
        <v>Fri</v>
      </c>
      <c r="D141" s="143">
        <f t="shared" si="16"/>
        <v>1</v>
      </c>
      <c r="E141" s="369" t="s">
        <v>142</v>
      </c>
      <c r="F141" s="7" t="s">
        <v>142</v>
      </c>
      <c r="G141" s="7" t="s">
        <v>142</v>
      </c>
      <c r="H141" s="7" t="s">
        <v>142</v>
      </c>
      <c r="I141" s="7" t="s">
        <v>142</v>
      </c>
      <c r="J141" s="7" t="s">
        <v>142</v>
      </c>
      <c r="K141" s="7" t="s">
        <v>142</v>
      </c>
      <c r="L141" s="7" t="s">
        <v>142</v>
      </c>
      <c r="M141" s="370"/>
      <c r="N141" s="137"/>
    </row>
    <row r="142" hidden="1" outlineLevel="1">
      <c r="A142" s="372" t="s">
        <v>418</v>
      </c>
      <c r="B142" s="309">
        <v>46262.0</v>
      </c>
      <c r="C142" s="368" t="str">
        <f t="shared" si="15"/>
        <v>Fri</v>
      </c>
      <c r="D142" s="128">
        <f t="shared" si="16"/>
        <v>1</v>
      </c>
      <c r="E142" s="370" t="s">
        <v>142</v>
      </c>
      <c r="F142" s="7" t="s">
        <v>142</v>
      </c>
      <c r="G142" s="7" t="s">
        <v>142</v>
      </c>
      <c r="H142" s="7" t="s">
        <v>142</v>
      </c>
      <c r="I142" s="7" t="s">
        <v>142</v>
      </c>
      <c r="J142" s="7" t="s">
        <v>142</v>
      </c>
      <c r="K142" s="7" t="s">
        <v>142</v>
      </c>
      <c r="L142" s="7" t="s">
        <v>142</v>
      </c>
      <c r="M142" s="370"/>
      <c r="N142" s="137"/>
    </row>
    <row r="143" hidden="1" outlineLevel="1">
      <c r="A143" s="372" t="s">
        <v>422</v>
      </c>
      <c r="B143" s="309">
        <v>46262.0</v>
      </c>
      <c r="C143" s="368" t="str">
        <f t="shared" si="15"/>
        <v>Fri</v>
      </c>
      <c r="D143" s="143">
        <f t="shared" si="16"/>
        <v>1</v>
      </c>
      <c r="E143" s="369" t="s">
        <v>142</v>
      </c>
      <c r="F143" s="7" t="s">
        <v>142</v>
      </c>
      <c r="G143" s="7" t="s">
        <v>142</v>
      </c>
      <c r="H143" s="7" t="s">
        <v>142</v>
      </c>
      <c r="I143" s="7" t="s">
        <v>142</v>
      </c>
      <c r="J143" s="7" t="s">
        <v>142</v>
      </c>
      <c r="K143" s="7" t="s">
        <v>142</v>
      </c>
      <c r="L143" s="7" t="s">
        <v>142</v>
      </c>
      <c r="M143" s="370"/>
      <c r="N143" s="137"/>
    </row>
    <row r="144" hidden="1" outlineLevel="1">
      <c r="A144" s="373"/>
      <c r="B144" s="373"/>
      <c r="C144" s="374" t="s">
        <v>199</v>
      </c>
      <c r="D144" s="375">
        <f>AVERAGE(D129:D143)</f>
        <v>1</v>
      </c>
      <c r="E144" s="376"/>
      <c r="F144" s="373"/>
      <c r="G144" s="373"/>
      <c r="H144" s="373"/>
      <c r="I144" s="373"/>
      <c r="J144" s="373"/>
      <c r="K144" s="373"/>
      <c r="L144" s="374" t="s">
        <v>199</v>
      </c>
      <c r="M144" s="377">
        <f>SUM(M129:M143)/75*0.1</f>
        <v>0</v>
      </c>
      <c r="N144" s="373"/>
    </row>
    <row r="145" collapsed="1">
      <c r="A145" s="85" t="s">
        <v>423</v>
      </c>
      <c r="B145" s="86"/>
      <c r="C145" s="86"/>
      <c r="D145" s="359"/>
      <c r="E145" s="360"/>
      <c r="F145" s="361"/>
      <c r="G145" s="361"/>
      <c r="H145" s="361"/>
      <c r="I145" s="361"/>
      <c r="J145" s="361"/>
      <c r="K145" s="361"/>
      <c r="L145" s="361"/>
      <c r="M145" s="361"/>
      <c r="N145" s="361"/>
    </row>
    <row r="146" hidden="1" outlineLevel="1">
      <c r="A146" s="362" t="s">
        <v>89</v>
      </c>
      <c r="B146" s="363" t="s">
        <v>90</v>
      </c>
      <c r="C146" s="363" t="s">
        <v>91</v>
      </c>
      <c r="D146" s="364" t="s">
        <v>93</v>
      </c>
      <c r="E146" s="365" t="s">
        <v>94</v>
      </c>
      <c r="F146" s="365" t="s">
        <v>95</v>
      </c>
      <c r="G146" s="366" t="s">
        <v>96</v>
      </c>
      <c r="H146" s="366" t="s">
        <v>97</v>
      </c>
      <c r="I146" s="366" t="s">
        <v>104</v>
      </c>
      <c r="J146" s="366" t="s">
        <v>106</v>
      </c>
      <c r="K146" s="366" t="s">
        <v>109</v>
      </c>
      <c r="L146" s="366" t="s">
        <v>111</v>
      </c>
      <c r="M146" s="363" t="s">
        <v>114</v>
      </c>
      <c r="N146" s="363" t="s">
        <v>116</v>
      </c>
    </row>
    <row r="147" hidden="1" outlineLevel="1">
      <c r="A147" s="372" t="s">
        <v>424</v>
      </c>
      <c r="B147" s="309">
        <v>46265.0</v>
      </c>
      <c r="C147" s="368" t="str">
        <f t="shared" ref="C147:C161" si="17">IF(B147="", "", TEXT(B147, "ddd"))</f>
        <v>Mon</v>
      </c>
      <c r="D147" s="143">
        <f t="shared" ref="D147:D161" si="18">IF(E147="Yes",0.05,0)
+IF(F147="Yes",0.1,0)
+IF(G147="Yes",0.15,0)
+IF(H147="Yes",0.15,0)
+IF(I147="Yes",0.05,0)
+IF(J147="Yes",0.05,0)
+IF(K147="Yes",0.15,0)
+IF(L147="Yes",0.3,0)
</f>
        <v>1</v>
      </c>
      <c r="E147" s="144" t="s">
        <v>142</v>
      </c>
      <c r="F147" s="134" t="s">
        <v>142</v>
      </c>
      <c r="G147" s="134" t="s">
        <v>142</v>
      </c>
      <c r="H147" s="134" t="s">
        <v>142</v>
      </c>
      <c r="I147" s="134" t="s">
        <v>142</v>
      </c>
      <c r="J147" s="134" t="s">
        <v>142</v>
      </c>
      <c r="K147" s="134" t="s">
        <v>142</v>
      </c>
      <c r="L147" s="134" t="s">
        <v>142</v>
      </c>
      <c r="M147" s="370"/>
      <c r="N147" s="137"/>
    </row>
    <row r="148" hidden="1" outlineLevel="1">
      <c r="A148" s="372" t="s">
        <v>426</v>
      </c>
      <c r="B148" s="309">
        <v>46265.0</v>
      </c>
      <c r="C148" s="368" t="str">
        <f t="shared" si="17"/>
        <v>Mon</v>
      </c>
      <c r="D148" s="128">
        <f t="shared" si="18"/>
        <v>1</v>
      </c>
      <c r="E148" s="131" t="s">
        <v>142</v>
      </c>
      <c r="F148" s="134" t="s">
        <v>142</v>
      </c>
      <c r="G148" s="134" t="s">
        <v>142</v>
      </c>
      <c r="H148" s="134" t="s">
        <v>142</v>
      </c>
      <c r="I148" s="134" t="s">
        <v>142</v>
      </c>
      <c r="J148" s="134" t="s">
        <v>142</v>
      </c>
      <c r="K148" s="134" t="s">
        <v>142</v>
      </c>
      <c r="L148" s="134" t="s">
        <v>142</v>
      </c>
      <c r="M148" s="370"/>
      <c r="N148" s="137"/>
    </row>
    <row r="149" hidden="1" outlineLevel="1">
      <c r="A149" s="372" t="s">
        <v>429</v>
      </c>
      <c r="B149" s="309">
        <v>46265.0</v>
      </c>
      <c r="C149" s="368" t="str">
        <f t="shared" si="17"/>
        <v>Mon</v>
      </c>
      <c r="D149" s="143">
        <f t="shared" si="18"/>
        <v>1</v>
      </c>
      <c r="E149" s="144" t="s">
        <v>142</v>
      </c>
      <c r="F149" s="134" t="s">
        <v>142</v>
      </c>
      <c r="G149" s="134" t="s">
        <v>142</v>
      </c>
      <c r="H149" s="134" t="s">
        <v>142</v>
      </c>
      <c r="I149" s="134" t="s">
        <v>142</v>
      </c>
      <c r="J149" s="134" t="s">
        <v>142</v>
      </c>
      <c r="K149" s="134" t="s">
        <v>142</v>
      </c>
      <c r="L149" s="134" t="s">
        <v>142</v>
      </c>
      <c r="M149" s="370"/>
      <c r="N149" s="137"/>
    </row>
    <row r="150" hidden="1" outlineLevel="1">
      <c r="A150" s="367" t="s">
        <v>430</v>
      </c>
      <c r="B150" s="309">
        <v>46266.0</v>
      </c>
      <c r="C150" s="368" t="str">
        <f t="shared" si="17"/>
        <v>Tue</v>
      </c>
      <c r="D150" s="128">
        <f t="shared" si="18"/>
        <v>1</v>
      </c>
      <c r="E150" s="131" t="s">
        <v>142</v>
      </c>
      <c r="F150" s="134" t="s">
        <v>142</v>
      </c>
      <c r="G150" s="134" t="s">
        <v>142</v>
      </c>
      <c r="H150" s="134" t="s">
        <v>142</v>
      </c>
      <c r="I150" s="134" t="s">
        <v>142</v>
      </c>
      <c r="J150" s="134" t="s">
        <v>142</v>
      </c>
      <c r="K150" s="134" t="s">
        <v>142</v>
      </c>
      <c r="L150" s="134" t="s">
        <v>142</v>
      </c>
      <c r="M150" s="370"/>
      <c r="N150" s="137"/>
    </row>
    <row r="151" hidden="1" outlineLevel="1">
      <c r="A151" s="367" t="s">
        <v>431</v>
      </c>
      <c r="B151" s="309">
        <v>46266.0</v>
      </c>
      <c r="C151" s="368" t="str">
        <f t="shared" si="17"/>
        <v>Tue</v>
      </c>
      <c r="D151" s="143">
        <f t="shared" si="18"/>
        <v>1</v>
      </c>
      <c r="E151" s="144" t="s">
        <v>142</v>
      </c>
      <c r="F151" s="134" t="s">
        <v>142</v>
      </c>
      <c r="G151" s="134" t="s">
        <v>142</v>
      </c>
      <c r="H151" s="134" t="s">
        <v>142</v>
      </c>
      <c r="I151" s="134" t="s">
        <v>142</v>
      </c>
      <c r="J151" s="134" t="s">
        <v>142</v>
      </c>
      <c r="K151" s="134" t="s">
        <v>142</v>
      </c>
      <c r="L151" s="134" t="s">
        <v>142</v>
      </c>
      <c r="M151" s="370"/>
      <c r="N151" s="137"/>
    </row>
    <row r="152" hidden="1" outlineLevel="1">
      <c r="A152" s="367" t="s">
        <v>432</v>
      </c>
      <c r="B152" s="309">
        <v>46266.0</v>
      </c>
      <c r="C152" s="368" t="str">
        <f t="shared" si="17"/>
        <v>Tue</v>
      </c>
      <c r="D152" s="128">
        <f t="shared" si="18"/>
        <v>1</v>
      </c>
      <c r="E152" s="131" t="s">
        <v>142</v>
      </c>
      <c r="F152" s="134" t="s">
        <v>142</v>
      </c>
      <c r="G152" s="134" t="s">
        <v>142</v>
      </c>
      <c r="H152" s="134" t="s">
        <v>142</v>
      </c>
      <c r="I152" s="134" t="s">
        <v>142</v>
      </c>
      <c r="J152" s="134" t="s">
        <v>142</v>
      </c>
      <c r="K152" s="134" t="s">
        <v>142</v>
      </c>
      <c r="L152" s="134" t="s">
        <v>142</v>
      </c>
      <c r="M152" s="370"/>
      <c r="N152" s="137"/>
    </row>
    <row r="153" hidden="1" outlineLevel="1">
      <c r="A153" s="367" t="s">
        <v>433</v>
      </c>
      <c r="B153" s="309">
        <v>46267.0</v>
      </c>
      <c r="C153" s="368" t="str">
        <f t="shared" si="17"/>
        <v>Wed</v>
      </c>
      <c r="D153" s="143">
        <f t="shared" si="18"/>
        <v>1</v>
      </c>
      <c r="E153" s="144" t="s">
        <v>142</v>
      </c>
      <c r="F153" s="134" t="s">
        <v>142</v>
      </c>
      <c r="G153" s="134" t="s">
        <v>142</v>
      </c>
      <c r="H153" s="134" t="s">
        <v>142</v>
      </c>
      <c r="I153" s="134" t="s">
        <v>142</v>
      </c>
      <c r="J153" s="134" t="s">
        <v>142</v>
      </c>
      <c r="K153" s="134" t="s">
        <v>142</v>
      </c>
      <c r="L153" s="134" t="s">
        <v>142</v>
      </c>
      <c r="M153" s="370"/>
      <c r="N153" s="137"/>
    </row>
    <row r="154" hidden="1" outlineLevel="1">
      <c r="A154" s="367" t="s">
        <v>434</v>
      </c>
      <c r="B154" s="309">
        <v>46267.0</v>
      </c>
      <c r="C154" s="368" t="str">
        <f t="shared" si="17"/>
        <v>Wed</v>
      </c>
      <c r="D154" s="128">
        <f t="shared" si="18"/>
        <v>1</v>
      </c>
      <c r="E154" s="131" t="s">
        <v>142</v>
      </c>
      <c r="F154" s="134" t="s">
        <v>142</v>
      </c>
      <c r="G154" s="134" t="s">
        <v>142</v>
      </c>
      <c r="H154" s="134" t="s">
        <v>142</v>
      </c>
      <c r="I154" s="134" t="s">
        <v>142</v>
      </c>
      <c r="J154" s="134" t="s">
        <v>142</v>
      </c>
      <c r="K154" s="134" t="s">
        <v>142</v>
      </c>
      <c r="L154" s="134" t="s">
        <v>142</v>
      </c>
      <c r="M154" s="370"/>
      <c r="N154" s="137"/>
    </row>
    <row r="155" hidden="1" outlineLevel="1">
      <c r="A155" s="367" t="s">
        <v>435</v>
      </c>
      <c r="B155" s="309">
        <v>46267.0</v>
      </c>
      <c r="C155" s="368" t="str">
        <f t="shared" si="17"/>
        <v>Wed</v>
      </c>
      <c r="D155" s="143">
        <f t="shared" si="18"/>
        <v>1</v>
      </c>
      <c r="E155" s="144" t="s">
        <v>142</v>
      </c>
      <c r="F155" s="134" t="s">
        <v>142</v>
      </c>
      <c r="G155" s="134" t="s">
        <v>142</v>
      </c>
      <c r="H155" s="134" t="s">
        <v>142</v>
      </c>
      <c r="I155" s="134" t="s">
        <v>142</v>
      </c>
      <c r="J155" s="134" t="s">
        <v>142</v>
      </c>
      <c r="K155" s="134" t="s">
        <v>142</v>
      </c>
      <c r="L155" s="134" t="s">
        <v>142</v>
      </c>
      <c r="M155" s="370"/>
      <c r="N155" s="137"/>
    </row>
    <row r="156" hidden="1" outlineLevel="1">
      <c r="A156" s="367" t="s">
        <v>436</v>
      </c>
      <c r="B156" s="309">
        <v>46268.0</v>
      </c>
      <c r="C156" s="368" t="str">
        <f t="shared" si="17"/>
        <v>Thu</v>
      </c>
      <c r="D156" s="128">
        <f t="shared" si="18"/>
        <v>1</v>
      </c>
      <c r="E156" s="131" t="s">
        <v>142</v>
      </c>
      <c r="F156" s="134" t="s">
        <v>142</v>
      </c>
      <c r="G156" s="134" t="s">
        <v>142</v>
      </c>
      <c r="H156" s="134" t="s">
        <v>142</v>
      </c>
      <c r="I156" s="134" t="s">
        <v>142</v>
      </c>
      <c r="J156" s="134" t="s">
        <v>142</v>
      </c>
      <c r="K156" s="134" t="s">
        <v>142</v>
      </c>
      <c r="L156" s="134" t="s">
        <v>142</v>
      </c>
      <c r="M156" s="370"/>
      <c r="N156" s="137"/>
    </row>
    <row r="157" hidden="1" outlineLevel="1">
      <c r="A157" s="367" t="s">
        <v>437</v>
      </c>
      <c r="B157" s="309">
        <v>46268.0</v>
      </c>
      <c r="C157" s="368" t="str">
        <f t="shared" si="17"/>
        <v>Thu</v>
      </c>
      <c r="D157" s="143">
        <f t="shared" si="18"/>
        <v>1</v>
      </c>
      <c r="E157" s="144" t="s">
        <v>142</v>
      </c>
      <c r="F157" s="134" t="s">
        <v>142</v>
      </c>
      <c r="G157" s="134" t="s">
        <v>142</v>
      </c>
      <c r="H157" s="134" t="s">
        <v>142</v>
      </c>
      <c r="I157" s="134" t="s">
        <v>142</v>
      </c>
      <c r="J157" s="134" t="s">
        <v>142</v>
      </c>
      <c r="K157" s="134" t="s">
        <v>142</v>
      </c>
      <c r="L157" s="134" t="s">
        <v>142</v>
      </c>
      <c r="M157" s="370"/>
      <c r="N157" s="137"/>
    </row>
    <row r="158" hidden="1" outlineLevel="1">
      <c r="A158" s="367" t="s">
        <v>438</v>
      </c>
      <c r="B158" s="309">
        <v>46268.0</v>
      </c>
      <c r="C158" s="368" t="str">
        <f t="shared" si="17"/>
        <v>Thu</v>
      </c>
      <c r="D158" s="128">
        <f t="shared" si="18"/>
        <v>1</v>
      </c>
      <c r="E158" s="131" t="s">
        <v>142</v>
      </c>
      <c r="F158" s="134" t="s">
        <v>142</v>
      </c>
      <c r="G158" s="134" t="s">
        <v>142</v>
      </c>
      <c r="H158" s="134" t="s">
        <v>142</v>
      </c>
      <c r="I158" s="134" t="s">
        <v>142</v>
      </c>
      <c r="J158" s="134" t="s">
        <v>142</v>
      </c>
      <c r="K158" s="134" t="s">
        <v>142</v>
      </c>
      <c r="L158" s="134" t="s">
        <v>142</v>
      </c>
      <c r="M158" s="370"/>
      <c r="N158" s="137"/>
    </row>
    <row r="159" hidden="1" outlineLevel="1">
      <c r="A159" s="367" t="s">
        <v>439</v>
      </c>
      <c r="B159" s="309">
        <v>46269.0</v>
      </c>
      <c r="C159" s="368" t="str">
        <f t="shared" si="17"/>
        <v>Fri</v>
      </c>
      <c r="D159" s="143">
        <f t="shared" si="18"/>
        <v>1</v>
      </c>
      <c r="E159" s="144" t="s">
        <v>142</v>
      </c>
      <c r="F159" s="134" t="s">
        <v>142</v>
      </c>
      <c r="G159" s="134" t="s">
        <v>142</v>
      </c>
      <c r="H159" s="134" t="s">
        <v>142</v>
      </c>
      <c r="I159" s="134" t="s">
        <v>142</v>
      </c>
      <c r="J159" s="134" t="s">
        <v>142</v>
      </c>
      <c r="K159" s="134" t="s">
        <v>142</v>
      </c>
      <c r="L159" s="134" t="s">
        <v>142</v>
      </c>
      <c r="M159" s="370"/>
      <c r="N159" s="137"/>
    </row>
    <row r="160" hidden="1" outlineLevel="1">
      <c r="A160" s="367" t="s">
        <v>440</v>
      </c>
      <c r="B160" s="309">
        <v>46269.0</v>
      </c>
      <c r="C160" s="368" t="str">
        <f t="shared" si="17"/>
        <v>Fri</v>
      </c>
      <c r="D160" s="128">
        <f t="shared" si="18"/>
        <v>1</v>
      </c>
      <c r="E160" s="131" t="s">
        <v>142</v>
      </c>
      <c r="F160" s="134" t="s">
        <v>142</v>
      </c>
      <c r="G160" s="134" t="s">
        <v>142</v>
      </c>
      <c r="H160" s="134" t="s">
        <v>142</v>
      </c>
      <c r="I160" s="134" t="s">
        <v>142</v>
      </c>
      <c r="J160" s="134" t="s">
        <v>142</v>
      </c>
      <c r="K160" s="134" t="s">
        <v>142</v>
      </c>
      <c r="L160" s="134" t="s">
        <v>142</v>
      </c>
      <c r="M160" s="370"/>
      <c r="N160" s="137"/>
    </row>
    <row r="161" hidden="1" outlineLevel="1">
      <c r="A161" s="367" t="s">
        <v>449</v>
      </c>
      <c r="B161" s="309">
        <v>46269.0</v>
      </c>
      <c r="C161" s="368" t="str">
        <f t="shared" si="17"/>
        <v>Fri</v>
      </c>
      <c r="D161" s="143">
        <f t="shared" si="18"/>
        <v>1</v>
      </c>
      <c r="E161" s="144" t="s">
        <v>142</v>
      </c>
      <c r="F161" s="134" t="s">
        <v>142</v>
      </c>
      <c r="G161" s="134" t="s">
        <v>142</v>
      </c>
      <c r="H161" s="134" t="s">
        <v>142</v>
      </c>
      <c r="I161" s="134" t="s">
        <v>142</v>
      </c>
      <c r="J161" s="134" t="s">
        <v>142</v>
      </c>
      <c r="K161" s="134" t="s">
        <v>142</v>
      </c>
      <c r="L161" s="134" t="s">
        <v>142</v>
      </c>
      <c r="M161" s="370"/>
      <c r="N161" s="137"/>
    </row>
    <row r="162" hidden="1" outlineLevel="1">
      <c r="A162" s="373"/>
      <c r="B162" s="373"/>
      <c r="C162" s="374" t="s">
        <v>199</v>
      </c>
      <c r="D162" s="375">
        <f>AVERAGE(D147:D161)</f>
        <v>1</v>
      </c>
      <c r="E162" s="376"/>
      <c r="F162" s="373"/>
      <c r="G162" s="373"/>
      <c r="H162" s="373"/>
      <c r="I162" s="373"/>
      <c r="J162" s="373"/>
      <c r="K162" s="373"/>
      <c r="L162" s="374" t="s">
        <v>199</v>
      </c>
      <c r="M162" s="377">
        <f>SUM(M147:M161)/75*0.1</f>
        <v>0</v>
      </c>
      <c r="N162" s="373"/>
    </row>
    <row r="163" collapsed="1">
      <c r="A163" s="85" t="s">
        <v>450</v>
      </c>
      <c r="B163" s="86"/>
      <c r="C163" s="86"/>
      <c r="D163" s="359"/>
      <c r="E163" s="360"/>
      <c r="F163" s="361"/>
      <c r="G163" s="361"/>
      <c r="H163" s="361"/>
      <c r="I163" s="361"/>
      <c r="J163" s="361"/>
      <c r="K163" s="361"/>
      <c r="L163" s="361"/>
      <c r="M163" s="361"/>
      <c r="N163" s="361"/>
    </row>
    <row r="164" hidden="1" outlineLevel="1">
      <c r="A164" s="362" t="s">
        <v>89</v>
      </c>
      <c r="B164" s="363" t="s">
        <v>90</v>
      </c>
      <c r="C164" s="363" t="s">
        <v>91</v>
      </c>
      <c r="D164" s="364" t="s">
        <v>93</v>
      </c>
      <c r="E164" s="365" t="s">
        <v>94</v>
      </c>
      <c r="F164" s="365" t="s">
        <v>95</v>
      </c>
      <c r="G164" s="366" t="s">
        <v>96</v>
      </c>
      <c r="H164" s="366" t="s">
        <v>97</v>
      </c>
      <c r="I164" s="366" t="s">
        <v>104</v>
      </c>
      <c r="J164" s="366" t="s">
        <v>106</v>
      </c>
      <c r="K164" s="366" t="s">
        <v>109</v>
      </c>
      <c r="L164" s="366" t="s">
        <v>111</v>
      </c>
      <c r="M164" s="363" t="s">
        <v>114</v>
      </c>
      <c r="N164" s="363" t="s">
        <v>116</v>
      </c>
    </row>
    <row r="165" hidden="1" outlineLevel="1">
      <c r="A165" s="367" t="s">
        <v>451</v>
      </c>
      <c r="B165" s="309">
        <v>46272.0</v>
      </c>
      <c r="C165" s="368" t="str">
        <f t="shared" ref="C165:C179" si="19">IF(B165="", "", TEXT(B165, "ddd"))</f>
        <v>Mon</v>
      </c>
      <c r="D165" s="143">
        <f t="shared" ref="D165:D179" si="20">IF(E165="Yes",0.05,0)
+IF(F165="Yes",0.1,0)
+IF(G165="Yes",0.15,0)
+IF(H165="Yes",0.15,0)
+IF(I165="Yes",0.05,0)
+IF(J165="Yes",0.05,0)
+IF(K165="Yes",0.15,0)
+IF(L165="Yes",0.3,0)
</f>
        <v>1</v>
      </c>
      <c r="E165" s="144" t="s">
        <v>142</v>
      </c>
      <c r="F165" s="134" t="s">
        <v>142</v>
      </c>
      <c r="G165" s="134" t="s">
        <v>142</v>
      </c>
      <c r="H165" s="134" t="s">
        <v>142</v>
      </c>
      <c r="I165" s="134" t="s">
        <v>142</v>
      </c>
      <c r="J165" s="134" t="s">
        <v>142</v>
      </c>
      <c r="K165" s="134" t="s">
        <v>142</v>
      </c>
      <c r="L165" s="134" t="s">
        <v>142</v>
      </c>
      <c r="M165" s="370"/>
      <c r="N165" s="137"/>
    </row>
    <row r="166" hidden="1" outlineLevel="1">
      <c r="A166" s="367" t="s">
        <v>452</v>
      </c>
      <c r="B166" s="309">
        <v>46272.0</v>
      </c>
      <c r="C166" s="368" t="str">
        <f t="shared" si="19"/>
        <v>Mon</v>
      </c>
      <c r="D166" s="128">
        <f t="shared" si="20"/>
        <v>1</v>
      </c>
      <c r="E166" s="131" t="s">
        <v>142</v>
      </c>
      <c r="F166" s="134" t="s">
        <v>142</v>
      </c>
      <c r="G166" s="134" t="s">
        <v>142</v>
      </c>
      <c r="H166" s="134" t="s">
        <v>142</v>
      </c>
      <c r="I166" s="134" t="s">
        <v>142</v>
      </c>
      <c r="J166" s="134" t="s">
        <v>142</v>
      </c>
      <c r="K166" s="134" t="s">
        <v>142</v>
      </c>
      <c r="L166" s="134" t="s">
        <v>142</v>
      </c>
      <c r="M166" s="370"/>
      <c r="N166" s="137"/>
    </row>
    <row r="167" hidden="1" outlineLevel="1">
      <c r="A167" s="367" t="s">
        <v>453</v>
      </c>
      <c r="B167" s="309">
        <v>46272.0</v>
      </c>
      <c r="C167" s="368" t="str">
        <f t="shared" si="19"/>
        <v>Mon</v>
      </c>
      <c r="D167" s="143">
        <f t="shared" si="20"/>
        <v>1</v>
      </c>
      <c r="E167" s="144" t="s">
        <v>142</v>
      </c>
      <c r="F167" s="134" t="s">
        <v>142</v>
      </c>
      <c r="G167" s="134" t="s">
        <v>142</v>
      </c>
      <c r="H167" s="134" t="s">
        <v>142</v>
      </c>
      <c r="I167" s="134" t="s">
        <v>142</v>
      </c>
      <c r="J167" s="134" t="s">
        <v>142</v>
      </c>
      <c r="K167" s="134" t="s">
        <v>142</v>
      </c>
      <c r="L167" s="134" t="s">
        <v>142</v>
      </c>
      <c r="M167" s="370"/>
      <c r="N167" s="137"/>
    </row>
    <row r="168" hidden="1" outlineLevel="1">
      <c r="A168" s="367" t="s">
        <v>454</v>
      </c>
      <c r="B168" s="309">
        <v>46273.0</v>
      </c>
      <c r="C168" s="368" t="str">
        <f t="shared" si="19"/>
        <v>Tue</v>
      </c>
      <c r="D168" s="128">
        <f t="shared" si="20"/>
        <v>1</v>
      </c>
      <c r="E168" s="131" t="s">
        <v>142</v>
      </c>
      <c r="F168" s="134" t="s">
        <v>142</v>
      </c>
      <c r="G168" s="134" t="s">
        <v>142</v>
      </c>
      <c r="H168" s="134" t="s">
        <v>142</v>
      </c>
      <c r="I168" s="134" t="s">
        <v>142</v>
      </c>
      <c r="J168" s="134" t="s">
        <v>142</v>
      </c>
      <c r="K168" s="134" t="s">
        <v>142</v>
      </c>
      <c r="L168" s="134" t="s">
        <v>142</v>
      </c>
      <c r="M168" s="370"/>
      <c r="N168" s="137"/>
    </row>
    <row r="169" hidden="1" outlineLevel="1">
      <c r="A169" s="367" t="s">
        <v>455</v>
      </c>
      <c r="B169" s="309">
        <v>46273.0</v>
      </c>
      <c r="C169" s="368" t="str">
        <f t="shared" si="19"/>
        <v>Tue</v>
      </c>
      <c r="D169" s="143">
        <f t="shared" si="20"/>
        <v>1</v>
      </c>
      <c r="E169" s="144" t="s">
        <v>142</v>
      </c>
      <c r="F169" s="134" t="s">
        <v>142</v>
      </c>
      <c r="G169" s="134" t="s">
        <v>142</v>
      </c>
      <c r="H169" s="134" t="s">
        <v>142</v>
      </c>
      <c r="I169" s="134" t="s">
        <v>142</v>
      </c>
      <c r="J169" s="134" t="s">
        <v>142</v>
      </c>
      <c r="K169" s="134" t="s">
        <v>142</v>
      </c>
      <c r="L169" s="134" t="s">
        <v>142</v>
      </c>
      <c r="M169" s="370"/>
      <c r="N169" s="137"/>
    </row>
    <row r="170" hidden="1" outlineLevel="1">
      <c r="A170" s="367" t="s">
        <v>456</v>
      </c>
      <c r="B170" s="309">
        <v>46273.0</v>
      </c>
      <c r="C170" s="368" t="str">
        <f t="shared" si="19"/>
        <v>Tue</v>
      </c>
      <c r="D170" s="128">
        <f t="shared" si="20"/>
        <v>1</v>
      </c>
      <c r="E170" s="131" t="s">
        <v>142</v>
      </c>
      <c r="F170" s="134" t="s">
        <v>142</v>
      </c>
      <c r="G170" s="134" t="s">
        <v>142</v>
      </c>
      <c r="H170" s="134" t="s">
        <v>142</v>
      </c>
      <c r="I170" s="134" t="s">
        <v>142</v>
      </c>
      <c r="J170" s="134" t="s">
        <v>142</v>
      </c>
      <c r="K170" s="134" t="s">
        <v>142</v>
      </c>
      <c r="L170" s="134" t="s">
        <v>142</v>
      </c>
      <c r="M170" s="370"/>
      <c r="N170" s="137"/>
    </row>
    <row r="171" hidden="1" outlineLevel="1">
      <c r="A171" s="367" t="s">
        <v>458</v>
      </c>
      <c r="B171" s="309">
        <v>46274.0</v>
      </c>
      <c r="C171" s="368" t="str">
        <f t="shared" si="19"/>
        <v>Wed</v>
      </c>
      <c r="D171" s="143">
        <f t="shared" si="20"/>
        <v>1</v>
      </c>
      <c r="E171" s="144" t="s">
        <v>142</v>
      </c>
      <c r="F171" s="134" t="s">
        <v>142</v>
      </c>
      <c r="G171" s="134" t="s">
        <v>142</v>
      </c>
      <c r="H171" s="134" t="s">
        <v>142</v>
      </c>
      <c r="I171" s="134" t="s">
        <v>142</v>
      </c>
      <c r="J171" s="134" t="s">
        <v>142</v>
      </c>
      <c r="K171" s="134" t="s">
        <v>142</v>
      </c>
      <c r="L171" s="134" t="s">
        <v>142</v>
      </c>
      <c r="M171" s="370"/>
      <c r="N171" s="137"/>
    </row>
    <row r="172" hidden="1" outlineLevel="1">
      <c r="A172" s="368" t="s">
        <v>459</v>
      </c>
      <c r="B172" s="309">
        <v>46274.0</v>
      </c>
      <c r="C172" s="368" t="str">
        <f t="shared" si="19"/>
        <v>Wed</v>
      </c>
      <c r="D172" s="128">
        <f t="shared" si="20"/>
        <v>1</v>
      </c>
      <c r="E172" s="131" t="s">
        <v>142</v>
      </c>
      <c r="F172" s="134" t="s">
        <v>142</v>
      </c>
      <c r="G172" s="134" t="s">
        <v>142</v>
      </c>
      <c r="H172" s="134" t="s">
        <v>142</v>
      </c>
      <c r="I172" s="134" t="s">
        <v>142</v>
      </c>
      <c r="J172" s="134" t="s">
        <v>142</v>
      </c>
      <c r="K172" s="134" t="s">
        <v>142</v>
      </c>
      <c r="L172" s="134" t="s">
        <v>142</v>
      </c>
      <c r="M172" s="370"/>
      <c r="N172" s="137"/>
    </row>
    <row r="173" hidden="1" outlineLevel="1">
      <c r="A173" s="367" t="s">
        <v>460</v>
      </c>
      <c r="B173" s="309">
        <v>46274.0</v>
      </c>
      <c r="C173" s="368" t="str">
        <f t="shared" si="19"/>
        <v>Wed</v>
      </c>
      <c r="D173" s="143">
        <f t="shared" si="20"/>
        <v>1</v>
      </c>
      <c r="E173" s="144" t="s">
        <v>142</v>
      </c>
      <c r="F173" s="134" t="s">
        <v>142</v>
      </c>
      <c r="G173" s="134" t="s">
        <v>142</v>
      </c>
      <c r="H173" s="134" t="s">
        <v>142</v>
      </c>
      <c r="I173" s="134" t="s">
        <v>142</v>
      </c>
      <c r="J173" s="134" t="s">
        <v>142</v>
      </c>
      <c r="K173" s="134" t="s">
        <v>142</v>
      </c>
      <c r="L173" s="134" t="s">
        <v>142</v>
      </c>
      <c r="M173" s="370"/>
      <c r="N173" s="137"/>
    </row>
    <row r="174" hidden="1" outlineLevel="1">
      <c r="A174" s="367" t="s">
        <v>462</v>
      </c>
      <c r="B174" s="309">
        <v>46275.0</v>
      </c>
      <c r="C174" s="368" t="str">
        <f t="shared" si="19"/>
        <v>Thu</v>
      </c>
      <c r="D174" s="128">
        <f t="shared" si="20"/>
        <v>1</v>
      </c>
      <c r="E174" s="131" t="s">
        <v>142</v>
      </c>
      <c r="F174" s="134" t="s">
        <v>142</v>
      </c>
      <c r="G174" s="134" t="s">
        <v>142</v>
      </c>
      <c r="H174" s="134" t="s">
        <v>142</v>
      </c>
      <c r="I174" s="134" t="s">
        <v>142</v>
      </c>
      <c r="J174" s="134" t="s">
        <v>142</v>
      </c>
      <c r="K174" s="134" t="s">
        <v>142</v>
      </c>
      <c r="L174" s="134" t="s">
        <v>142</v>
      </c>
      <c r="M174" s="370"/>
      <c r="N174" s="137"/>
    </row>
    <row r="175" hidden="1" outlineLevel="1">
      <c r="A175" s="367" t="s">
        <v>465</v>
      </c>
      <c r="B175" s="309">
        <v>46275.0</v>
      </c>
      <c r="C175" s="368" t="str">
        <f t="shared" si="19"/>
        <v>Thu</v>
      </c>
      <c r="D175" s="143">
        <f t="shared" si="20"/>
        <v>1</v>
      </c>
      <c r="E175" s="144" t="s">
        <v>142</v>
      </c>
      <c r="F175" s="134" t="s">
        <v>142</v>
      </c>
      <c r="G175" s="134" t="s">
        <v>142</v>
      </c>
      <c r="H175" s="134" t="s">
        <v>142</v>
      </c>
      <c r="I175" s="134" t="s">
        <v>142</v>
      </c>
      <c r="J175" s="134" t="s">
        <v>142</v>
      </c>
      <c r="K175" s="134" t="s">
        <v>142</v>
      </c>
      <c r="L175" s="134" t="s">
        <v>142</v>
      </c>
      <c r="M175" s="370"/>
      <c r="N175" s="137"/>
    </row>
    <row r="176" hidden="1" outlineLevel="1">
      <c r="A176" s="367" t="s">
        <v>466</v>
      </c>
      <c r="B176" s="309">
        <v>46275.0</v>
      </c>
      <c r="C176" s="368" t="str">
        <f t="shared" si="19"/>
        <v>Thu</v>
      </c>
      <c r="D176" s="128">
        <f t="shared" si="20"/>
        <v>1</v>
      </c>
      <c r="E176" s="131" t="s">
        <v>142</v>
      </c>
      <c r="F176" s="134" t="s">
        <v>142</v>
      </c>
      <c r="G176" s="134" t="s">
        <v>142</v>
      </c>
      <c r="H176" s="134" t="s">
        <v>142</v>
      </c>
      <c r="I176" s="134" t="s">
        <v>142</v>
      </c>
      <c r="J176" s="134" t="s">
        <v>142</v>
      </c>
      <c r="K176" s="134" t="s">
        <v>142</v>
      </c>
      <c r="L176" s="134" t="s">
        <v>142</v>
      </c>
      <c r="M176" s="370"/>
      <c r="N176" s="137"/>
    </row>
    <row r="177" hidden="1" outlineLevel="1">
      <c r="A177" s="367" t="s">
        <v>467</v>
      </c>
      <c r="B177" s="309">
        <v>46276.0</v>
      </c>
      <c r="C177" s="368" t="str">
        <f t="shared" si="19"/>
        <v>Fri</v>
      </c>
      <c r="D177" s="143">
        <f t="shared" si="20"/>
        <v>1</v>
      </c>
      <c r="E177" s="144" t="s">
        <v>142</v>
      </c>
      <c r="F177" s="134" t="s">
        <v>142</v>
      </c>
      <c r="G177" s="134" t="s">
        <v>142</v>
      </c>
      <c r="H177" s="134" t="s">
        <v>142</v>
      </c>
      <c r="I177" s="134" t="s">
        <v>142</v>
      </c>
      <c r="J177" s="134" t="s">
        <v>142</v>
      </c>
      <c r="K177" s="134" t="s">
        <v>142</v>
      </c>
      <c r="L177" s="134" t="s">
        <v>142</v>
      </c>
      <c r="M177" s="370"/>
      <c r="N177" s="137"/>
    </row>
    <row r="178" hidden="1" outlineLevel="1">
      <c r="A178" s="367" t="s">
        <v>468</v>
      </c>
      <c r="B178" s="309">
        <v>46276.0</v>
      </c>
      <c r="C178" s="368" t="str">
        <f t="shared" si="19"/>
        <v>Fri</v>
      </c>
      <c r="D178" s="128">
        <f t="shared" si="20"/>
        <v>1</v>
      </c>
      <c r="E178" s="131" t="s">
        <v>142</v>
      </c>
      <c r="F178" s="134" t="s">
        <v>142</v>
      </c>
      <c r="G178" s="134" t="s">
        <v>142</v>
      </c>
      <c r="H178" s="134" t="s">
        <v>142</v>
      </c>
      <c r="I178" s="134" t="s">
        <v>142</v>
      </c>
      <c r="J178" s="134" t="s">
        <v>142</v>
      </c>
      <c r="K178" s="134" t="s">
        <v>142</v>
      </c>
      <c r="L178" s="134" t="s">
        <v>142</v>
      </c>
      <c r="M178" s="370"/>
      <c r="N178" s="137"/>
    </row>
    <row r="179" hidden="1" outlineLevel="1">
      <c r="A179" s="367" t="s">
        <v>469</v>
      </c>
      <c r="B179" s="309">
        <v>46276.0</v>
      </c>
      <c r="C179" s="368" t="str">
        <f t="shared" si="19"/>
        <v>Fri</v>
      </c>
      <c r="D179" s="143">
        <f t="shared" si="20"/>
        <v>1</v>
      </c>
      <c r="E179" s="144" t="s">
        <v>142</v>
      </c>
      <c r="F179" s="134" t="s">
        <v>142</v>
      </c>
      <c r="G179" s="134" t="s">
        <v>142</v>
      </c>
      <c r="H179" s="134" t="s">
        <v>142</v>
      </c>
      <c r="I179" s="134" t="s">
        <v>142</v>
      </c>
      <c r="J179" s="134" t="s">
        <v>142</v>
      </c>
      <c r="K179" s="134" t="s">
        <v>142</v>
      </c>
      <c r="L179" s="134" t="s">
        <v>142</v>
      </c>
      <c r="M179" s="370"/>
      <c r="N179" s="137"/>
    </row>
    <row r="180" hidden="1" outlineLevel="1">
      <c r="A180" s="373"/>
      <c r="B180" s="373"/>
      <c r="C180" s="374" t="s">
        <v>199</v>
      </c>
      <c r="D180" s="375">
        <f>AVERAGE(D165:D179)</f>
        <v>1</v>
      </c>
      <c r="E180" s="376"/>
      <c r="F180" s="373"/>
      <c r="G180" s="373"/>
      <c r="H180" s="373"/>
      <c r="I180" s="373"/>
      <c r="J180" s="373"/>
      <c r="K180" s="373"/>
      <c r="L180" s="374" t="s">
        <v>199</v>
      </c>
      <c r="M180" s="377">
        <f>SUM(M165:M179)/75*0.1</f>
        <v>0</v>
      </c>
      <c r="N180" s="373"/>
    </row>
    <row r="181" collapsed="1">
      <c r="A181" s="85" t="s">
        <v>471</v>
      </c>
      <c r="B181" s="86"/>
      <c r="C181" s="86"/>
      <c r="D181" s="359"/>
      <c r="E181" s="360"/>
      <c r="F181" s="361"/>
      <c r="G181" s="361"/>
      <c r="H181" s="361"/>
      <c r="I181" s="361"/>
      <c r="J181" s="361"/>
      <c r="K181" s="361"/>
      <c r="L181" s="361"/>
      <c r="M181" s="361"/>
      <c r="N181" s="361"/>
    </row>
    <row r="182" hidden="1" outlineLevel="1">
      <c r="A182" s="362" t="s">
        <v>89</v>
      </c>
      <c r="B182" s="363" t="s">
        <v>90</v>
      </c>
      <c r="C182" s="363" t="s">
        <v>91</v>
      </c>
      <c r="D182" s="364" t="s">
        <v>93</v>
      </c>
      <c r="E182" s="365" t="s">
        <v>94</v>
      </c>
      <c r="F182" s="365" t="s">
        <v>95</v>
      </c>
      <c r="G182" s="366" t="s">
        <v>96</v>
      </c>
      <c r="H182" s="366" t="s">
        <v>97</v>
      </c>
      <c r="I182" s="366" t="s">
        <v>104</v>
      </c>
      <c r="J182" s="366" t="s">
        <v>106</v>
      </c>
      <c r="K182" s="366" t="s">
        <v>109</v>
      </c>
      <c r="L182" s="366" t="s">
        <v>111</v>
      </c>
      <c r="M182" s="363" t="s">
        <v>114</v>
      </c>
      <c r="N182" s="363" t="s">
        <v>116</v>
      </c>
    </row>
    <row r="183" hidden="1" outlineLevel="1">
      <c r="A183" s="367" t="s">
        <v>472</v>
      </c>
      <c r="B183" s="309">
        <v>46279.0</v>
      </c>
      <c r="C183" s="368" t="str">
        <f t="shared" ref="C183:C197" si="21">IF(B183="", "", TEXT(B183, "ddd"))</f>
        <v>Mon</v>
      </c>
      <c r="D183" s="143">
        <f t="shared" ref="D183:D197" si="22">IF(E183="Yes",0.05,0)
+IF(F183="Yes",0.1,0)
+IF(G183="Yes",0.15,0)
+IF(H183="Yes",0.15,0)
+IF(I183="Yes",0.05,0)
+IF(J183="Yes",0.05,0)
+IF(K183="Yes",0.15,0)
+IF(L183="Yes",0.3,0)
</f>
        <v>1</v>
      </c>
      <c r="E183" s="144" t="s">
        <v>142</v>
      </c>
      <c r="F183" s="134" t="s">
        <v>142</v>
      </c>
      <c r="G183" s="134" t="s">
        <v>142</v>
      </c>
      <c r="H183" s="134" t="s">
        <v>142</v>
      </c>
      <c r="I183" s="134" t="s">
        <v>142</v>
      </c>
      <c r="J183" s="134" t="s">
        <v>142</v>
      </c>
      <c r="K183" s="134" t="s">
        <v>142</v>
      </c>
      <c r="L183" s="134" t="s">
        <v>142</v>
      </c>
      <c r="M183" s="370"/>
      <c r="N183" s="137"/>
    </row>
    <row r="184" hidden="1" outlineLevel="1">
      <c r="A184" s="367" t="s">
        <v>473</v>
      </c>
      <c r="B184" s="309">
        <v>46279.0</v>
      </c>
      <c r="C184" s="368" t="str">
        <f t="shared" si="21"/>
        <v>Mon</v>
      </c>
      <c r="D184" s="128">
        <f t="shared" si="22"/>
        <v>1</v>
      </c>
      <c r="E184" s="131" t="s">
        <v>142</v>
      </c>
      <c r="F184" s="134" t="s">
        <v>142</v>
      </c>
      <c r="G184" s="134" t="s">
        <v>142</v>
      </c>
      <c r="H184" s="134" t="s">
        <v>142</v>
      </c>
      <c r="I184" s="134" t="s">
        <v>142</v>
      </c>
      <c r="J184" s="134" t="s">
        <v>142</v>
      </c>
      <c r="K184" s="134" t="s">
        <v>142</v>
      </c>
      <c r="L184" s="134" t="s">
        <v>142</v>
      </c>
      <c r="M184" s="370"/>
      <c r="N184" s="137"/>
    </row>
    <row r="185" hidden="1" outlineLevel="1">
      <c r="A185" s="367" t="s">
        <v>474</v>
      </c>
      <c r="B185" s="309">
        <v>46279.0</v>
      </c>
      <c r="C185" s="368" t="str">
        <f t="shared" si="21"/>
        <v>Mon</v>
      </c>
      <c r="D185" s="143">
        <f t="shared" si="22"/>
        <v>1</v>
      </c>
      <c r="E185" s="144" t="s">
        <v>142</v>
      </c>
      <c r="F185" s="134" t="s">
        <v>142</v>
      </c>
      <c r="G185" s="134" t="s">
        <v>142</v>
      </c>
      <c r="H185" s="134" t="s">
        <v>142</v>
      </c>
      <c r="I185" s="134" t="s">
        <v>142</v>
      </c>
      <c r="J185" s="134" t="s">
        <v>142</v>
      </c>
      <c r="K185" s="134" t="s">
        <v>142</v>
      </c>
      <c r="L185" s="134" t="s">
        <v>142</v>
      </c>
      <c r="M185" s="370"/>
      <c r="N185" s="137"/>
    </row>
    <row r="186" hidden="1" outlineLevel="1">
      <c r="A186" s="367" t="s">
        <v>475</v>
      </c>
      <c r="B186" s="309">
        <v>46280.0</v>
      </c>
      <c r="C186" s="368" t="str">
        <f t="shared" si="21"/>
        <v>Tue</v>
      </c>
      <c r="D186" s="128">
        <f t="shared" si="22"/>
        <v>1</v>
      </c>
      <c r="E186" s="131" t="s">
        <v>142</v>
      </c>
      <c r="F186" s="134" t="s">
        <v>142</v>
      </c>
      <c r="G186" s="134" t="s">
        <v>142</v>
      </c>
      <c r="H186" s="134" t="s">
        <v>142</v>
      </c>
      <c r="I186" s="134" t="s">
        <v>142</v>
      </c>
      <c r="J186" s="134" t="s">
        <v>142</v>
      </c>
      <c r="K186" s="134" t="s">
        <v>142</v>
      </c>
      <c r="L186" s="134" t="s">
        <v>142</v>
      </c>
      <c r="M186" s="370"/>
      <c r="N186" s="137"/>
    </row>
    <row r="187" hidden="1" outlineLevel="1">
      <c r="A187" s="367" t="s">
        <v>476</v>
      </c>
      <c r="B187" s="309">
        <v>46280.0</v>
      </c>
      <c r="C187" s="368" t="str">
        <f t="shared" si="21"/>
        <v>Tue</v>
      </c>
      <c r="D187" s="143">
        <f t="shared" si="22"/>
        <v>1</v>
      </c>
      <c r="E187" s="144" t="s">
        <v>142</v>
      </c>
      <c r="F187" s="134" t="s">
        <v>142</v>
      </c>
      <c r="G187" s="134" t="s">
        <v>142</v>
      </c>
      <c r="H187" s="134" t="s">
        <v>142</v>
      </c>
      <c r="I187" s="134" t="s">
        <v>142</v>
      </c>
      <c r="J187" s="134" t="s">
        <v>142</v>
      </c>
      <c r="K187" s="134" t="s">
        <v>142</v>
      </c>
      <c r="L187" s="134" t="s">
        <v>142</v>
      </c>
      <c r="M187" s="370"/>
      <c r="N187" s="137"/>
    </row>
    <row r="188" hidden="1" outlineLevel="1">
      <c r="A188" s="367" t="s">
        <v>477</v>
      </c>
      <c r="B188" s="309">
        <v>46280.0</v>
      </c>
      <c r="C188" s="368" t="str">
        <f t="shared" si="21"/>
        <v>Tue</v>
      </c>
      <c r="D188" s="128">
        <f t="shared" si="22"/>
        <v>1</v>
      </c>
      <c r="E188" s="131" t="s">
        <v>142</v>
      </c>
      <c r="F188" s="134" t="s">
        <v>142</v>
      </c>
      <c r="G188" s="134" t="s">
        <v>142</v>
      </c>
      <c r="H188" s="134" t="s">
        <v>142</v>
      </c>
      <c r="I188" s="134" t="s">
        <v>142</v>
      </c>
      <c r="J188" s="134" t="s">
        <v>142</v>
      </c>
      <c r="K188" s="134" t="s">
        <v>142</v>
      </c>
      <c r="L188" s="134" t="s">
        <v>142</v>
      </c>
      <c r="M188" s="370"/>
      <c r="N188" s="137"/>
    </row>
    <row r="189" hidden="1" outlineLevel="1">
      <c r="A189" s="367" t="s">
        <v>482</v>
      </c>
      <c r="B189" s="309">
        <v>46281.0</v>
      </c>
      <c r="C189" s="368" t="str">
        <f t="shared" si="21"/>
        <v>Wed</v>
      </c>
      <c r="D189" s="143">
        <f t="shared" si="22"/>
        <v>1</v>
      </c>
      <c r="E189" s="144" t="s">
        <v>142</v>
      </c>
      <c r="F189" s="134" t="s">
        <v>142</v>
      </c>
      <c r="G189" s="134" t="s">
        <v>142</v>
      </c>
      <c r="H189" s="134" t="s">
        <v>142</v>
      </c>
      <c r="I189" s="134" t="s">
        <v>142</v>
      </c>
      <c r="J189" s="134" t="s">
        <v>142</v>
      </c>
      <c r="K189" s="134" t="s">
        <v>142</v>
      </c>
      <c r="L189" s="134" t="s">
        <v>142</v>
      </c>
      <c r="M189" s="370"/>
      <c r="N189" s="137"/>
    </row>
    <row r="190" hidden="1" outlineLevel="1">
      <c r="A190" s="367" t="s">
        <v>485</v>
      </c>
      <c r="B190" s="309">
        <v>46281.0</v>
      </c>
      <c r="C190" s="368" t="str">
        <f t="shared" si="21"/>
        <v>Wed</v>
      </c>
      <c r="D190" s="128">
        <f t="shared" si="22"/>
        <v>1</v>
      </c>
      <c r="E190" s="131" t="s">
        <v>142</v>
      </c>
      <c r="F190" s="134" t="s">
        <v>142</v>
      </c>
      <c r="G190" s="134" t="s">
        <v>142</v>
      </c>
      <c r="H190" s="134" t="s">
        <v>142</v>
      </c>
      <c r="I190" s="134" t="s">
        <v>142</v>
      </c>
      <c r="J190" s="134" t="s">
        <v>142</v>
      </c>
      <c r="K190" s="134" t="s">
        <v>142</v>
      </c>
      <c r="L190" s="134" t="s">
        <v>142</v>
      </c>
      <c r="M190" s="370"/>
      <c r="N190" s="137"/>
    </row>
    <row r="191" hidden="1" outlineLevel="1">
      <c r="A191" s="367" t="s">
        <v>486</v>
      </c>
      <c r="B191" s="309">
        <v>46281.0</v>
      </c>
      <c r="C191" s="368" t="str">
        <f t="shared" si="21"/>
        <v>Wed</v>
      </c>
      <c r="D191" s="143">
        <f t="shared" si="22"/>
        <v>1</v>
      </c>
      <c r="E191" s="144" t="s">
        <v>142</v>
      </c>
      <c r="F191" s="134" t="s">
        <v>142</v>
      </c>
      <c r="G191" s="134" t="s">
        <v>142</v>
      </c>
      <c r="H191" s="134" t="s">
        <v>142</v>
      </c>
      <c r="I191" s="134" t="s">
        <v>142</v>
      </c>
      <c r="J191" s="134" t="s">
        <v>142</v>
      </c>
      <c r="K191" s="134" t="s">
        <v>142</v>
      </c>
      <c r="L191" s="134" t="s">
        <v>142</v>
      </c>
      <c r="M191" s="370"/>
      <c r="N191" s="137"/>
    </row>
    <row r="192" hidden="1" outlineLevel="1">
      <c r="A192" s="367" t="s">
        <v>487</v>
      </c>
      <c r="B192" s="309">
        <v>46282.0</v>
      </c>
      <c r="C192" s="368" t="str">
        <f t="shared" si="21"/>
        <v>Thu</v>
      </c>
      <c r="D192" s="128">
        <f t="shared" si="22"/>
        <v>1</v>
      </c>
      <c r="E192" s="131" t="s">
        <v>142</v>
      </c>
      <c r="F192" s="134" t="s">
        <v>142</v>
      </c>
      <c r="G192" s="134" t="s">
        <v>142</v>
      </c>
      <c r="H192" s="134" t="s">
        <v>142</v>
      </c>
      <c r="I192" s="134" t="s">
        <v>142</v>
      </c>
      <c r="J192" s="134" t="s">
        <v>142</v>
      </c>
      <c r="K192" s="134" t="s">
        <v>142</v>
      </c>
      <c r="L192" s="134" t="s">
        <v>142</v>
      </c>
      <c r="M192" s="370"/>
      <c r="N192" s="137"/>
    </row>
    <row r="193" hidden="1" outlineLevel="1">
      <c r="A193" s="367" t="s">
        <v>488</v>
      </c>
      <c r="B193" s="309">
        <v>46282.0</v>
      </c>
      <c r="C193" s="368" t="str">
        <f t="shared" si="21"/>
        <v>Thu</v>
      </c>
      <c r="D193" s="143">
        <f t="shared" si="22"/>
        <v>1</v>
      </c>
      <c r="E193" s="144" t="s">
        <v>142</v>
      </c>
      <c r="F193" s="134" t="s">
        <v>142</v>
      </c>
      <c r="G193" s="134" t="s">
        <v>142</v>
      </c>
      <c r="H193" s="134" t="s">
        <v>142</v>
      </c>
      <c r="I193" s="134" t="s">
        <v>142</v>
      </c>
      <c r="J193" s="134" t="s">
        <v>142</v>
      </c>
      <c r="K193" s="134" t="s">
        <v>142</v>
      </c>
      <c r="L193" s="134" t="s">
        <v>142</v>
      </c>
      <c r="M193" s="370"/>
      <c r="N193" s="137"/>
    </row>
    <row r="194" hidden="1" outlineLevel="1">
      <c r="A194" s="367" t="s">
        <v>489</v>
      </c>
      <c r="B194" s="309">
        <v>46282.0</v>
      </c>
      <c r="C194" s="368" t="str">
        <f t="shared" si="21"/>
        <v>Thu</v>
      </c>
      <c r="D194" s="128">
        <f t="shared" si="22"/>
        <v>1</v>
      </c>
      <c r="E194" s="131" t="s">
        <v>142</v>
      </c>
      <c r="F194" s="134" t="s">
        <v>142</v>
      </c>
      <c r="G194" s="134" t="s">
        <v>142</v>
      </c>
      <c r="H194" s="134" t="s">
        <v>142</v>
      </c>
      <c r="I194" s="134" t="s">
        <v>142</v>
      </c>
      <c r="J194" s="134" t="s">
        <v>142</v>
      </c>
      <c r="K194" s="134" t="s">
        <v>142</v>
      </c>
      <c r="L194" s="134" t="s">
        <v>142</v>
      </c>
      <c r="M194" s="370"/>
      <c r="N194" s="137"/>
    </row>
    <row r="195" hidden="1" outlineLevel="1">
      <c r="A195" s="367" t="s">
        <v>490</v>
      </c>
      <c r="B195" s="309">
        <v>46283.0</v>
      </c>
      <c r="C195" s="368" t="str">
        <f t="shared" si="21"/>
        <v>Fri</v>
      </c>
      <c r="D195" s="143">
        <f t="shared" si="22"/>
        <v>1</v>
      </c>
      <c r="E195" s="144" t="s">
        <v>142</v>
      </c>
      <c r="F195" s="134" t="s">
        <v>142</v>
      </c>
      <c r="G195" s="134" t="s">
        <v>142</v>
      </c>
      <c r="H195" s="134" t="s">
        <v>142</v>
      </c>
      <c r="I195" s="134" t="s">
        <v>142</v>
      </c>
      <c r="J195" s="134" t="s">
        <v>142</v>
      </c>
      <c r="K195" s="134" t="s">
        <v>142</v>
      </c>
      <c r="L195" s="134" t="s">
        <v>142</v>
      </c>
      <c r="M195" s="370"/>
      <c r="N195" s="137"/>
    </row>
    <row r="196" hidden="1" outlineLevel="1">
      <c r="A196" s="367" t="s">
        <v>491</v>
      </c>
      <c r="B196" s="309">
        <v>46283.0</v>
      </c>
      <c r="C196" s="368" t="str">
        <f t="shared" si="21"/>
        <v>Fri</v>
      </c>
      <c r="D196" s="128">
        <f t="shared" si="22"/>
        <v>1</v>
      </c>
      <c r="E196" s="131" t="s">
        <v>142</v>
      </c>
      <c r="F196" s="134" t="s">
        <v>142</v>
      </c>
      <c r="G196" s="134" t="s">
        <v>142</v>
      </c>
      <c r="H196" s="134" t="s">
        <v>142</v>
      </c>
      <c r="I196" s="134" t="s">
        <v>142</v>
      </c>
      <c r="J196" s="134" t="s">
        <v>142</v>
      </c>
      <c r="K196" s="134" t="s">
        <v>142</v>
      </c>
      <c r="L196" s="134" t="s">
        <v>142</v>
      </c>
      <c r="M196" s="370"/>
      <c r="N196" s="137"/>
    </row>
    <row r="197" hidden="1" outlineLevel="1">
      <c r="A197" s="367" t="s">
        <v>492</v>
      </c>
      <c r="B197" s="309">
        <v>46283.0</v>
      </c>
      <c r="C197" s="368" t="str">
        <f t="shared" si="21"/>
        <v>Fri</v>
      </c>
      <c r="D197" s="143">
        <f t="shared" si="22"/>
        <v>1</v>
      </c>
      <c r="E197" s="144" t="s">
        <v>142</v>
      </c>
      <c r="F197" s="134" t="s">
        <v>142</v>
      </c>
      <c r="G197" s="134" t="s">
        <v>142</v>
      </c>
      <c r="H197" s="134" t="s">
        <v>142</v>
      </c>
      <c r="I197" s="134" t="s">
        <v>142</v>
      </c>
      <c r="J197" s="134" t="s">
        <v>142</v>
      </c>
      <c r="K197" s="134" t="s">
        <v>142</v>
      </c>
      <c r="L197" s="134" t="s">
        <v>142</v>
      </c>
      <c r="M197" s="370"/>
      <c r="N197" s="137"/>
    </row>
    <row r="198" hidden="1" outlineLevel="1">
      <c r="A198" s="373"/>
      <c r="B198" s="373"/>
      <c r="C198" s="374" t="s">
        <v>199</v>
      </c>
      <c r="D198" s="375">
        <f>AVERAGE(D183:D197)</f>
        <v>1</v>
      </c>
      <c r="E198" s="376"/>
      <c r="F198" s="373"/>
      <c r="G198" s="373"/>
      <c r="H198" s="373"/>
      <c r="I198" s="373"/>
      <c r="J198" s="373"/>
      <c r="K198" s="373"/>
      <c r="L198" s="374" t="s">
        <v>199</v>
      </c>
      <c r="M198" s="377">
        <f>SUM(M183:M197)/75*0.1</f>
        <v>0</v>
      </c>
      <c r="N198" s="373"/>
    </row>
    <row r="199" collapsed="1">
      <c r="A199" s="85" t="s">
        <v>493</v>
      </c>
      <c r="B199" s="86"/>
      <c r="C199" s="86"/>
      <c r="D199" s="359"/>
      <c r="E199" s="360"/>
      <c r="F199" s="361"/>
      <c r="G199" s="361"/>
      <c r="H199" s="361"/>
      <c r="I199" s="361"/>
      <c r="J199" s="361"/>
      <c r="K199" s="361"/>
      <c r="L199" s="361"/>
      <c r="M199" s="361"/>
      <c r="N199" s="361"/>
    </row>
    <row r="200" hidden="1" outlineLevel="1">
      <c r="A200" s="362" t="s">
        <v>89</v>
      </c>
      <c r="B200" s="363" t="s">
        <v>90</v>
      </c>
      <c r="C200" s="363" t="s">
        <v>91</v>
      </c>
      <c r="D200" s="364" t="s">
        <v>93</v>
      </c>
      <c r="E200" s="365" t="s">
        <v>94</v>
      </c>
      <c r="F200" s="365" t="s">
        <v>95</v>
      </c>
      <c r="G200" s="366" t="s">
        <v>96</v>
      </c>
      <c r="H200" s="366" t="s">
        <v>97</v>
      </c>
      <c r="I200" s="366" t="s">
        <v>104</v>
      </c>
      <c r="J200" s="366" t="s">
        <v>106</v>
      </c>
      <c r="K200" s="366" t="s">
        <v>109</v>
      </c>
      <c r="L200" s="366" t="s">
        <v>111</v>
      </c>
      <c r="M200" s="363" t="s">
        <v>114</v>
      </c>
      <c r="N200" s="363" t="s">
        <v>116</v>
      </c>
    </row>
    <row r="201" hidden="1" outlineLevel="1">
      <c r="A201" s="367" t="s">
        <v>494</v>
      </c>
      <c r="B201" s="309">
        <v>46286.0</v>
      </c>
      <c r="C201" s="368" t="str">
        <f t="shared" ref="C201:C215" si="23">IF(B201="", "", TEXT(B201, "ddd"))</f>
        <v>Mon</v>
      </c>
      <c r="D201" s="143">
        <f t="shared" ref="D201:D215" si="24">IF(E201="Yes",0.05,0)
+IF(F201="Yes",0.1,0)
+IF(G201="Yes",0.15,0)
+IF(H201="Yes",0.15,0)
+IF(I201="Yes",0.05,0)
+IF(J201="Yes",0.05,0)
+IF(K201="Yes",0.15,0)
+IF(L201="Yes",0.3,0)
</f>
        <v>1</v>
      </c>
      <c r="E201" s="144" t="s">
        <v>142</v>
      </c>
      <c r="F201" s="134" t="s">
        <v>142</v>
      </c>
      <c r="G201" s="134" t="s">
        <v>142</v>
      </c>
      <c r="H201" s="134" t="s">
        <v>142</v>
      </c>
      <c r="I201" s="134" t="s">
        <v>142</v>
      </c>
      <c r="J201" s="134" t="s">
        <v>142</v>
      </c>
      <c r="K201" s="134" t="s">
        <v>142</v>
      </c>
      <c r="L201" s="134" t="s">
        <v>142</v>
      </c>
      <c r="M201" s="370"/>
      <c r="N201" s="137"/>
    </row>
    <row r="202" hidden="1" outlineLevel="1">
      <c r="A202" s="367" t="s">
        <v>495</v>
      </c>
      <c r="B202" s="309">
        <v>46286.0</v>
      </c>
      <c r="C202" s="368" t="str">
        <f t="shared" si="23"/>
        <v>Mon</v>
      </c>
      <c r="D202" s="128">
        <f t="shared" si="24"/>
        <v>1</v>
      </c>
      <c r="E202" s="131" t="s">
        <v>142</v>
      </c>
      <c r="F202" s="134" t="s">
        <v>142</v>
      </c>
      <c r="G202" s="134" t="s">
        <v>142</v>
      </c>
      <c r="H202" s="134" t="s">
        <v>142</v>
      </c>
      <c r="I202" s="134" t="s">
        <v>142</v>
      </c>
      <c r="J202" s="134" t="s">
        <v>142</v>
      </c>
      <c r="K202" s="134" t="s">
        <v>142</v>
      </c>
      <c r="L202" s="134" t="s">
        <v>142</v>
      </c>
      <c r="M202" s="370"/>
      <c r="N202" s="137"/>
    </row>
    <row r="203" hidden="1" outlineLevel="1">
      <c r="A203" s="367" t="s">
        <v>496</v>
      </c>
      <c r="B203" s="309">
        <v>46286.0</v>
      </c>
      <c r="C203" s="368" t="str">
        <f t="shared" si="23"/>
        <v>Mon</v>
      </c>
      <c r="D203" s="143">
        <f t="shared" si="24"/>
        <v>1</v>
      </c>
      <c r="E203" s="144" t="s">
        <v>142</v>
      </c>
      <c r="F203" s="134" t="s">
        <v>142</v>
      </c>
      <c r="G203" s="134" t="s">
        <v>142</v>
      </c>
      <c r="H203" s="134" t="s">
        <v>142</v>
      </c>
      <c r="I203" s="134" t="s">
        <v>142</v>
      </c>
      <c r="J203" s="134" t="s">
        <v>142</v>
      </c>
      <c r="K203" s="134" t="s">
        <v>142</v>
      </c>
      <c r="L203" s="134" t="s">
        <v>142</v>
      </c>
      <c r="M203" s="370"/>
      <c r="N203" s="137"/>
    </row>
    <row r="204" hidden="1" outlineLevel="1">
      <c r="A204" s="367" t="s">
        <v>497</v>
      </c>
      <c r="B204" s="309">
        <v>46287.0</v>
      </c>
      <c r="C204" s="368" t="str">
        <f t="shared" si="23"/>
        <v>Tue</v>
      </c>
      <c r="D204" s="128">
        <f t="shared" si="24"/>
        <v>1</v>
      </c>
      <c r="E204" s="131" t="s">
        <v>142</v>
      </c>
      <c r="F204" s="134" t="s">
        <v>142</v>
      </c>
      <c r="G204" s="134" t="s">
        <v>142</v>
      </c>
      <c r="H204" s="134" t="s">
        <v>142</v>
      </c>
      <c r="I204" s="134" t="s">
        <v>142</v>
      </c>
      <c r="J204" s="134" t="s">
        <v>142</v>
      </c>
      <c r="K204" s="134" t="s">
        <v>142</v>
      </c>
      <c r="L204" s="134" t="s">
        <v>142</v>
      </c>
      <c r="M204" s="370"/>
      <c r="N204" s="137"/>
    </row>
    <row r="205" hidden="1" outlineLevel="1">
      <c r="A205" s="367" t="s">
        <v>499</v>
      </c>
      <c r="B205" s="309">
        <v>46287.0</v>
      </c>
      <c r="C205" s="368" t="str">
        <f t="shared" si="23"/>
        <v>Tue</v>
      </c>
      <c r="D205" s="143">
        <f t="shared" si="24"/>
        <v>1</v>
      </c>
      <c r="E205" s="144" t="s">
        <v>142</v>
      </c>
      <c r="F205" s="134" t="s">
        <v>142</v>
      </c>
      <c r="G205" s="134" t="s">
        <v>142</v>
      </c>
      <c r="H205" s="134" t="s">
        <v>142</v>
      </c>
      <c r="I205" s="134" t="s">
        <v>142</v>
      </c>
      <c r="J205" s="134" t="s">
        <v>142</v>
      </c>
      <c r="K205" s="134" t="s">
        <v>142</v>
      </c>
      <c r="L205" s="134" t="s">
        <v>142</v>
      </c>
      <c r="M205" s="370"/>
      <c r="N205" s="137"/>
    </row>
    <row r="206" hidden="1" outlineLevel="1">
      <c r="A206" s="367" t="s">
        <v>500</v>
      </c>
      <c r="B206" s="309">
        <v>46287.0</v>
      </c>
      <c r="C206" s="368" t="str">
        <f t="shared" si="23"/>
        <v>Tue</v>
      </c>
      <c r="D206" s="128">
        <f t="shared" si="24"/>
        <v>1</v>
      </c>
      <c r="E206" s="131" t="s">
        <v>142</v>
      </c>
      <c r="F206" s="134" t="s">
        <v>142</v>
      </c>
      <c r="G206" s="134" t="s">
        <v>142</v>
      </c>
      <c r="H206" s="134" t="s">
        <v>142</v>
      </c>
      <c r="I206" s="134" t="s">
        <v>142</v>
      </c>
      <c r="J206" s="134" t="s">
        <v>142</v>
      </c>
      <c r="K206" s="134" t="s">
        <v>142</v>
      </c>
      <c r="L206" s="134" t="s">
        <v>142</v>
      </c>
      <c r="M206" s="370"/>
      <c r="N206" s="137"/>
    </row>
    <row r="207" hidden="1" outlineLevel="1">
      <c r="A207" s="367" t="s">
        <v>501</v>
      </c>
      <c r="B207" s="309">
        <v>46288.0</v>
      </c>
      <c r="C207" s="368" t="str">
        <f t="shared" si="23"/>
        <v>Wed</v>
      </c>
      <c r="D207" s="143">
        <f t="shared" si="24"/>
        <v>1</v>
      </c>
      <c r="E207" s="144" t="s">
        <v>142</v>
      </c>
      <c r="F207" s="134" t="s">
        <v>142</v>
      </c>
      <c r="G207" s="134" t="s">
        <v>142</v>
      </c>
      <c r="H207" s="134" t="s">
        <v>142</v>
      </c>
      <c r="I207" s="134" t="s">
        <v>142</v>
      </c>
      <c r="J207" s="134" t="s">
        <v>142</v>
      </c>
      <c r="K207" s="134" t="s">
        <v>142</v>
      </c>
      <c r="L207" s="134" t="s">
        <v>142</v>
      </c>
      <c r="M207" s="370"/>
      <c r="N207" s="137"/>
    </row>
    <row r="208" hidden="1" outlineLevel="1">
      <c r="A208" s="367" t="s">
        <v>502</v>
      </c>
      <c r="B208" s="309">
        <v>46288.0</v>
      </c>
      <c r="C208" s="368" t="str">
        <f t="shared" si="23"/>
        <v>Wed</v>
      </c>
      <c r="D208" s="128">
        <f t="shared" si="24"/>
        <v>1</v>
      </c>
      <c r="E208" s="131" t="s">
        <v>142</v>
      </c>
      <c r="F208" s="134" t="s">
        <v>142</v>
      </c>
      <c r="G208" s="134" t="s">
        <v>142</v>
      </c>
      <c r="H208" s="134" t="s">
        <v>142</v>
      </c>
      <c r="I208" s="134" t="s">
        <v>142</v>
      </c>
      <c r="J208" s="134" t="s">
        <v>142</v>
      </c>
      <c r="K208" s="134" t="s">
        <v>142</v>
      </c>
      <c r="L208" s="134" t="s">
        <v>142</v>
      </c>
      <c r="M208" s="370"/>
      <c r="N208" s="137"/>
    </row>
    <row r="209" hidden="1" outlineLevel="1">
      <c r="A209" s="367" t="s">
        <v>505</v>
      </c>
      <c r="B209" s="309">
        <v>46288.0</v>
      </c>
      <c r="C209" s="368" t="str">
        <f t="shared" si="23"/>
        <v>Wed</v>
      </c>
      <c r="D209" s="143">
        <f t="shared" si="24"/>
        <v>1</v>
      </c>
      <c r="E209" s="144" t="s">
        <v>142</v>
      </c>
      <c r="F209" s="134" t="s">
        <v>142</v>
      </c>
      <c r="G209" s="134" t="s">
        <v>142</v>
      </c>
      <c r="H209" s="134" t="s">
        <v>142</v>
      </c>
      <c r="I209" s="134" t="s">
        <v>142</v>
      </c>
      <c r="J209" s="134" t="s">
        <v>142</v>
      </c>
      <c r="K209" s="134" t="s">
        <v>142</v>
      </c>
      <c r="L209" s="134" t="s">
        <v>142</v>
      </c>
      <c r="M209" s="370"/>
      <c r="N209" s="137"/>
    </row>
    <row r="210" hidden="1" outlineLevel="1">
      <c r="A210" s="367" t="s">
        <v>506</v>
      </c>
      <c r="B210" s="309">
        <v>46289.0</v>
      </c>
      <c r="C210" s="368" t="str">
        <f t="shared" si="23"/>
        <v>Thu</v>
      </c>
      <c r="D210" s="128">
        <f t="shared" si="24"/>
        <v>1</v>
      </c>
      <c r="E210" s="131" t="s">
        <v>142</v>
      </c>
      <c r="F210" s="134" t="s">
        <v>142</v>
      </c>
      <c r="G210" s="134" t="s">
        <v>142</v>
      </c>
      <c r="H210" s="134" t="s">
        <v>142</v>
      </c>
      <c r="I210" s="134" t="s">
        <v>142</v>
      </c>
      <c r="J210" s="134" t="s">
        <v>142</v>
      </c>
      <c r="K210" s="134" t="s">
        <v>142</v>
      </c>
      <c r="L210" s="134" t="s">
        <v>142</v>
      </c>
      <c r="M210" s="370"/>
      <c r="N210" s="137"/>
    </row>
    <row r="211" hidden="1" outlineLevel="1">
      <c r="A211" s="367" t="s">
        <v>507</v>
      </c>
      <c r="B211" s="309">
        <v>46289.0</v>
      </c>
      <c r="C211" s="368" t="str">
        <f t="shared" si="23"/>
        <v>Thu</v>
      </c>
      <c r="D211" s="143">
        <f t="shared" si="24"/>
        <v>1</v>
      </c>
      <c r="E211" s="144" t="s">
        <v>142</v>
      </c>
      <c r="F211" s="134" t="s">
        <v>142</v>
      </c>
      <c r="G211" s="134" t="s">
        <v>142</v>
      </c>
      <c r="H211" s="134" t="s">
        <v>142</v>
      </c>
      <c r="I211" s="134" t="s">
        <v>142</v>
      </c>
      <c r="J211" s="134" t="s">
        <v>142</v>
      </c>
      <c r="K211" s="134" t="s">
        <v>142</v>
      </c>
      <c r="L211" s="134" t="s">
        <v>142</v>
      </c>
      <c r="M211" s="370"/>
      <c r="N211" s="137"/>
    </row>
    <row r="212" hidden="1" outlineLevel="1">
      <c r="A212" s="367" t="s">
        <v>509</v>
      </c>
      <c r="B212" s="309">
        <v>46289.0</v>
      </c>
      <c r="C212" s="368" t="str">
        <f t="shared" si="23"/>
        <v>Thu</v>
      </c>
      <c r="D212" s="128">
        <f t="shared" si="24"/>
        <v>1</v>
      </c>
      <c r="E212" s="131" t="s">
        <v>142</v>
      </c>
      <c r="F212" s="134" t="s">
        <v>142</v>
      </c>
      <c r="G212" s="134" t="s">
        <v>142</v>
      </c>
      <c r="H212" s="134" t="s">
        <v>142</v>
      </c>
      <c r="I212" s="134" t="s">
        <v>142</v>
      </c>
      <c r="J212" s="134" t="s">
        <v>142</v>
      </c>
      <c r="K212" s="134" t="s">
        <v>142</v>
      </c>
      <c r="L212" s="134" t="s">
        <v>142</v>
      </c>
      <c r="M212" s="370"/>
      <c r="N212" s="137"/>
    </row>
    <row r="213" hidden="1" outlineLevel="1">
      <c r="A213" s="367" t="s">
        <v>510</v>
      </c>
      <c r="B213" s="309">
        <v>46290.0</v>
      </c>
      <c r="C213" s="368" t="str">
        <f t="shared" si="23"/>
        <v>Fri</v>
      </c>
      <c r="D213" s="143">
        <f t="shared" si="24"/>
        <v>1</v>
      </c>
      <c r="E213" s="144" t="s">
        <v>142</v>
      </c>
      <c r="F213" s="134" t="s">
        <v>142</v>
      </c>
      <c r="G213" s="134" t="s">
        <v>142</v>
      </c>
      <c r="H213" s="134" t="s">
        <v>142</v>
      </c>
      <c r="I213" s="134" t="s">
        <v>142</v>
      </c>
      <c r="J213" s="134" t="s">
        <v>142</v>
      </c>
      <c r="K213" s="134" t="s">
        <v>142</v>
      </c>
      <c r="L213" s="134" t="s">
        <v>142</v>
      </c>
      <c r="M213" s="370"/>
      <c r="N213" s="137"/>
    </row>
    <row r="214" hidden="1" outlineLevel="1">
      <c r="A214" s="367" t="s">
        <v>512</v>
      </c>
      <c r="B214" s="309">
        <v>46290.0</v>
      </c>
      <c r="C214" s="368" t="str">
        <f t="shared" si="23"/>
        <v>Fri</v>
      </c>
      <c r="D214" s="128">
        <f t="shared" si="24"/>
        <v>1</v>
      </c>
      <c r="E214" s="131" t="s">
        <v>142</v>
      </c>
      <c r="F214" s="134" t="s">
        <v>142</v>
      </c>
      <c r="G214" s="134" t="s">
        <v>142</v>
      </c>
      <c r="H214" s="134" t="s">
        <v>142</v>
      </c>
      <c r="I214" s="134" t="s">
        <v>142</v>
      </c>
      <c r="J214" s="134" t="s">
        <v>142</v>
      </c>
      <c r="K214" s="134" t="s">
        <v>142</v>
      </c>
      <c r="L214" s="134" t="s">
        <v>142</v>
      </c>
      <c r="M214" s="370"/>
      <c r="N214" s="137"/>
    </row>
    <row r="215" hidden="1" outlineLevel="1">
      <c r="A215" s="367" t="s">
        <v>513</v>
      </c>
      <c r="B215" s="309">
        <v>46290.0</v>
      </c>
      <c r="C215" s="368" t="str">
        <f t="shared" si="23"/>
        <v>Fri</v>
      </c>
      <c r="D215" s="143">
        <f t="shared" si="24"/>
        <v>1</v>
      </c>
      <c r="E215" s="144" t="s">
        <v>142</v>
      </c>
      <c r="F215" s="134" t="s">
        <v>142</v>
      </c>
      <c r="G215" s="134" t="s">
        <v>142</v>
      </c>
      <c r="H215" s="134" t="s">
        <v>142</v>
      </c>
      <c r="I215" s="134" t="s">
        <v>142</v>
      </c>
      <c r="J215" s="134" t="s">
        <v>142</v>
      </c>
      <c r="K215" s="134" t="s">
        <v>142</v>
      </c>
      <c r="L215" s="134" t="s">
        <v>142</v>
      </c>
      <c r="M215" s="370"/>
      <c r="N215" s="137"/>
    </row>
    <row r="216" hidden="1" outlineLevel="1">
      <c r="A216" s="373"/>
      <c r="B216" s="373"/>
      <c r="C216" s="374" t="s">
        <v>199</v>
      </c>
      <c r="D216" s="375">
        <f>AVERAGE(D201:D215)</f>
        <v>1</v>
      </c>
      <c r="E216" s="376"/>
      <c r="F216" s="373"/>
      <c r="G216" s="373"/>
      <c r="H216" s="373"/>
      <c r="I216" s="373"/>
      <c r="J216" s="373"/>
      <c r="K216" s="373"/>
      <c r="L216" s="374" t="s">
        <v>199</v>
      </c>
      <c r="M216" s="377">
        <f>SUM(M201:M215)/75*0.1</f>
        <v>0</v>
      </c>
      <c r="N216" s="373"/>
    </row>
    <row r="217" collapsed="1">
      <c r="A217" s="85" t="s">
        <v>514</v>
      </c>
      <c r="B217" s="86"/>
      <c r="C217" s="86"/>
      <c r="D217" s="359"/>
      <c r="E217" s="360"/>
      <c r="F217" s="361"/>
      <c r="G217" s="361"/>
      <c r="H217" s="361"/>
      <c r="I217" s="361"/>
      <c r="J217" s="361"/>
      <c r="K217" s="361"/>
      <c r="L217" s="361"/>
      <c r="M217" s="361"/>
      <c r="N217" s="361"/>
    </row>
    <row r="218" hidden="1" outlineLevel="1">
      <c r="A218" s="362" t="s">
        <v>89</v>
      </c>
      <c r="B218" s="363" t="s">
        <v>90</v>
      </c>
      <c r="C218" s="363" t="s">
        <v>91</v>
      </c>
      <c r="D218" s="364" t="s">
        <v>93</v>
      </c>
      <c r="E218" s="365" t="s">
        <v>94</v>
      </c>
      <c r="F218" s="365" t="s">
        <v>95</v>
      </c>
      <c r="G218" s="366" t="s">
        <v>96</v>
      </c>
      <c r="H218" s="366" t="s">
        <v>97</v>
      </c>
      <c r="I218" s="366" t="s">
        <v>104</v>
      </c>
      <c r="J218" s="366" t="s">
        <v>106</v>
      </c>
      <c r="K218" s="366" t="s">
        <v>109</v>
      </c>
      <c r="L218" s="366" t="s">
        <v>111</v>
      </c>
      <c r="M218" s="363" t="s">
        <v>114</v>
      </c>
      <c r="N218" s="363" t="s">
        <v>116</v>
      </c>
    </row>
    <row r="219" hidden="1" outlineLevel="1">
      <c r="A219" s="367" t="s">
        <v>515</v>
      </c>
      <c r="B219" s="309">
        <v>46293.0</v>
      </c>
      <c r="C219" s="368" t="str">
        <f t="shared" ref="C219:C233" si="25">IF(B219="", "", TEXT(B219, "ddd"))</f>
        <v>Mon</v>
      </c>
      <c r="D219" s="143">
        <f t="shared" ref="D219:D233" si="26">IF(E219="Yes",0.05,0)
+IF(F219="Yes",0.1,0)
+IF(G219="Yes",0.15,0)
+IF(H219="Yes",0.15,0)
+IF(I219="Yes",0.05,0)
+IF(J219="Yes",0.05,0)
+IF(K219="Yes",0.15,0)
+IF(L219="Yes",0.3,0)
</f>
        <v>1</v>
      </c>
      <c r="E219" s="144" t="s">
        <v>142</v>
      </c>
      <c r="F219" s="134" t="s">
        <v>142</v>
      </c>
      <c r="G219" s="134" t="s">
        <v>142</v>
      </c>
      <c r="H219" s="134" t="s">
        <v>142</v>
      </c>
      <c r="I219" s="134" t="s">
        <v>142</v>
      </c>
      <c r="J219" s="134" t="s">
        <v>142</v>
      </c>
      <c r="K219" s="134" t="s">
        <v>142</v>
      </c>
      <c r="L219" s="134" t="s">
        <v>142</v>
      </c>
      <c r="M219" s="370"/>
      <c r="N219" s="137"/>
    </row>
    <row r="220" hidden="1" outlineLevel="1">
      <c r="A220" s="367" t="s">
        <v>516</v>
      </c>
      <c r="B220" s="309">
        <v>46293.0</v>
      </c>
      <c r="C220" s="368" t="str">
        <f t="shared" si="25"/>
        <v>Mon</v>
      </c>
      <c r="D220" s="128">
        <f t="shared" si="26"/>
        <v>1</v>
      </c>
      <c r="E220" s="131" t="s">
        <v>142</v>
      </c>
      <c r="F220" s="134" t="s">
        <v>142</v>
      </c>
      <c r="G220" s="134" t="s">
        <v>142</v>
      </c>
      <c r="H220" s="134" t="s">
        <v>142</v>
      </c>
      <c r="I220" s="134" t="s">
        <v>142</v>
      </c>
      <c r="J220" s="134" t="s">
        <v>142</v>
      </c>
      <c r="K220" s="134" t="s">
        <v>142</v>
      </c>
      <c r="L220" s="134" t="s">
        <v>142</v>
      </c>
      <c r="M220" s="370"/>
      <c r="N220" s="137"/>
    </row>
    <row r="221" hidden="1" outlineLevel="1">
      <c r="A221" s="367" t="s">
        <v>517</v>
      </c>
      <c r="B221" s="309">
        <v>46293.0</v>
      </c>
      <c r="C221" s="368" t="str">
        <f t="shared" si="25"/>
        <v>Mon</v>
      </c>
      <c r="D221" s="143">
        <f t="shared" si="26"/>
        <v>1</v>
      </c>
      <c r="E221" s="144" t="s">
        <v>142</v>
      </c>
      <c r="F221" s="134" t="s">
        <v>142</v>
      </c>
      <c r="G221" s="134" t="s">
        <v>142</v>
      </c>
      <c r="H221" s="134" t="s">
        <v>142</v>
      </c>
      <c r="I221" s="134" t="s">
        <v>142</v>
      </c>
      <c r="J221" s="134" t="s">
        <v>142</v>
      </c>
      <c r="K221" s="134" t="s">
        <v>142</v>
      </c>
      <c r="L221" s="134" t="s">
        <v>142</v>
      </c>
      <c r="M221" s="370"/>
      <c r="N221" s="137"/>
    </row>
    <row r="222" hidden="1" outlineLevel="1">
      <c r="A222" s="367" t="s">
        <v>525</v>
      </c>
      <c r="B222" s="309">
        <v>46294.0</v>
      </c>
      <c r="C222" s="368" t="str">
        <f t="shared" si="25"/>
        <v>Tue</v>
      </c>
      <c r="D222" s="128">
        <f t="shared" si="26"/>
        <v>1</v>
      </c>
      <c r="E222" s="131" t="s">
        <v>142</v>
      </c>
      <c r="F222" s="134" t="s">
        <v>142</v>
      </c>
      <c r="G222" s="134" t="s">
        <v>142</v>
      </c>
      <c r="H222" s="134" t="s">
        <v>142</v>
      </c>
      <c r="I222" s="134" t="s">
        <v>142</v>
      </c>
      <c r="J222" s="134" t="s">
        <v>142</v>
      </c>
      <c r="K222" s="134" t="s">
        <v>142</v>
      </c>
      <c r="L222" s="134" t="s">
        <v>142</v>
      </c>
      <c r="M222" s="370"/>
      <c r="N222" s="137"/>
    </row>
    <row r="223" hidden="1" outlineLevel="1">
      <c r="A223" s="367" t="s">
        <v>526</v>
      </c>
      <c r="B223" s="309">
        <v>46294.0</v>
      </c>
      <c r="C223" s="368" t="str">
        <f t="shared" si="25"/>
        <v>Tue</v>
      </c>
      <c r="D223" s="143">
        <f t="shared" si="26"/>
        <v>1</v>
      </c>
      <c r="E223" s="144" t="s">
        <v>142</v>
      </c>
      <c r="F223" s="134" t="s">
        <v>142</v>
      </c>
      <c r="G223" s="134" t="s">
        <v>142</v>
      </c>
      <c r="H223" s="134" t="s">
        <v>142</v>
      </c>
      <c r="I223" s="134" t="s">
        <v>142</v>
      </c>
      <c r="J223" s="134" t="s">
        <v>142</v>
      </c>
      <c r="K223" s="134" t="s">
        <v>142</v>
      </c>
      <c r="L223" s="134" t="s">
        <v>142</v>
      </c>
      <c r="M223" s="370"/>
      <c r="N223" s="137"/>
    </row>
    <row r="224" hidden="1" outlineLevel="1">
      <c r="A224" s="367" t="s">
        <v>527</v>
      </c>
      <c r="B224" s="309">
        <v>46294.0</v>
      </c>
      <c r="C224" s="368" t="str">
        <f t="shared" si="25"/>
        <v>Tue</v>
      </c>
      <c r="D224" s="128">
        <f t="shared" si="26"/>
        <v>1</v>
      </c>
      <c r="E224" s="131" t="s">
        <v>142</v>
      </c>
      <c r="F224" s="134" t="s">
        <v>142</v>
      </c>
      <c r="G224" s="134" t="s">
        <v>142</v>
      </c>
      <c r="H224" s="134" t="s">
        <v>142</v>
      </c>
      <c r="I224" s="134" t="s">
        <v>142</v>
      </c>
      <c r="J224" s="134" t="s">
        <v>142</v>
      </c>
      <c r="K224" s="134" t="s">
        <v>142</v>
      </c>
      <c r="L224" s="134" t="s">
        <v>142</v>
      </c>
      <c r="M224" s="370"/>
      <c r="N224" s="137"/>
    </row>
    <row r="225" hidden="1" outlineLevel="1">
      <c r="A225" s="367" t="s">
        <v>528</v>
      </c>
      <c r="B225" s="309">
        <v>46295.0</v>
      </c>
      <c r="C225" s="368" t="str">
        <f t="shared" si="25"/>
        <v>Wed</v>
      </c>
      <c r="D225" s="143">
        <f t="shared" si="26"/>
        <v>1</v>
      </c>
      <c r="E225" s="144" t="s">
        <v>142</v>
      </c>
      <c r="F225" s="134" t="s">
        <v>142</v>
      </c>
      <c r="G225" s="134" t="s">
        <v>142</v>
      </c>
      <c r="H225" s="134" t="s">
        <v>142</v>
      </c>
      <c r="I225" s="134" t="s">
        <v>142</v>
      </c>
      <c r="J225" s="134" t="s">
        <v>142</v>
      </c>
      <c r="K225" s="134" t="s">
        <v>142</v>
      </c>
      <c r="L225" s="134" t="s">
        <v>142</v>
      </c>
      <c r="M225" s="370"/>
      <c r="N225" s="137"/>
    </row>
    <row r="226" hidden="1" outlineLevel="1">
      <c r="A226" s="367" t="s">
        <v>529</v>
      </c>
      <c r="B226" s="309">
        <v>46295.0</v>
      </c>
      <c r="C226" s="368" t="str">
        <f t="shared" si="25"/>
        <v>Wed</v>
      </c>
      <c r="D226" s="128">
        <f t="shared" si="26"/>
        <v>1</v>
      </c>
      <c r="E226" s="131" t="s">
        <v>142</v>
      </c>
      <c r="F226" s="134" t="s">
        <v>142</v>
      </c>
      <c r="G226" s="134" t="s">
        <v>142</v>
      </c>
      <c r="H226" s="134" t="s">
        <v>142</v>
      </c>
      <c r="I226" s="134" t="s">
        <v>142</v>
      </c>
      <c r="J226" s="134" t="s">
        <v>142</v>
      </c>
      <c r="K226" s="134" t="s">
        <v>142</v>
      </c>
      <c r="L226" s="134" t="s">
        <v>142</v>
      </c>
      <c r="M226" s="370"/>
      <c r="N226" s="137"/>
    </row>
    <row r="227" hidden="1" outlineLevel="1">
      <c r="A227" s="367" t="s">
        <v>530</v>
      </c>
      <c r="B227" s="309">
        <v>46295.0</v>
      </c>
      <c r="C227" s="368" t="str">
        <f t="shared" si="25"/>
        <v>Wed</v>
      </c>
      <c r="D227" s="143">
        <f t="shared" si="26"/>
        <v>1</v>
      </c>
      <c r="E227" s="144" t="s">
        <v>142</v>
      </c>
      <c r="F227" s="134" t="s">
        <v>142</v>
      </c>
      <c r="G227" s="134" t="s">
        <v>142</v>
      </c>
      <c r="H227" s="134" t="s">
        <v>142</v>
      </c>
      <c r="I227" s="134" t="s">
        <v>142</v>
      </c>
      <c r="J227" s="134" t="s">
        <v>142</v>
      </c>
      <c r="K227" s="134" t="s">
        <v>142</v>
      </c>
      <c r="L227" s="134" t="s">
        <v>142</v>
      </c>
      <c r="M227" s="370"/>
      <c r="N227" s="137"/>
    </row>
    <row r="228" hidden="1" outlineLevel="1">
      <c r="A228" s="367" t="s">
        <v>531</v>
      </c>
      <c r="B228" s="309">
        <v>46296.0</v>
      </c>
      <c r="C228" s="368" t="str">
        <f t="shared" si="25"/>
        <v>Thu</v>
      </c>
      <c r="D228" s="128">
        <f t="shared" si="26"/>
        <v>1</v>
      </c>
      <c r="E228" s="131" t="s">
        <v>142</v>
      </c>
      <c r="F228" s="134" t="s">
        <v>142</v>
      </c>
      <c r="G228" s="134" t="s">
        <v>142</v>
      </c>
      <c r="H228" s="134" t="s">
        <v>142</v>
      </c>
      <c r="I228" s="134" t="s">
        <v>142</v>
      </c>
      <c r="J228" s="134" t="s">
        <v>142</v>
      </c>
      <c r="K228" s="134" t="s">
        <v>142</v>
      </c>
      <c r="L228" s="134" t="s">
        <v>142</v>
      </c>
      <c r="M228" s="370"/>
      <c r="N228" s="137"/>
    </row>
    <row r="229" hidden="1" outlineLevel="1">
      <c r="A229" s="367" t="s">
        <v>532</v>
      </c>
      <c r="B229" s="309">
        <v>46296.0</v>
      </c>
      <c r="C229" s="368" t="str">
        <f t="shared" si="25"/>
        <v>Thu</v>
      </c>
      <c r="D229" s="143">
        <f t="shared" si="26"/>
        <v>1</v>
      </c>
      <c r="E229" s="144" t="s">
        <v>142</v>
      </c>
      <c r="F229" s="134" t="s">
        <v>142</v>
      </c>
      <c r="G229" s="134" t="s">
        <v>142</v>
      </c>
      <c r="H229" s="134" t="s">
        <v>142</v>
      </c>
      <c r="I229" s="134" t="s">
        <v>142</v>
      </c>
      <c r="J229" s="134" t="s">
        <v>142</v>
      </c>
      <c r="K229" s="134" t="s">
        <v>142</v>
      </c>
      <c r="L229" s="134" t="s">
        <v>142</v>
      </c>
      <c r="M229" s="370"/>
      <c r="N229" s="137"/>
    </row>
    <row r="230" hidden="1" outlineLevel="1">
      <c r="A230" s="367" t="s">
        <v>533</v>
      </c>
      <c r="B230" s="309">
        <v>46296.0</v>
      </c>
      <c r="C230" s="368" t="str">
        <f t="shared" si="25"/>
        <v>Thu</v>
      </c>
      <c r="D230" s="128">
        <f t="shared" si="26"/>
        <v>1</v>
      </c>
      <c r="E230" s="131" t="s">
        <v>142</v>
      </c>
      <c r="F230" s="134" t="s">
        <v>142</v>
      </c>
      <c r="G230" s="134" t="s">
        <v>142</v>
      </c>
      <c r="H230" s="134" t="s">
        <v>142</v>
      </c>
      <c r="I230" s="134" t="s">
        <v>142</v>
      </c>
      <c r="J230" s="134" t="s">
        <v>142</v>
      </c>
      <c r="K230" s="134" t="s">
        <v>142</v>
      </c>
      <c r="L230" s="134" t="s">
        <v>142</v>
      </c>
      <c r="M230" s="370"/>
      <c r="N230" s="137"/>
    </row>
    <row r="231" hidden="1" outlineLevel="1">
      <c r="A231" s="367" t="s">
        <v>534</v>
      </c>
      <c r="B231" s="309">
        <v>46297.0</v>
      </c>
      <c r="C231" s="368" t="str">
        <f t="shared" si="25"/>
        <v>Fri</v>
      </c>
      <c r="D231" s="143">
        <f t="shared" si="26"/>
        <v>1</v>
      </c>
      <c r="E231" s="144" t="s">
        <v>142</v>
      </c>
      <c r="F231" s="134" t="s">
        <v>142</v>
      </c>
      <c r="G231" s="134" t="s">
        <v>142</v>
      </c>
      <c r="H231" s="134" t="s">
        <v>142</v>
      </c>
      <c r="I231" s="134" t="s">
        <v>142</v>
      </c>
      <c r="J231" s="134" t="s">
        <v>142</v>
      </c>
      <c r="K231" s="134" t="s">
        <v>142</v>
      </c>
      <c r="L231" s="134" t="s">
        <v>142</v>
      </c>
      <c r="M231" s="370"/>
      <c r="N231" s="137"/>
    </row>
    <row r="232" hidden="1" outlineLevel="1">
      <c r="A232" s="367" t="s">
        <v>535</v>
      </c>
      <c r="B232" s="309">
        <v>46297.0</v>
      </c>
      <c r="C232" s="368" t="str">
        <f t="shared" si="25"/>
        <v>Fri</v>
      </c>
      <c r="D232" s="128">
        <f t="shared" si="26"/>
        <v>1</v>
      </c>
      <c r="E232" s="131" t="s">
        <v>142</v>
      </c>
      <c r="F232" s="134" t="s">
        <v>142</v>
      </c>
      <c r="G232" s="134" t="s">
        <v>142</v>
      </c>
      <c r="H232" s="134" t="s">
        <v>142</v>
      </c>
      <c r="I232" s="134" t="s">
        <v>142</v>
      </c>
      <c r="J232" s="134" t="s">
        <v>142</v>
      </c>
      <c r="K232" s="134" t="s">
        <v>142</v>
      </c>
      <c r="L232" s="134" t="s">
        <v>142</v>
      </c>
      <c r="M232" s="370"/>
      <c r="N232" s="137"/>
    </row>
    <row r="233" hidden="1" outlineLevel="1">
      <c r="A233" s="367" t="s">
        <v>536</v>
      </c>
      <c r="B233" s="309">
        <v>46297.0</v>
      </c>
      <c r="C233" s="368" t="str">
        <f t="shared" si="25"/>
        <v>Fri</v>
      </c>
      <c r="D233" s="143">
        <f t="shared" si="26"/>
        <v>1</v>
      </c>
      <c r="E233" s="144" t="s">
        <v>142</v>
      </c>
      <c r="F233" s="134" t="s">
        <v>142</v>
      </c>
      <c r="G233" s="134" t="s">
        <v>142</v>
      </c>
      <c r="H233" s="134" t="s">
        <v>142</v>
      </c>
      <c r="I233" s="134" t="s">
        <v>142</v>
      </c>
      <c r="J233" s="134" t="s">
        <v>142</v>
      </c>
      <c r="K233" s="134" t="s">
        <v>142</v>
      </c>
      <c r="L233" s="134" t="s">
        <v>142</v>
      </c>
      <c r="M233" s="370"/>
      <c r="N233" s="137"/>
    </row>
    <row r="234" hidden="1" outlineLevel="1">
      <c r="A234" s="373"/>
      <c r="B234" s="373"/>
      <c r="C234" s="374" t="s">
        <v>199</v>
      </c>
      <c r="D234" s="375">
        <f>AVERAGE(D219:D233)</f>
        <v>1</v>
      </c>
      <c r="E234" s="376"/>
      <c r="F234" s="373"/>
      <c r="G234" s="373"/>
      <c r="H234" s="373"/>
      <c r="I234" s="373"/>
      <c r="J234" s="373"/>
      <c r="K234" s="373"/>
      <c r="L234" s="374" t="s">
        <v>199</v>
      </c>
      <c r="M234" s="377">
        <f>SUM(M219:M233)/75*0.1</f>
        <v>0</v>
      </c>
      <c r="N234" s="373"/>
    </row>
    <row r="235">
      <c r="A235" s="85" t="s">
        <v>537</v>
      </c>
      <c r="B235" s="86"/>
      <c r="C235" s="86"/>
      <c r="D235" s="359"/>
      <c r="E235" s="391"/>
      <c r="F235" s="376"/>
      <c r="G235" s="376"/>
      <c r="H235" s="376"/>
      <c r="I235" s="376"/>
      <c r="J235" s="376"/>
      <c r="K235" s="376"/>
      <c r="L235" s="376"/>
      <c r="M235" s="376"/>
      <c r="N235" s="376"/>
    </row>
    <row r="236" outlineLevel="1">
      <c r="A236" s="392" t="s">
        <v>89</v>
      </c>
      <c r="B236" s="392" t="s">
        <v>90</v>
      </c>
      <c r="C236" s="392" t="s">
        <v>91</v>
      </c>
      <c r="D236" s="393" t="s">
        <v>93</v>
      </c>
      <c r="E236" s="394" t="s">
        <v>94</v>
      </c>
      <c r="F236" s="395" t="s">
        <v>95</v>
      </c>
      <c r="G236" s="396" t="s">
        <v>96</v>
      </c>
      <c r="H236" s="396" t="s">
        <v>97</v>
      </c>
      <c r="I236" s="396" t="s">
        <v>104</v>
      </c>
      <c r="J236" s="396" t="s">
        <v>106</v>
      </c>
      <c r="K236" s="396" t="s">
        <v>109</v>
      </c>
      <c r="L236" s="396" t="s">
        <v>111</v>
      </c>
      <c r="M236" s="392" t="s">
        <v>114</v>
      </c>
      <c r="N236" s="392" t="s">
        <v>116</v>
      </c>
    </row>
    <row r="237" outlineLevel="1">
      <c r="A237" s="367" t="s">
        <v>538</v>
      </c>
      <c r="B237" s="309">
        <v>46300.0</v>
      </c>
      <c r="C237" s="368" t="str">
        <f t="shared" ref="C237:C251" si="27">IF(B237="", "", TEXT(B237, "ddd"))</f>
        <v>Mon</v>
      </c>
      <c r="D237" s="143">
        <f t="shared" ref="D237:D251" si="28">IF(E237="Yes",0.05,0)
+IF(F237="Yes",0.1,0)
+IF(G237="Yes",0.15,0)
+IF(H237="Yes",0.15,0)
+IF(I237="Yes",0.05,0)
+IF(J237="Yes",0.05,0)
+IF(K237="Yes",0.15,0)
+IF(L237="Yes",0.3,0)
</f>
        <v>1</v>
      </c>
      <c r="E237" s="369" t="s">
        <v>142</v>
      </c>
      <c r="F237" s="7" t="s">
        <v>142</v>
      </c>
      <c r="G237" s="7" t="s">
        <v>142</v>
      </c>
      <c r="H237" s="7" t="s">
        <v>142</v>
      </c>
      <c r="I237" s="7" t="s">
        <v>142</v>
      </c>
      <c r="J237" s="7" t="s">
        <v>142</v>
      </c>
      <c r="K237" s="7" t="s">
        <v>142</v>
      </c>
      <c r="L237" s="7" t="s">
        <v>142</v>
      </c>
      <c r="M237" s="370"/>
      <c r="N237" s="137"/>
    </row>
    <row r="238" outlineLevel="1">
      <c r="A238" s="367" t="s">
        <v>542</v>
      </c>
      <c r="B238" s="309">
        <v>46300.0</v>
      </c>
      <c r="C238" s="368" t="str">
        <f t="shared" si="27"/>
        <v>Mon</v>
      </c>
      <c r="D238" s="128">
        <f t="shared" si="28"/>
        <v>1</v>
      </c>
      <c r="E238" s="370" t="s">
        <v>142</v>
      </c>
      <c r="F238" s="7" t="s">
        <v>142</v>
      </c>
      <c r="G238" s="7" t="s">
        <v>142</v>
      </c>
      <c r="H238" s="7" t="s">
        <v>142</v>
      </c>
      <c r="I238" s="7" t="s">
        <v>142</v>
      </c>
      <c r="J238" s="7" t="s">
        <v>142</v>
      </c>
      <c r="K238" s="7" t="s">
        <v>142</v>
      </c>
      <c r="L238" s="7" t="s">
        <v>142</v>
      </c>
      <c r="M238" s="370"/>
      <c r="N238" s="137"/>
    </row>
    <row r="239" outlineLevel="1">
      <c r="A239" s="367" t="s">
        <v>543</v>
      </c>
      <c r="B239" s="309">
        <v>46300.0</v>
      </c>
      <c r="C239" s="368" t="str">
        <f t="shared" si="27"/>
        <v>Mon</v>
      </c>
      <c r="D239" s="143">
        <f t="shared" si="28"/>
        <v>1</v>
      </c>
      <c r="E239" s="369" t="s">
        <v>142</v>
      </c>
      <c r="F239" s="7" t="s">
        <v>142</v>
      </c>
      <c r="G239" s="7" t="s">
        <v>142</v>
      </c>
      <c r="H239" s="7" t="s">
        <v>142</v>
      </c>
      <c r="I239" s="7" t="s">
        <v>142</v>
      </c>
      <c r="J239" s="7" t="s">
        <v>142</v>
      </c>
      <c r="K239" s="7" t="s">
        <v>142</v>
      </c>
      <c r="L239" s="7" t="s">
        <v>142</v>
      </c>
      <c r="M239" s="370"/>
      <c r="N239" s="137"/>
    </row>
    <row r="240" outlineLevel="1">
      <c r="A240" s="367" t="s">
        <v>544</v>
      </c>
      <c r="B240" s="309">
        <v>46301.0</v>
      </c>
      <c r="C240" s="368" t="str">
        <f t="shared" si="27"/>
        <v>Tue</v>
      </c>
      <c r="D240" s="128">
        <f t="shared" si="28"/>
        <v>1</v>
      </c>
      <c r="E240" s="370" t="s">
        <v>142</v>
      </c>
      <c r="F240" s="7" t="s">
        <v>142</v>
      </c>
      <c r="G240" s="7" t="s">
        <v>142</v>
      </c>
      <c r="H240" s="7" t="s">
        <v>142</v>
      </c>
      <c r="I240" s="7" t="s">
        <v>142</v>
      </c>
      <c r="J240" s="7" t="s">
        <v>142</v>
      </c>
      <c r="K240" s="7" t="s">
        <v>142</v>
      </c>
      <c r="L240" s="7" t="s">
        <v>142</v>
      </c>
      <c r="M240" s="370"/>
      <c r="N240" s="137"/>
    </row>
    <row r="241" outlineLevel="1">
      <c r="A241" s="367" t="s">
        <v>545</v>
      </c>
      <c r="B241" s="309">
        <v>46301.0</v>
      </c>
      <c r="C241" s="368" t="str">
        <f t="shared" si="27"/>
        <v>Tue</v>
      </c>
      <c r="D241" s="143">
        <f t="shared" si="28"/>
        <v>1</v>
      </c>
      <c r="E241" s="369" t="s">
        <v>142</v>
      </c>
      <c r="F241" s="7" t="s">
        <v>142</v>
      </c>
      <c r="G241" s="7" t="s">
        <v>142</v>
      </c>
      <c r="H241" s="7" t="s">
        <v>142</v>
      </c>
      <c r="I241" s="7" t="s">
        <v>142</v>
      </c>
      <c r="J241" s="7" t="s">
        <v>142</v>
      </c>
      <c r="K241" s="7" t="s">
        <v>142</v>
      </c>
      <c r="L241" s="7" t="s">
        <v>142</v>
      </c>
      <c r="M241" s="370"/>
      <c r="N241" s="137"/>
    </row>
    <row r="242" outlineLevel="1">
      <c r="A242" s="367" t="s">
        <v>547</v>
      </c>
      <c r="B242" s="309">
        <v>46301.0</v>
      </c>
      <c r="C242" s="368" t="str">
        <f t="shared" si="27"/>
        <v>Tue</v>
      </c>
      <c r="D242" s="128">
        <f t="shared" si="28"/>
        <v>1</v>
      </c>
      <c r="E242" s="370" t="s">
        <v>142</v>
      </c>
      <c r="F242" s="7" t="s">
        <v>142</v>
      </c>
      <c r="G242" s="7" t="s">
        <v>142</v>
      </c>
      <c r="H242" s="7" t="s">
        <v>142</v>
      </c>
      <c r="I242" s="7" t="s">
        <v>142</v>
      </c>
      <c r="J242" s="7" t="s">
        <v>142</v>
      </c>
      <c r="K242" s="7" t="s">
        <v>142</v>
      </c>
      <c r="L242" s="7" t="s">
        <v>142</v>
      </c>
      <c r="M242" s="370"/>
      <c r="N242" s="137"/>
    </row>
    <row r="243" outlineLevel="1">
      <c r="A243" s="367" t="s">
        <v>548</v>
      </c>
      <c r="B243" s="309">
        <v>46302.0</v>
      </c>
      <c r="C243" s="368" t="str">
        <f t="shared" si="27"/>
        <v>Wed</v>
      </c>
      <c r="D243" s="143">
        <f t="shared" si="28"/>
        <v>1</v>
      </c>
      <c r="E243" s="369" t="s">
        <v>142</v>
      </c>
      <c r="F243" s="7" t="s">
        <v>142</v>
      </c>
      <c r="G243" s="7" t="s">
        <v>142</v>
      </c>
      <c r="H243" s="7" t="s">
        <v>142</v>
      </c>
      <c r="I243" s="7" t="s">
        <v>142</v>
      </c>
      <c r="J243" s="7" t="s">
        <v>142</v>
      </c>
      <c r="K243" s="7" t="s">
        <v>142</v>
      </c>
      <c r="L243" s="7" t="s">
        <v>142</v>
      </c>
      <c r="M243" s="370"/>
      <c r="N243" s="137"/>
    </row>
    <row r="244" outlineLevel="1">
      <c r="A244" s="367" t="s">
        <v>549</v>
      </c>
      <c r="B244" s="309">
        <v>46302.0</v>
      </c>
      <c r="C244" s="368" t="str">
        <f t="shared" si="27"/>
        <v>Wed</v>
      </c>
      <c r="D244" s="128">
        <f t="shared" si="28"/>
        <v>1</v>
      </c>
      <c r="E244" s="370" t="s">
        <v>142</v>
      </c>
      <c r="F244" s="7" t="s">
        <v>142</v>
      </c>
      <c r="G244" s="7" t="s">
        <v>142</v>
      </c>
      <c r="H244" s="7" t="s">
        <v>142</v>
      </c>
      <c r="I244" s="7" t="s">
        <v>142</v>
      </c>
      <c r="J244" s="7" t="s">
        <v>142</v>
      </c>
      <c r="K244" s="7" t="s">
        <v>142</v>
      </c>
      <c r="L244" s="7" t="s">
        <v>142</v>
      </c>
      <c r="M244" s="370"/>
      <c r="N244" s="137"/>
    </row>
    <row r="245" outlineLevel="1">
      <c r="A245" s="367" t="s">
        <v>550</v>
      </c>
      <c r="B245" s="309">
        <v>46302.0</v>
      </c>
      <c r="C245" s="368" t="str">
        <f t="shared" si="27"/>
        <v>Wed</v>
      </c>
      <c r="D245" s="143">
        <f t="shared" si="28"/>
        <v>1</v>
      </c>
      <c r="E245" s="369" t="s">
        <v>142</v>
      </c>
      <c r="F245" s="7" t="s">
        <v>142</v>
      </c>
      <c r="G245" s="7" t="s">
        <v>142</v>
      </c>
      <c r="H245" s="7" t="s">
        <v>142</v>
      </c>
      <c r="I245" s="7" t="s">
        <v>142</v>
      </c>
      <c r="J245" s="7" t="s">
        <v>142</v>
      </c>
      <c r="K245" s="7" t="s">
        <v>142</v>
      </c>
      <c r="L245" s="7" t="s">
        <v>142</v>
      </c>
      <c r="M245" s="370"/>
      <c r="N245" s="137"/>
    </row>
    <row r="246" outlineLevel="1">
      <c r="A246" s="367" t="s">
        <v>551</v>
      </c>
      <c r="B246" s="309">
        <v>46303.0</v>
      </c>
      <c r="C246" s="368" t="str">
        <f t="shared" si="27"/>
        <v>Thu</v>
      </c>
      <c r="D246" s="128">
        <f t="shared" si="28"/>
        <v>1</v>
      </c>
      <c r="E246" s="370" t="s">
        <v>142</v>
      </c>
      <c r="F246" s="7" t="s">
        <v>142</v>
      </c>
      <c r="G246" s="7" t="s">
        <v>142</v>
      </c>
      <c r="H246" s="7" t="s">
        <v>142</v>
      </c>
      <c r="I246" s="7" t="s">
        <v>142</v>
      </c>
      <c r="J246" s="7" t="s">
        <v>142</v>
      </c>
      <c r="K246" s="7" t="s">
        <v>142</v>
      </c>
      <c r="L246" s="7" t="s">
        <v>142</v>
      </c>
      <c r="M246" s="370"/>
      <c r="N246" s="137"/>
    </row>
    <row r="247" outlineLevel="1">
      <c r="A247" s="367" t="s">
        <v>552</v>
      </c>
      <c r="B247" s="309">
        <v>46303.0</v>
      </c>
      <c r="C247" s="368" t="str">
        <f t="shared" si="27"/>
        <v>Thu</v>
      </c>
      <c r="D247" s="143">
        <f t="shared" si="28"/>
        <v>1</v>
      </c>
      <c r="E247" s="369" t="s">
        <v>142</v>
      </c>
      <c r="F247" s="7" t="s">
        <v>142</v>
      </c>
      <c r="G247" s="7" t="s">
        <v>142</v>
      </c>
      <c r="H247" s="7" t="s">
        <v>142</v>
      </c>
      <c r="I247" s="7" t="s">
        <v>142</v>
      </c>
      <c r="J247" s="7" t="s">
        <v>142</v>
      </c>
      <c r="K247" s="7" t="s">
        <v>142</v>
      </c>
      <c r="L247" s="7" t="s">
        <v>142</v>
      </c>
      <c r="M247" s="370"/>
      <c r="N247" s="137"/>
    </row>
    <row r="248" outlineLevel="1">
      <c r="A248" s="367" t="s">
        <v>553</v>
      </c>
      <c r="B248" s="309">
        <v>46303.0</v>
      </c>
      <c r="C248" s="368" t="str">
        <f t="shared" si="27"/>
        <v>Thu</v>
      </c>
      <c r="D248" s="128">
        <f t="shared" si="28"/>
        <v>1</v>
      </c>
      <c r="E248" s="370" t="s">
        <v>142</v>
      </c>
      <c r="F248" s="7" t="s">
        <v>142</v>
      </c>
      <c r="G248" s="7" t="s">
        <v>142</v>
      </c>
      <c r="H248" s="7" t="s">
        <v>142</v>
      </c>
      <c r="I248" s="7" t="s">
        <v>142</v>
      </c>
      <c r="J248" s="7" t="s">
        <v>142</v>
      </c>
      <c r="K248" s="7" t="s">
        <v>142</v>
      </c>
      <c r="L248" s="7" t="s">
        <v>142</v>
      </c>
      <c r="M248" s="370"/>
      <c r="N248" s="137"/>
    </row>
    <row r="249" outlineLevel="1">
      <c r="A249" s="367" t="s">
        <v>554</v>
      </c>
      <c r="B249" s="309">
        <v>46304.0</v>
      </c>
      <c r="C249" s="368" t="str">
        <f t="shared" si="27"/>
        <v>Fri</v>
      </c>
      <c r="D249" s="143">
        <f t="shared" si="28"/>
        <v>1</v>
      </c>
      <c r="E249" s="369" t="s">
        <v>142</v>
      </c>
      <c r="F249" s="7" t="s">
        <v>142</v>
      </c>
      <c r="G249" s="7" t="s">
        <v>142</v>
      </c>
      <c r="H249" s="7" t="s">
        <v>142</v>
      </c>
      <c r="I249" s="7" t="s">
        <v>142</v>
      </c>
      <c r="J249" s="7" t="s">
        <v>142</v>
      </c>
      <c r="K249" s="7" t="s">
        <v>142</v>
      </c>
      <c r="L249" s="7" t="s">
        <v>142</v>
      </c>
      <c r="M249" s="370"/>
      <c r="N249" s="137"/>
    </row>
    <row r="250" outlineLevel="1">
      <c r="A250" s="367" t="s">
        <v>555</v>
      </c>
      <c r="B250" s="309">
        <v>46304.0</v>
      </c>
      <c r="C250" s="368" t="str">
        <f t="shared" si="27"/>
        <v>Fri</v>
      </c>
      <c r="D250" s="128">
        <f t="shared" si="28"/>
        <v>1</v>
      </c>
      <c r="E250" s="370" t="s">
        <v>142</v>
      </c>
      <c r="F250" s="7" t="s">
        <v>142</v>
      </c>
      <c r="G250" s="7" t="s">
        <v>142</v>
      </c>
      <c r="H250" s="7" t="s">
        <v>142</v>
      </c>
      <c r="I250" s="7" t="s">
        <v>142</v>
      </c>
      <c r="J250" s="7" t="s">
        <v>142</v>
      </c>
      <c r="K250" s="7" t="s">
        <v>142</v>
      </c>
      <c r="L250" s="7" t="s">
        <v>142</v>
      </c>
      <c r="M250" s="370"/>
      <c r="N250" s="137"/>
    </row>
    <row r="251" outlineLevel="1">
      <c r="A251" s="367" t="s">
        <v>556</v>
      </c>
      <c r="B251" s="309">
        <v>46304.0</v>
      </c>
      <c r="C251" s="368" t="str">
        <f t="shared" si="27"/>
        <v>Fri</v>
      </c>
      <c r="D251" s="143">
        <f t="shared" si="28"/>
        <v>1</v>
      </c>
      <c r="E251" s="369" t="s">
        <v>142</v>
      </c>
      <c r="F251" s="7" t="s">
        <v>142</v>
      </c>
      <c r="G251" s="7" t="s">
        <v>142</v>
      </c>
      <c r="H251" s="7" t="s">
        <v>142</v>
      </c>
      <c r="I251" s="7" t="s">
        <v>142</v>
      </c>
      <c r="J251" s="7" t="s">
        <v>142</v>
      </c>
      <c r="K251" s="7" t="s">
        <v>142</v>
      </c>
      <c r="L251" s="7" t="s">
        <v>142</v>
      </c>
      <c r="M251" s="370"/>
      <c r="N251" s="137"/>
    </row>
    <row r="252" outlineLevel="1">
      <c r="A252" s="373"/>
      <c r="B252" s="373"/>
      <c r="C252" s="374" t="s">
        <v>199</v>
      </c>
      <c r="D252" s="375">
        <f>AVERAGE(D237:D251)</f>
        <v>1</v>
      </c>
      <c r="E252" s="376"/>
      <c r="F252" s="373"/>
      <c r="G252" s="373"/>
      <c r="H252" s="373"/>
      <c r="I252" s="373"/>
      <c r="J252" s="373"/>
      <c r="K252" s="373"/>
      <c r="L252" s="374" t="s">
        <v>199</v>
      </c>
      <c r="M252" s="377">
        <f>SUM(M237:M251)/75*0.1</f>
        <v>0</v>
      </c>
      <c r="N252" s="373"/>
    </row>
    <row r="253">
      <c r="B253" s="215"/>
    </row>
    <row r="254">
      <c r="B254" s="215"/>
    </row>
    <row r="255">
      <c r="B255" s="215"/>
    </row>
    <row r="256">
      <c r="B256" s="215"/>
    </row>
    <row r="257">
      <c r="B257" s="215"/>
    </row>
    <row r="258">
      <c r="B258" s="215"/>
    </row>
    <row r="259">
      <c r="B259" s="215"/>
    </row>
    <row r="260">
      <c r="B260" s="215"/>
    </row>
    <row r="261">
      <c r="B261" s="215"/>
    </row>
    <row r="262">
      <c r="B262" s="215"/>
    </row>
    <row r="263">
      <c r="B263" s="215"/>
    </row>
    <row r="264">
      <c r="B264" s="215"/>
    </row>
    <row r="265">
      <c r="B265" s="215"/>
    </row>
    <row r="266">
      <c r="B266" s="215"/>
    </row>
    <row r="267">
      <c r="B267" s="215"/>
    </row>
    <row r="268">
      <c r="B268" s="215"/>
    </row>
    <row r="269">
      <c r="B269" s="215"/>
    </row>
    <row r="270">
      <c r="B270" s="215"/>
    </row>
    <row r="271">
      <c r="B271" s="215"/>
    </row>
    <row r="272">
      <c r="B272" s="215"/>
    </row>
    <row r="273">
      <c r="B273" s="215"/>
    </row>
    <row r="274">
      <c r="B274" s="215"/>
    </row>
    <row r="275">
      <c r="B275" s="215"/>
    </row>
    <row r="276">
      <c r="B276" s="215"/>
    </row>
    <row r="277">
      <c r="B277" s="215"/>
    </row>
    <row r="278">
      <c r="B278" s="215"/>
    </row>
    <row r="279">
      <c r="B279" s="215"/>
    </row>
    <row r="280">
      <c r="B280" s="215"/>
    </row>
    <row r="281">
      <c r="B281" s="215"/>
    </row>
    <row r="282">
      <c r="B282" s="215"/>
    </row>
    <row r="283">
      <c r="B283" s="215"/>
    </row>
    <row r="284">
      <c r="B284" s="215"/>
    </row>
    <row r="285">
      <c r="B285" s="215"/>
    </row>
    <row r="286">
      <c r="B286" s="215"/>
    </row>
    <row r="287">
      <c r="B287" s="215"/>
    </row>
    <row r="288">
      <c r="B288" s="215"/>
    </row>
    <row r="289">
      <c r="B289" s="215"/>
    </row>
    <row r="290">
      <c r="B290" s="215"/>
    </row>
    <row r="291">
      <c r="B291" s="215"/>
    </row>
    <row r="292">
      <c r="B292" s="215"/>
    </row>
    <row r="293">
      <c r="B293" s="215"/>
    </row>
    <row r="294">
      <c r="B294" s="215"/>
    </row>
    <row r="295">
      <c r="B295" s="215"/>
    </row>
    <row r="296">
      <c r="B296" s="215"/>
    </row>
    <row r="297">
      <c r="B297" s="215"/>
    </row>
    <row r="298">
      <c r="B298" s="215"/>
    </row>
    <row r="299">
      <c r="B299" s="215"/>
    </row>
    <row r="300">
      <c r="B300" s="215"/>
    </row>
    <row r="301">
      <c r="B301" s="215"/>
    </row>
    <row r="302">
      <c r="B302" s="215"/>
    </row>
    <row r="303">
      <c r="B303" s="215"/>
    </row>
    <row r="304">
      <c r="B304" s="215"/>
    </row>
    <row r="305">
      <c r="B305" s="215"/>
    </row>
    <row r="306">
      <c r="B306" s="215"/>
    </row>
    <row r="307">
      <c r="B307" s="215"/>
    </row>
    <row r="308">
      <c r="B308" s="215"/>
    </row>
    <row r="309">
      <c r="B309" s="215"/>
    </row>
    <row r="310">
      <c r="B310" s="215"/>
    </row>
    <row r="311">
      <c r="B311" s="215"/>
    </row>
    <row r="312">
      <c r="B312" s="215"/>
    </row>
    <row r="313">
      <c r="B313" s="215"/>
    </row>
    <row r="314">
      <c r="B314" s="215"/>
    </row>
    <row r="315">
      <c r="B315" s="215"/>
    </row>
    <row r="316">
      <c r="B316" s="215"/>
    </row>
    <row r="317">
      <c r="B317" s="215"/>
    </row>
    <row r="318">
      <c r="B318" s="215"/>
    </row>
    <row r="319">
      <c r="B319" s="215"/>
    </row>
    <row r="320">
      <c r="B320" s="215"/>
    </row>
    <row r="321">
      <c r="B321" s="215"/>
    </row>
    <row r="322">
      <c r="B322" s="215"/>
    </row>
    <row r="323">
      <c r="B323" s="215"/>
    </row>
    <row r="324">
      <c r="B324" s="215"/>
    </row>
    <row r="325">
      <c r="B325" s="215"/>
    </row>
    <row r="326">
      <c r="B326" s="215"/>
    </row>
    <row r="327">
      <c r="B327" s="215"/>
    </row>
    <row r="328">
      <c r="B328" s="215"/>
    </row>
    <row r="329">
      <c r="B329" s="215"/>
    </row>
    <row r="330">
      <c r="B330" s="215"/>
    </row>
    <row r="331">
      <c r="B331" s="215"/>
    </row>
    <row r="332">
      <c r="B332" s="215"/>
    </row>
    <row r="333">
      <c r="B333" s="215"/>
    </row>
    <row r="334">
      <c r="B334" s="215"/>
    </row>
    <row r="335">
      <c r="B335" s="215"/>
    </row>
    <row r="336">
      <c r="B336" s="215"/>
    </row>
    <row r="337">
      <c r="B337" s="215"/>
    </row>
    <row r="338">
      <c r="B338" s="215"/>
    </row>
    <row r="339">
      <c r="B339" s="215"/>
    </row>
    <row r="340">
      <c r="B340" s="215"/>
    </row>
    <row r="341">
      <c r="B341" s="215"/>
    </row>
    <row r="342">
      <c r="B342" s="215"/>
    </row>
    <row r="343">
      <c r="B343" s="215"/>
    </row>
    <row r="344">
      <c r="B344" s="215"/>
    </row>
    <row r="345">
      <c r="B345" s="215"/>
    </row>
    <row r="346">
      <c r="B346" s="215"/>
    </row>
    <row r="347">
      <c r="B347" s="215"/>
    </row>
    <row r="348">
      <c r="B348" s="215"/>
    </row>
    <row r="349">
      <c r="B349" s="215"/>
    </row>
    <row r="350">
      <c r="B350" s="215"/>
    </row>
    <row r="351">
      <c r="B351" s="215"/>
    </row>
    <row r="352">
      <c r="B352" s="215"/>
    </row>
    <row r="353">
      <c r="B353" s="215"/>
    </row>
    <row r="354">
      <c r="B354" s="215"/>
    </row>
    <row r="355">
      <c r="B355" s="215"/>
    </row>
    <row r="356">
      <c r="B356" s="215"/>
    </row>
    <row r="357">
      <c r="B357" s="215"/>
    </row>
    <row r="358">
      <c r="B358" s="215"/>
    </row>
    <row r="359">
      <c r="B359" s="215"/>
    </row>
    <row r="360">
      <c r="B360" s="215"/>
    </row>
    <row r="361">
      <c r="B361" s="215"/>
    </row>
    <row r="362">
      <c r="B362" s="215"/>
    </row>
    <row r="363">
      <c r="B363" s="215"/>
    </row>
    <row r="364">
      <c r="B364" s="215"/>
    </row>
    <row r="365">
      <c r="B365" s="215"/>
    </row>
    <row r="366">
      <c r="B366" s="215"/>
    </row>
    <row r="367">
      <c r="B367" s="215"/>
    </row>
    <row r="368">
      <c r="B368" s="215"/>
    </row>
    <row r="369">
      <c r="B369" s="215"/>
    </row>
    <row r="370">
      <c r="B370" s="215"/>
    </row>
    <row r="371">
      <c r="B371" s="215"/>
    </row>
    <row r="372">
      <c r="B372" s="215"/>
    </row>
    <row r="373">
      <c r="B373" s="215"/>
    </row>
    <row r="374">
      <c r="B374" s="215"/>
    </row>
    <row r="375">
      <c r="B375" s="215"/>
    </row>
    <row r="376">
      <c r="B376" s="215"/>
    </row>
    <row r="377">
      <c r="B377" s="215"/>
    </row>
    <row r="378">
      <c r="B378" s="215"/>
    </row>
    <row r="379">
      <c r="B379" s="215"/>
    </row>
    <row r="380">
      <c r="B380" s="215"/>
    </row>
    <row r="381">
      <c r="B381" s="215"/>
    </row>
    <row r="382">
      <c r="B382" s="215"/>
    </row>
    <row r="383">
      <c r="B383" s="215"/>
    </row>
    <row r="384">
      <c r="B384" s="215"/>
    </row>
    <row r="385">
      <c r="B385" s="215"/>
    </row>
    <row r="386">
      <c r="B386" s="215"/>
    </row>
    <row r="387">
      <c r="B387" s="215"/>
    </row>
    <row r="388">
      <c r="B388" s="215"/>
    </row>
    <row r="389">
      <c r="B389" s="215"/>
    </row>
  </sheetData>
  <mergeCells count="14">
    <mergeCell ref="A127:D127"/>
    <mergeCell ref="A145:D145"/>
    <mergeCell ref="A163:D163"/>
    <mergeCell ref="A181:D181"/>
    <mergeCell ref="A199:D199"/>
    <mergeCell ref="A217:D217"/>
    <mergeCell ref="A235:D235"/>
    <mergeCell ref="A1:D1"/>
    <mergeCell ref="A19:D19"/>
    <mergeCell ref="A37:D37"/>
    <mergeCell ref="A55:D55"/>
    <mergeCell ref="A73:D73"/>
    <mergeCell ref="A91:D91"/>
    <mergeCell ref="A109:D109"/>
  </mergeCells>
  <conditionalFormatting sqref="A3:B17 C3:D5 E3:L17 C15:D17 A21:B35 C21:D23 E21:L35 C33:D35 A39:B53 C39:D41 E39:L53 C51:D53 A57:B71 C57:D59 E57:L71 C69:D71 A75:B89 C75:D77 E75:L89 C87:D89 A93:B107 C93:D95 E93:L107 C105:D107 A111:B125 C111:D113 E111:L125 C123:D125">
    <cfRule type="cellIs" dxfId="6" priority="1" operator="equal">
      <formula>"LWOP"</formula>
    </cfRule>
  </conditionalFormatting>
  <conditionalFormatting sqref="A1:D1 A19:D19 A37:D37 A55:D55 A73:D73 A91:D91 A109:D109">
    <cfRule type="cellIs" dxfId="7" priority="2" operator="equal">
      <formula>"OFF"</formula>
    </cfRule>
  </conditionalFormatting>
  <conditionalFormatting sqref="A1:D1 A19:D19 A37:D37 A55:D55 A73:D73 A91:D91 A109:D109">
    <cfRule type="cellIs" dxfId="8" priority="3" operator="equal">
      <formula>"A"</formula>
    </cfRule>
  </conditionalFormatting>
  <conditionalFormatting sqref="A1:D1 A19:D19 A37:D37 A55:D55 A73:D73 A91:D91 A109:D109">
    <cfRule type="cellIs" dxfId="9" priority="4" operator="equal">
      <formula>"LWOP"</formula>
    </cfRule>
  </conditionalFormatting>
  <conditionalFormatting sqref="A1:N389">
    <cfRule type="cellIs" dxfId="10" priority="5" operator="equal">
      <formula>"Absent"</formula>
    </cfRule>
  </conditionalFormatting>
  <dataValidations>
    <dataValidation type="list" allowBlank="1" showErrorMessage="1" sqref="E3:L17 E21:L35 E39:L53 E57:L71 E75:L89 E93:L107 E111:L125 E129:L143 E147:L161 E165:L179 E183:L197 E201:L215 E219:L233 E237:L251">
      <formula1>"Yes,No"</formula1>
    </dataValidation>
  </dataValidations>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21"/>
    <hyperlink r:id="rId17" ref="A22"/>
    <hyperlink r:id="rId18" ref="A23"/>
    <hyperlink r:id="rId19" ref="A24"/>
    <hyperlink r:id="rId20" ref="A25"/>
    <hyperlink r:id="rId21" ref="A26"/>
    <hyperlink r:id="rId22" ref="A27"/>
    <hyperlink r:id="rId23" ref="A28"/>
    <hyperlink r:id="rId24" ref="A29"/>
    <hyperlink r:id="rId25" ref="A30"/>
    <hyperlink r:id="rId26" ref="A31"/>
    <hyperlink r:id="rId27" ref="A32"/>
    <hyperlink r:id="rId28" ref="A33"/>
    <hyperlink r:id="rId29" ref="A34"/>
    <hyperlink r:id="rId30" ref="A35"/>
    <hyperlink r:id="rId31" ref="A39"/>
    <hyperlink r:id="rId32" ref="A40"/>
    <hyperlink r:id="rId33" ref="A41"/>
    <hyperlink r:id="rId34" ref="A42"/>
    <hyperlink r:id="rId35" ref="A43"/>
    <hyperlink r:id="rId36" ref="A44"/>
    <hyperlink r:id="rId37" ref="A45"/>
    <hyperlink r:id="rId38" ref="A46"/>
    <hyperlink r:id="rId39" ref="A47"/>
    <hyperlink r:id="rId40" ref="A48"/>
    <hyperlink r:id="rId41" ref="A49"/>
    <hyperlink r:id="rId42" ref="A50"/>
    <hyperlink r:id="rId43" ref="A51"/>
    <hyperlink r:id="rId44" ref="A52"/>
    <hyperlink r:id="rId45" ref="A53"/>
    <hyperlink r:id="rId46" ref="A58"/>
    <hyperlink r:id="rId47" ref="A59"/>
    <hyperlink r:id="rId48" ref="A60"/>
    <hyperlink r:id="rId49" ref="A61"/>
    <hyperlink r:id="rId50" ref="A62"/>
    <hyperlink r:id="rId51" ref="A63"/>
    <hyperlink r:id="rId52" ref="A64"/>
    <hyperlink r:id="rId53" ref="A65"/>
    <hyperlink r:id="rId54" ref="A66"/>
    <hyperlink r:id="rId55" ref="A67"/>
    <hyperlink r:id="rId56" ref="A68"/>
    <hyperlink r:id="rId57" ref="A69"/>
    <hyperlink r:id="rId58" ref="A70"/>
    <hyperlink r:id="rId59" ref="A71"/>
    <hyperlink r:id="rId60" ref="A75"/>
    <hyperlink r:id="rId61" ref="A76"/>
    <hyperlink r:id="rId62" ref="A77"/>
    <hyperlink r:id="rId63" ref="A78"/>
    <hyperlink r:id="rId64" ref="A79"/>
    <hyperlink r:id="rId65" ref="A80"/>
    <hyperlink r:id="rId66" ref="A81"/>
    <hyperlink r:id="rId67" ref="A82"/>
    <hyperlink r:id="rId68" ref="A83"/>
    <hyperlink r:id="rId69" ref="A84"/>
    <hyperlink r:id="rId70" ref="A85"/>
    <hyperlink r:id="rId71" ref="A86"/>
    <hyperlink r:id="rId72" ref="A87"/>
    <hyperlink r:id="rId73" ref="A88"/>
    <hyperlink r:id="rId74" ref="A89"/>
    <hyperlink r:id="rId75" ref="A93"/>
    <hyperlink r:id="rId76" ref="A94"/>
    <hyperlink r:id="rId77" ref="A95"/>
    <hyperlink r:id="rId78" ref="A96"/>
    <hyperlink r:id="rId79" ref="A97"/>
    <hyperlink r:id="rId80" ref="A98"/>
    <hyperlink r:id="rId81" ref="A100"/>
    <hyperlink r:id="rId82" ref="A101"/>
    <hyperlink r:id="rId83" ref="A102"/>
    <hyperlink r:id="rId84" ref="A103"/>
    <hyperlink r:id="rId85" ref="A104"/>
    <hyperlink r:id="rId86" ref="A105"/>
    <hyperlink r:id="rId87" ref="A106"/>
    <hyperlink r:id="rId88" ref="A107"/>
    <hyperlink r:id="rId89" ref="A111"/>
    <hyperlink r:id="rId90" ref="A112"/>
    <hyperlink r:id="rId91" ref="A113"/>
    <hyperlink r:id="rId92" ref="A114"/>
    <hyperlink r:id="rId93" ref="A115"/>
    <hyperlink r:id="rId94" ref="A116"/>
    <hyperlink r:id="rId95" ref="A117"/>
    <hyperlink r:id="rId96" ref="A118"/>
    <hyperlink r:id="rId97" ref="A119"/>
    <hyperlink r:id="rId98" ref="A120"/>
    <hyperlink r:id="rId99" ref="A121"/>
    <hyperlink r:id="rId100" ref="A122"/>
    <hyperlink r:id="rId101" ref="A123"/>
    <hyperlink r:id="rId102" ref="A124"/>
    <hyperlink r:id="rId103" ref="A125"/>
    <hyperlink r:id="rId104" ref="A129"/>
    <hyperlink r:id="rId105" ref="A130"/>
    <hyperlink r:id="rId106" ref="A131"/>
    <hyperlink r:id="rId107" ref="A132"/>
    <hyperlink r:id="rId108" ref="A133"/>
    <hyperlink r:id="rId109" ref="A134"/>
    <hyperlink r:id="rId110" ref="A135"/>
    <hyperlink r:id="rId111" ref="A136"/>
    <hyperlink r:id="rId112" ref="A137"/>
    <hyperlink r:id="rId113" ref="A138"/>
    <hyperlink r:id="rId114" ref="A139"/>
    <hyperlink r:id="rId115" ref="A140"/>
    <hyperlink r:id="rId116" ref="A141"/>
    <hyperlink r:id="rId117" ref="A142"/>
    <hyperlink r:id="rId118" ref="A143"/>
    <hyperlink r:id="rId119" ref="A147"/>
    <hyperlink r:id="rId120" ref="A148"/>
    <hyperlink r:id="rId121" ref="A149"/>
    <hyperlink r:id="rId122" ref="A150"/>
    <hyperlink r:id="rId123" ref="A151"/>
    <hyperlink r:id="rId124" ref="A152"/>
    <hyperlink r:id="rId125" ref="A153"/>
    <hyperlink r:id="rId126" ref="A154"/>
    <hyperlink r:id="rId127" ref="A155"/>
    <hyperlink r:id="rId128" ref="A156"/>
    <hyperlink r:id="rId129" ref="A157"/>
    <hyperlink r:id="rId130" ref="A158"/>
    <hyperlink r:id="rId131" ref="A159"/>
    <hyperlink r:id="rId132" ref="A160"/>
    <hyperlink r:id="rId133" ref="A161"/>
    <hyperlink r:id="rId134" ref="A165"/>
    <hyperlink r:id="rId135" ref="A166"/>
    <hyperlink r:id="rId136" ref="A167"/>
    <hyperlink r:id="rId137" ref="A168"/>
    <hyperlink r:id="rId138" ref="A169"/>
    <hyperlink r:id="rId139" ref="A170"/>
    <hyperlink r:id="rId140" ref="A171"/>
    <hyperlink r:id="rId141" ref="A173"/>
    <hyperlink r:id="rId142" ref="A174"/>
    <hyperlink r:id="rId143" ref="A175"/>
    <hyperlink r:id="rId144" ref="A176"/>
    <hyperlink r:id="rId145" ref="A177"/>
    <hyperlink r:id="rId146" ref="A178"/>
    <hyperlink r:id="rId147" ref="A179"/>
    <hyperlink r:id="rId148" ref="A183"/>
    <hyperlink r:id="rId149" ref="A184"/>
    <hyperlink r:id="rId150" ref="A185"/>
    <hyperlink r:id="rId151" ref="A186"/>
    <hyperlink r:id="rId152" ref="A187"/>
    <hyperlink r:id="rId153" ref="A188"/>
    <hyperlink r:id="rId154" ref="A189"/>
    <hyperlink r:id="rId155" ref="A190"/>
    <hyperlink r:id="rId156" ref="A191"/>
    <hyperlink r:id="rId157" ref="A192"/>
    <hyperlink r:id="rId158" ref="A193"/>
    <hyperlink r:id="rId159" ref="A194"/>
    <hyperlink r:id="rId160" ref="A195"/>
    <hyperlink r:id="rId161" ref="A196"/>
    <hyperlink r:id="rId162" ref="A197"/>
    <hyperlink r:id="rId163" ref="A201"/>
    <hyperlink r:id="rId164" ref="A202"/>
    <hyperlink r:id="rId165" ref="A203"/>
    <hyperlink r:id="rId166" ref="A204"/>
    <hyperlink r:id="rId167" ref="A205"/>
    <hyperlink r:id="rId168" ref="A206"/>
    <hyperlink r:id="rId169" ref="A207"/>
    <hyperlink r:id="rId170" ref="A208"/>
    <hyperlink r:id="rId171" ref="A209"/>
    <hyperlink r:id="rId172" ref="A210"/>
    <hyperlink r:id="rId173" ref="A211"/>
    <hyperlink r:id="rId174" ref="A212"/>
    <hyperlink r:id="rId175" ref="A213"/>
    <hyperlink r:id="rId176" ref="A214"/>
    <hyperlink r:id="rId177" ref="A215"/>
    <hyperlink r:id="rId178" ref="A219"/>
    <hyperlink r:id="rId179" ref="A220"/>
    <hyperlink r:id="rId180" ref="A221"/>
    <hyperlink r:id="rId181" ref="A222"/>
    <hyperlink r:id="rId182" ref="A223"/>
    <hyperlink r:id="rId183" ref="A224"/>
    <hyperlink r:id="rId184" ref="A225"/>
    <hyperlink r:id="rId185" ref="A226"/>
    <hyperlink r:id="rId186" ref="A227"/>
    <hyperlink r:id="rId187" ref="A228"/>
    <hyperlink r:id="rId188" ref="A229"/>
    <hyperlink r:id="rId189" ref="A230"/>
    <hyperlink r:id="rId190" ref="A231"/>
    <hyperlink r:id="rId191" ref="A232"/>
    <hyperlink r:id="rId192" ref="A233"/>
    <hyperlink r:id="rId193" ref="A237"/>
    <hyperlink r:id="rId194" ref="A238"/>
    <hyperlink r:id="rId195" ref="A239"/>
    <hyperlink r:id="rId196" ref="A240"/>
    <hyperlink r:id="rId197" ref="A241"/>
    <hyperlink r:id="rId198" ref="A242"/>
    <hyperlink r:id="rId199" ref="A243"/>
    <hyperlink r:id="rId200" ref="A244"/>
    <hyperlink r:id="rId201" ref="A245"/>
    <hyperlink r:id="rId202" ref="A246"/>
    <hyperlink r:id="rId203" ref="A247"/>
    <hyperlink r:id="rId204" ref="A248"/>
    <hyperlink r:id="rId205" ref="A249"/>
    <hyperlink r:id="rId206" ref="A250"/>
    <hyperlink r:id="rId207" ref="A251"/>
  </hyperlinks>
  <drawing r:id="rId20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41.5"/>
    <col hidden="1" min="13" max="13" width="12.63"/>
    <col customWidth="1" min="14" max="14" width="74.88"/>
  </cols>
  <sheetData>
    <row r="1" hidden="1" collapsed="1">
      <c r="A1" s="85" t="s">
        <v>210</v>
      </c>
      <c r="B1" s="86"/>
      <c r="C1" s="86"/>
      <c r="D1" s="88"/>
      <c r="E1" s="89"/>
      <c r="F1" s="89"/>
      <c r="G1" s="91"/>
      <c r="H1" s="91"/>
      <c r="I1" s="91"/>
      <c r="J1" s="91"/>
      <c r="K1" s="91"/>
      <c r="L1" s="91"/>
      <c r="M1" s="93"/>
      <c r="N1" s="95"/>
    </row>
    <row r="2" hidden="1" outlineLevel="1">
      <c r="A2" s="96" t="s">
        <v>89</v>
      </c>
      <c r="B2" s="98" t="s">
        <v>90</v>
      </c>
      <c r="C2" s="98" t="s">
        <v>91</v>
      </c>
      <c r="D2" s="101" t="s">
        <v>93</v>
      </c>
      <c r="E2" s="102" t="s">
        <v>94</v>
      </c>
      <c r="F2" s="102" t="s">
        <v>95</v>
      </c>
      <c r="G2" s="105" t="s">
        <v>96</v>
      </c>
      <c r="H2" s="107" t="s">
        <v>97</v>
      </c>
      <c r="I2" s="107" t="s">
        <v>104</v>
      </c>
      <c r="J2" s="105" t="s">
        <v>106</v>
      </c>
      <c r="K2" s="107" t="s">
        <v>109</v>
      </c>
      <c r="L2" s="105" t="s">
        <v>111</v>
      </c>
      <c r="M2" s="98" t="s">
        <v>114</v>
      </c>
      <c r="N2" s="101" t="s">
        <v>116</v>
      </c>
    </row>
    <row r="3" hidden="1" outlineLevel="1">
      <c r="A3" s="397" t="s">
        <v>565</v>
      </c>
      <c r="B3" s="115">
        <v>46216.0</v>
      </c>
      <c r="C3" s="118" t="str">
        <f t="shared" ref="C3:C17" si="1">IF(B3="", "", TEXT(B3, "ddd"))</f>
        <v>Mon</v>
      </c>
      <c r="D3" s="128">
        <f t="shared" ref="D3:D17" si="2">IF(E3="Yes",0.05,0)
+IF(F3="Yes",0.1,0)
+IF(G3="Yes",0.15,0)
+IF(H3="Yes",0.15,0)
+IF(I3="Yes",0.05,0)
+IF(J3="Yes",0.05,0)
+IF(K3="Yes",0.15,0)
+IF(L3="Yes",0.3,0)
</f>
        <v>1</v>
      </c>
      <c r="E3" s="131" t="s">
        <v>142</v>
      </c>
      <c r="F3" s="134" t="s">
        <v>142</v>
      </c>
      <c r="G3" s="134" t="s">
        <v>142</v>
      </c>
      <c r="H3" s="134" t="s">
        <v>142</v>
      </c>
      <c r="I3" s="134" t="s">
        <v>142</v>
      </c>
      <c r="J3" s="134" t="s">
        <v>142</v>
      </c>
      <c r="K3" s="134" t="s">
        <v>142</v>
      </c>
      <c r="L3" s="134" t="s">
        <v>142</v>
      </c>
      <c r="M3" s="136"/>
      <c r="N3" s="137"/>
    </row>
    <row r="4" hidden="1" outlineLevel="1">
      <c r="A4" s="397" t="s">
        <v>568</v>
      </c>
      <c r="B4" s="115">
        <v>46216.0</v>
      </c>
      <c r="C4" s="118" t="str">
        <f t="shared" si="1"/>
        <v>Mon</v>
      </c>
      <c r="D4" s="143">
        <f t="shared" si="2"/>
        <v>1</v>
      </c>
      <c r="E4" s="144" t="s">
        <v>142</v>
      </c>
      <c r="F4" s="134" t="s">
        <v>142</v>
      </c>
      <c r="G4" s="134" t="s">
        <v>142</v>
      </c>
      <c r="H4" s="134" t="s">
        <v>142</v>
      </c>
      <c r="I4" s="134" t="s">
        <v>142</v>
      </c>
      <c r="J4" s="134" t="s">
        <v>142</v>
      </c>
      <c r="K4" s="134" t="s">
        <v>142</v>
      </c>
      <c r="L4" s="134" t="s">
        <v>142</v>
      </c>
      <c r="M4" s="136"/>
      <c r="N4" s="131"/>
    </row>
    <row r="5" hidden="1" outlineLevel="1">
      <c r="A5" s="397" t="s">
        <v>571</v>
      </c>
      <c r="B5" s="115">
        <v>46216.0</v>
      </c>
      <c r="C5" s="118" t="str">
        <f t="shared" si="1"/>
        <v>Mon</v>
      </c>
      <c r="D5" s="128">
        <f t="shared" si="2"/>
        <v>1</v>
      </c>
      <c r="E5" s="131" t="s">
        <v>142</v>
      </c>
      <c r="F5" s="134" t="s">
        <v>142</v>
      </c>
      <c r="G5" s="134" t="s">
        <v>142</v>
      </c>
      <c r="H5" s="134" t="s">
        <v>142</v>
      </c>
      <c r="I5" s="134" t="s">
        <v>142</v>
      </c>
      <c r="J5" s="134" t="s">
        <v>142</v>
      </c>
      <c r="K5" s="134" t="s">
        <v>142</v>
      </c>
      <c r="L5" s="134" t="s">
        <v>142</v>
      </c>
      <c r="M5" s="136"/>
      <c r="N5" s="131"/>
    </row>
    <row r="6" hidden="1" outlineLevel="1">
      <c r="A6" s="113" t="s">
        <v>573</v>
      </c>
      <c r="B6" s="115">
        <v>46217.0</v>
      </c>
      <c r="C6" s="118" t="str">
        <f t="shared" si="1"/>
        <v>Tue</v>
      </c>
      <c r="D6" s="143">
        <f t="shared" si="2"/>
        <v>1</v>
      </c>
      <c r="E6" s="144" t="s">
        <v>142</v>
      </c>
      <c r="F6" s="134" t="s">
        <v>142</v>
      </c>
      <c r="G6" s="134" t="s">
        <v>142</v>
      </c>
      <c r="H6" s="134" t="s">
        <v>142</v>
      </c>
      <c r="I6" s="134" t="s">
        <v>142</v>
      </c>
      <c r="J6" s="134" t="s">
        <v>142</v>
      </c>
      <c r="K6" s="134" t="s">
        <v>142</v>
      </c>
      <c r="L6" s="134" t="s">
        <v>142</v>
      </c>
      <c r="M6" s="136"/>
      <c r="N6" s="137"/>
    </row>
    <row r="7" hidden="1" outlineLevel="1">
      <c r="A7" s="113" t="s">
        <v>575</v>
      </c>
      <c r="B7" s="115">
        <v>46217.0</v>
      </c>
      <c r="C7" s="118" t="str">
        <f t="shared" si="1"/>
        <v>Tue</v>
      </c>
      <c r="D7" s="128">
        <f t="shared" si="2"/>
        <v>1</v>
      </c>
      <c r="E7" s="131" t="s">
        <v>142</v>
      </c>
      <c r="F7" s="134" t="s">
        <v>142</v>
      </c>
      <c r="G7" s="134" t="s">
        <v>142</v>
      </c>
      <c r="H7" s="134" t="s">
        <v>142</v>
      </c>
      <c r="I7" s="134" t="s">
        <v>142</v>
      </c>
      <c r="J7" s="134" t="s">
        <v>142</v>
      </c>
      <c r="K7" s="134" t="s">
        <v>142</v>
      </c>
      <c r="L7" s="134" t="s">
        <v>142</v>
      </c>
      <c r="M7" s="136"/>
      <c r="N7" s="137"/>
    </row>
    <row r="8" hidden="1" outlineLevel="1">
      <c r="A8" s="113" t="s">
        <v>578</v>
      </c>
      <c r="B8" s="115">
        <v>46217.0</v>
      </c>
      <c r="C8" s="118" t="str">
        <f t="shared" si="1"/>
        <v>Tue</v>
      </c>
      <c r="D8" s="143">
        <f t="shared" si="2"/>
        <v>1</v>
      </c>
      <c r="E8" s="144" t="s">
        <v>142</v>
      </c>
      <c r="F8" s="134" t="s">
        <v>142</v>
      </c>
      <c r="G8" s="134" t="s">
        <v>142</v>
      </c>
      <c r="H8" s="134" t="s">
        <v>142</v>
      </c>
      <c r="I8" s="134" t="s">
        <v>142</v>
      </c>
      <c r="J8" s="134" t="s">
        <v>142</v>
      </c>
      <c r="K8" s="134" t="s">
        <v>142</v>
      </c>
      <c r="L8" s="134" t="s">
        <v>142</v>
      </c>
      <c r="M8" s="136"/>
      <c r="N8" s="137"/>
    </row>
    <row r="9" hidden="1" outlineLevel="1">
      <c r="A9" s="113" t="s">
        <v>580</v>
      </c>
      <c r="B9" s="115">
        <v>46218.0</v>
      </c>
      <c r="C9" s="118" t="str">
        <f t="shared" si="1"/>
        <v>Wed</v>
      </c>
      <c r="D9" s="128">
        <f t="shared" si="2"/>
        <v>1</v>
      </c>
      <c r="E9" s="131" t="s">
        <v>142</v>
      </c>
      <c r="F9" s="134" t="s">
        <v>142</v>
      </c>
      <c r="G9" s="134" t="s">
        <v>142</v>
      </c>
      <c r="H9" s="134" t="s">
        <v>142</v>
      </c>
      <c r="I9" s="134" t="s">
        <v>142</v>
      </c>
      <c r="J9" s="134" t="s">
        <v>142</v>
      </c>
      <c r="K9" s="134" t="s">
        <v>142</v>
      </c>
      <c r="L9" s="134" t="s">
        <v>142</v>
      </c>
      <c r="M9" s="136"/>
      <c r="N9" s="137"/>
    </row>
    <row r="10" hidden="1" outlineLevel="1">
      <c r="A10" s="113" t="s">
        <v>581</v>
      </c>
      <c r="B10" s="115">
        <v>46218.0</v>
      </c>
      <c r="C10" s="118" t="str">
        <f t="shared" si="1"/>
        <v>Wed</v>
      </c>
      <c r="D10" s="143">
        <f t="shared" si="2"/>
        <v>1</v>
      </c>
      <c r="E10" s="144" t="s">
        <v>142</v>
      </c>
      <c r="F10" s="134" t="s">
        <v>142</v>
      </c>
      <c r="G10" s="134" t="s">
        <v>142</v>
      </c>
      <c r="H10" s="134" t="s">
        <v>142</v>
      </c>
      <c r="I10" s="134" t="s">
        <v>142</v>
      </c>
      <c r="J10" s="134" t="s">
        <v>142</v>
      </c>
      <c r="K10" s="134" t="s">
        <v>142</v>
      </c>
      <c r="L10" s="134" t="s">
        <v>142</v>
      </c>
      <c r="M10" s="136"/>
      <c r="N10" s="131"/>
    </row>
    <row r="11" hidden="1" outlineLevel="1">
      <c r="A11" s="113" t="s">
        <v>583</v>
      </c>
      <c r="B11" s="115">
        <v>46218.0</v>
      </c>
      <c r="C11" s="118" t="str">
        <f t="shared" si="1"/>
        <v>Wed</v>
      </c>
      <c r="D11" s="128">
        <f t="shared" si="2"/>
        <v>1</v>
      </c>
      <c r="E11" s="131" t="s">
        <v>142</v>
      </c>
      <c r="F11" s="134" t="s">
        <v>142</v>
      </c>
      <c r="G11" s="134" t="s">
        <v>142</v>
      </c>
      <c r="H11" s="134" t="s">
        <v>142</v>
      </c>
      <c r="I11" s="134" t="s">
        <v>142</v>
      </c>
      <c r="J11" s="134" t="s">
        <v>142</v>
      </c>
      <c r="K11" s="134" t="s">
        <v>142</v>
      </c>
      <c r="L11" s="134" t="s">
        <v>142</v>
      </c>
      <c r="M11" s="136"/>
      <c r="N11" s="137"/>
    </row>
    <row r="12" hidden="1" outlineLevel="1">
      <c r="A12" s="113" t="s">
        <v>585</v>
      </c>
      <c r="B12" s="115">
        <v>46219.0</v>
      </c>
      <c r="C12" s="118" t="str">
        <f t="shared" si="1"/>
        <v>Thu</v>
      </c>
      <c r="D12" s="143">
        <f t="shared" si="2"/>
        <v>1</v>
      </c>
      <c r="E12" s="144" t="s">
        <v>142</v>
      </c>
      <c r="F12" s="134" t="s">
        <v>142</v>
      </c>
      <c r="G12" s="134" t="s">
        <v>142</v>
      </c>
      <c r="H12" s="134" t="s">
        <v>142</v>
      </c>
      <c r="I12" s="134" t="s">
        <v>142</v>
      </c>
      <c r="J12" s="134" t="s">
        <v>142</v>
      </c>
      <c r="K12" s="134" t="s">
        <v>142</v>
      </c>
      <c r="L12" s="134" t="s">
        <v>142</v>
      </c>
      <c r="M12" s="136"/>
      <c r="N12" s="131"/>
    </row>
    <row r="13" hidden="1" outlineLevel="1">
      <c r="A13" s="113" t="s">
        <v>588</v>
      </c>
      <c r="B13" s="115">
        <v>46219.0</v>
      </c>
      <c r="C13" s="118" t="str">
        <f t="shared" si="1"/>
        <v>Thu</v>
      </c>
      <c r="D13" s="128">
        <f t="shared" si="2"/>
        <v>1</v>
      </c>
      <c r="E13" s="131" t="s">
        <v>142</v>
      </c>
      <c r="F13" s="134" t="s">
        <v>142</v>
      </c>
      <c r="G13" s="134" t="s">
        <v>142</v>
      </c>
      <c r="H13" s="134" t="s">
        <v>142</v>
      </c>
      <c r="I13" s="134" t="s">
        <v>142</v>
      </c>
      <c r="J13" s="134" t="s">
        <v>142</v>
      </c>
      <c r="K13" s="134" t="s">
        <v>142</v>
      </c>
      <c r="L13" s="134" t="s">
        <v>142</v>
      </c>
      <c r="M13" s="136"/>
      <c r="N13" s="131"/>
    </row>
    <row r="14" hidden="1" outlineLevel="1">
      <c r="A14" s="113" t="s">
        <v>592</v>
      </c>
      <c r="B14" s="115">
        <v>46219.0</v>
      </c>
      <c r="C14" s="118" t="str">
        <f t="shared" si="1"/>
        <v>Thu</v>
      </c>
      <c r="D14" s="143">
        <f t="shared" si="2"/>
        <v>1</v>
      </c>
      <c r="E14" s="144" t="s">
        <v>142</v>
      </c>
      <c r="F14" s="134" t="s">
        <v>142</v>
      </c>
      <c r="G14" s="134" t="s">
        <v>142</v>
      </c>
      <c r="H14" s="134" t="s">
        <v>142</v>
      </c>
      <c r="I14" s="134" t="s">
        <v>142</v>
      </c>
      <c r="J14" s="134" t="s">
        <v>142</v>
      </c>
      <c r="K14" s="134" t="s">
        <v>142</v>
      </c>
      <c r="L14" s="134" t="s">
        <v>142</v>
      </c>
      <c r="M14" s="136"/>
      <c r="N14" s="131"/>
    </row>
    <row r="15" hidden="1" outlineLevel="1">
      <c r="A15" s="113" t="s">
        <v>595</v>
      </c>
      <c r="B15" s="115">
        <v>46220.0</v>
      </c>
      <c r="C15" s="118" t="str">
        <f t="shared" si="1"/>
        <v>Fri</v>
      </c>
      <c r="D15" s="128">
        <f t="shared" si="2"/>
        <v>1</v>
      </c>
      <c r="E15" s="131" t="s">
        <v>142</v>
      </c>
      <c r="F15" s="134" t="s">
        <v>142</v>
      </c>
      <c r="G15" s="134" t="s">
        <v>142</v>
      </c>
      <c r="H15" s="134" t="s">
        <v>142</v>
      </c>
      <c r="I15" s="134" t="s">
        <v>142</v>
      </c>
      <c r="J15" s="134" t="s">
        <v>142</v>
      </c>
      <c r="K15" s="134" t="s">
        <v>142</v>
      </c>
      <c r="L15" s="134" t="s">
        <v>142</v>
      </c>
      <c r="M15" s="136"/>
      <c r="N15" s="137"/>
    </row>
    <row r="16" hidden="1" outlineLevel="1">
      <c r="A16" s="113" t="s">
        <v>596</v>
      </c>
      <c r="B16" s="115">
        <v>46220.0</v>
      </c>
      <c r="C16" s="118" t="str">
        <f t="shared" si="1"/>
        <v>Fri</v>
      </c>
      <c r="D16" s="143">
        <f t="shared" si="2"/>
        <v>1</v>
      </c>
      <c r="E16" s="144" t="s">
        <v>142</v>
      </c>
      <c r="F16" s="134" t="s">
        <v>142</v>
      </c>
      <c r="G16" s="134" t="s">
        <v>142</v>
      </c>
      <c r="H16" s="134" t="s">
        <v>142</v>
      </c>
      <c r="I16" s="134" t="s">
        <v>142</v>
      </c>
      <c r="J16" s="134" t="s">
        <v>142</v>
      </c>
      <c r="K16" s="134" t="s">
        <v>142</v>
      </c>
      <c r="L16" s="134" t="s">
        <v>142</v>
      </c>
      <c r="M16" s="136"/>
      <c r="N16" s="137"/>
    </row>
    <row r="17" ht="15.0" hidden="1" customHeight="1" outlineLevel="1">
      <c r="A17" s="113" t="s">
        <v>597</v>
      </c>
      <c r="B17" s="115">
        <v>46220.0</v>
      </c>
      <c r="C17" s="118" t="str">
        <f t="shared" si="1"/>
        <v>Fri</v>
      </c>
      <c r="D17" s="128">
        <f t="shared" si="2"/>
        <v>1</v>
      </c>
      <c r="E17" s="131" t="s">
        <v>142</v>
      </c>
      <c r="F17" s="134" t="s">
        <v>142</v>
      </c>
      <c r="G17" s="134" t="s">
        <v>142</v>
      </c>
      <c r="H17" s="134" t="s">
        <v>142</v>
      </c>
      <c r="I17" s="134" t="s">
        <v>142</v>
      </c>
      <c r="J17" s="134" t="s">
        <v>142</v>
      </c>
      <c r="K17" s="134" t="s">
        <v>142</v>
      </c>
      <c r="L17" s="134" t="s">
        <v>142</v>
      </c>
      <c r="M17" s="136"/>
      <c r="N17" s="131"/>
    </row>
    <row r="18" hidden="1" outlineLevel="1">
      <c r="B18" s="215"/>
      <c r="C18" s="216" t="s">
        <v>199</v>
      </c>
      <c r="D18" s="217">
        <f>AVERAGE(D3:D17)</f>
        <v>1</v>
      </c>
      <c r="E18" s="218"/>
      <c r="L18" s="216" t="s">
        <v>199</v>
      </c>
      <c r="M18" s="217">
        <f>SUM(M3:M17)/75*0.1</f>
        <v>0</v>
      </c>
    </row>
    <row r="19" hidden="1" collapsed="1">
      <c r="A19" s="85" t="s">
        <v>246</v>
      </c>
      <c r="B19" s="86"/>
      <c r="C19" s="86"/>
      <c r="D19" s="88"/>
      <c r="E19" s="89"/>
      <c r="F19" s="89"/>
      <c r="G19" s="91"/>
      <c r="H19" s="91"/>
      <c r="I19" s="91"/>
      <c r="J19" s="91"/>
      <c r="K19" s="91"/>
      <c r="L19" s="91"/>
      <c r="M19" s="93"/>
      <c r="N19" s="95"/>
    </row>
    <row r="20" hidden="1" outlineLevel="1">
      <c r="A20" s="98" t="s">
        <v>89</v>
      </c>
      <c r="B20" s="98" t="s">
        <v>90</v>
      </c>
      <c r="C20" s="98" t="s">
        <v>91</v>
      </c>
      <c r="D20" s="101" t="s">
        <v>93</v>
      </c>
      <c r="E20" s="102" t="s">
        <v>94</v>
      </c>
      <c r="F20" s="102" t="s">
        <v>95</v>
      </c>
      <c r="G20" s="105" t="s">
        <v>96</v>
      </c>
      <c r="H20" s="107" t="s">
        <v>97</v>
      </c>
      <c r="I20" s="107" t="s">
        <v>104</v>
      </c>
      <c r="J20" s="105" t="s">
        <v>106</v>
      </c>
      <c r="K20" s="107" t="s">
        <v>109</v>
      </c>
      <c r="L20" s="105" t="s">
        <v>111</v>
      </c>
      <c r="M20" s="98" t="s">
        <v>114</v>
      </c>
      <c r="N20" s="101" t="s">
        <v>116</v>
      </c>
    </row>
    <row r="21" hidden="1" outlineLevel="1">
      <c r="A21" s="113" t="s">
        <v>601</v>
      </c>
      <c r="B21" s="270">
        <v>46223.0</v>
      </c>
      <c r="C21" s="118" t="str">
        <f t="shared" ref="C21:C35" si="3">IF(B21="", "", TEXT(B21, "ddd"))</f>
        <v>Mon</v>
      </c>
      <c r="D21" s="128">
        <f t="shared" ref="D21:D35" si="4">IF(E21="Yes",0.05,0)
+IF(F21="Yes",0.1,0)
+IF(G21="Yes",0.15,0)
+IF(H21="Yes",0.15,0)
+IF(I21="Yes",0.05,0)
+IF(J21="Yes",0.05,0)
+IF(K21="Yes",0.15,0)
+IF(L21="Yes",0.3,0)
</f>
        <v>1</v>
      </c>
      <c r="E21" s="131" t="s">
        <v>142</v>
      </c>
      <c r="F21" s="134" t="s">
        <v>142</v>
      </c>
      <c r="G21" s="134" t="s">
        <v>142</v>
      </c>
      <c r="H21" s="134" t="s">
        <v>142</v>
      </c>
      <c r="I21" s="134" t="s">
        <v>142</v>
      </c>
      <c r="J21" s="134" t="s">
        <v>142</v>
      </c>
      <c r="K21" s="134" t="s">
        <v>142</v>
      </c>
      <c r="L21" s="134" t="s">
        <v>142</v>
      </c>
      <c r="M21" s="136"/>
      <c r="N21" s="137"/>
    </row>
    <row r="22" hidden="1" outlineLevel="1">
      <c r="A22" s="113" t="s">
        <v>605</v>
      </c>
      <c r="B22" s="270">
        <v>46223.0</v>
      </c>
      <c r="C22" s="118" t="str">
        <f t="shared" si="3"/>
        <v>Mon</v>
      </c>
      <c r="D22" s="143">
        <f t="shared" si="4"/>
        <v>1</v>
      </c>
      <c r="E22" s="144" t="s">
        <v>142</v>
      </c>
      <c r="F22" s="134" t="s">
        <v>142</v>
      </c>
      <c r="G22" s="134" t="s">
        <v>142</v>
      </c>
      <c r="H22" s="134" t="s">
        <v>142</v>
      </c>
      <c r="I22" s="134" t="s">
        <v>142</v>
      </c>
      <c r="J22" s="134" t="s">
        <v>142</v>
      </c>
      <c r="K22" s="134" t="s">
        <v>142</v>
      </c>
      <c r="L22" s="134" t="s">
        <v>142</v>
      </c>
      <c r="M22" s="136"/>
      <c r="N22" s="131"/>
    </row>
    <row r="23" hidden="1" outlineLevel="1">
      <c r="A23" s="113" t="s">
        <v>609</v>
      </c>
      <c r="B23" s="270">
        <v>46223.0</v>
      </c>
      <c r="C23" s="118" t="str">
        <f t="shared" si="3"/>
        <v>Mon</v>
      </c>
      <c r="D23" s="128">
        <f t="shared" si="4"/>
        <v>1</v>
      </c>
      <c r="E23" s="131" t="s">
        <v>142</v>
      </c>
      <c r="F23" s="134" t="s">
        <v>142</v>
      </c>
      <c r="G23" s="134" t="s">
        <v>142</v>
      </c>
      <c r="H23" s="134" t="s">
        <v>142</v>
      </c>
      <c r="I23" s="134" t="s">
        <v>142</v>
      </c>
      <c r="J23" s="134" t="s">
        <v>142</v>
      </c>
      <c r="K23" s="134" t="s">
        <v>142</v>
      </c>
      <c r="L23" s="134" t="s">
        <v>142</v>
      </c>
      <c r="M23" s="136"/>
      <c r="N23" s="131"/>
    </row>
    <row r="24" hidden="1" outlineLevel="1">
      <c r="A24" s="113" t="s">
        <v>612</v>
      </c>
      <c r="B24" s="270">
        <v>46224.0</v>
      </c>
      <c r="C24" s="118" t="str">
        <f t="shared" si="3"/>
        <v>Tue</v>
      </c>
      <c r="D24" s="143">
        <f t="shared" si="4"/>
        <v>1</v>
      </c>
      <c r="E24" s="144" t="s">
        <v>142</v>
      </c>
      <c r="F24" s="134" t="s">
        <v>142</v>
      </c>
      <c r="G24" s="134" t="s">
        <v>142</v>
      </c>
      <c r="H24" s="134" t="s">
        <v>142</v>
      </c>
      <c r="I24" s="134" t="s">
        <v>142</v>
      </c>
      <c r="J24" s="134" t="s">
        <v>142</v>
      </c>
      <c r="K24" s="134" t="s">
        <v>142</v>
      </c>
      <c r="L24" s="134" t="s">
        <v>142</v>
      </c>
      <c r="M24" s="136"/>
      <c r="N24" s="137"/>
    </row>
    <row r="25" hidden="1" outlineLevel="1">
      <c r="A25" s="113" t="s">
        <v>614</v>
      </c>
      <c r="B25" s="270">
        <v>46224.0</v>
      </c>
      <c r="C25" s="118" t="str">
        <f t="shared" si="3"/>
        <v>Tue</v>
      </c>
      <c r="D25" s="128">
        <f t="shared" si="4"/>
        <v>1</v>
      </c>
      <c r="E25" s="131" t="s">
        <v>142</v>
      </c>
      <c r="F25" s="134" t="s">
        <v>142</v>
      </c>
      <c r="G25" s="134" t="s">
        <v>142</v>
      </c>
      <c r="H25" s="134" t="s">
        <v>142</v>
      </c>
      <c r="I25" s="134" t="s">
        <v>142</v>
      </c>
      <c r="J25" s="134" t="s">
        <v>142</v>
      </c>
      <c r="K25" s="134" t="s">
        <v>142</v>
      </c>
      <c r="L25" s="134" t="s">
        <v>142</v>
      </c>
      <c r="M25" s="136"/>
      <c r="N25" s="137"/>
    </row>
    <row r="26" hidden="1" outlineLevel="1">
      <c r="A26" s="113" t="s">
        <v>617</v>
      </c>
      <c r="B26" s="270">
        <v>46224.0</v>
      </c>
      <c r="C26" s="118" t="str">
        <f t="shared" si="3"/>
        <v>Tue</v>
      </c>
      <c r="D26" s="143">
        <f t="shared" si="4"/>
        <v>1</v>
      </c>
      <c r="E26" s="144" t="s">
        <v>142</v>
      </c>
      <c r="F26" s="134" t="s">
        <v>142</v>
      </c>
      <c r="G26" s="134" t="s">
        <v>142</v>
      </c>
      <c r="H26" s="134" t="s">
        <v>142</v>
      </c>
      <c r="I26" s="134" t="s">
        <v>142</v>
      </c>
      <c r="J26" s="134" t="s">
        <v>142</v>
      </c>
      <c r="K26" s="134" t="s">
        <v>142</v>
      </c>
      <c r="L26" s="134" t="s">
        <v>142</v>
      </c>
      <c r="M26" s="136"/>
      <c r="N26" s="137"/>
    </row>
    <row r="27" hidden="1" outlineLevel="1">
      <c r="A27" s="113" t="s">
        <v>618</v>
      </c>
      <c r="B27" s="270">
        <v>46225.0</v>
      </c>
      <c r="C27" s="118" t="str">
        <f t="shared" si="3"/>
        <v>Wed</v>
      </c>
      <c r="D27" s="128">
        <f t="shared" si="4"/>
        <v>1</v>
      </c>
      <c r="E27" s="131" t="s">
        <v>142</v>
      </c>
      <c r="F27" s="134" t="s">
        <v>142</v>
      </c>
      <c r="G27" s="134" t="s">
        <v>142</v>
      </c>
      <c r="H27" s="134" t="s">
        <v>142</v>
      </c>
      <c r="I27" s="134" t="s">
        <v>142</v>
      </c>
      <c r="J27" s="134" t="s">
        <v>142</v>
      </c>
      <c r="K27" s="134" t="s">
        <v>142</v>
      </c>
      <c r="L27" s="134" t="s">
        <v>142</v>
      </c>
      <c r="M27" s="136"/>
      <c r="N27" s="137"/>
    </row>
    <row r="28" hidden="1" outlineLevel="1">
      <c r="A28" s="113" t="s">
        <v>620</v>
      </c>
      <c r="B28" s="270">
        <v>46225.0</v>
      </c>
      <c r="C28" s="118" t="str">
        <f t="shared" si="3"/>
        <v>Wed</v>
      </c>
      <c r="D28" s="143">
        <f t="shared" si="4"/>
        <v>1</v>
      </c>
      <c r="E28" s="144" t="s">
        <v>142</v>
      </c>
      <c r="F28" s="134" t="s">
        <v>142</v>
      </c>
      <c r="G28" s="134" t="s">
        <v>142</v>
      </c>
      <c r="H28" s="134" t="s">
        <v>142</v>
      </c>
      <c r="I28" s="134" t="s">
        <v>142</v>
      </c>
      <c r="J28" s="134" t="s">
        <v>142</v>
      </c>
      <c r="K28" s="134" t="s">
        <v>142</v>
      </c>
      <c r="L28" s="134" t="s">
        <v>142</v>
      </c>
      <c r="M28" s="136"/>
      <c r="N28" s="131"/>
    </row>
    <row r="29" hidden="1" outlineLevel="1">
      <c r="A29" s="113" t="s">
        <v>621</v>
      </c>
      <c r="B29" s="270">
        <v>46225.0</v>
      </c>
      <c r="C29" s="118" t="str">
        <f t="shared" si="3"/>
        <v>Wed</v>
      </c>
      <c r="D29" s="128">
        <f t="shared" si="4"/>
        <v>1</v>
      </c>
      <c r="E29" s="131" t="s">
        <v>142</v>
      </c>
      <c r="F29" s="134" t="s">
        <v>142</v>
      </c>
      <c r="G29" s="134" t="s">
        <v>142</v>
      </c>
      <c r="H29" s="134" t="s">
        <v>142</v>
      </c>
      <c r="I29" s="134" t="s">
        <v>142</v>
      </c>
      <c r="J29" s="134" t="s">
        <v>142</v>
      </c>
      <c r="K29" s="134" t="s">
        <v>142</v>
      </c>
      <c r="L29" s="134" t="s">
        <v>142</v>
      </c>
      <c r="M29" s="136"/>
      <c r="N29" s="137"/>
    </row>
    <row r="30" hidden="1" outlineLevel="1">
      <c r="A30" s="113" t="s">
        <v>623</v>
      </c>
      <c r="B30" s="270">
        <v>46226.0</v>
      </c>
      <c r="C30" s="118" t="str">
        <f t="shared" si="3"/>
        <v>Thu</v>
      </c>
      <c r="D30" s="143">
        <f t="shared" si="4"/>
        <v>1</v>
      </c>
      <c r="E30" s="144" t="s">
        <v>142</v>
      </c>
      <c r="F30" s="134" t="s">
        <v>142</v>
      </c>
      <c r="G30" s="134" t="s">
        <v>142</v>
      </c>
      <c r="H30" s="134" t="s">
        <v>142</v>
      </c>
      <c r="I30" s="134" t="s">
        <v>142</v>
      </c>
      <c r="J30" s="134" t="s">
        <v>142</v>
      </c>
      <c r="K30" s="134" t="s">
        <v>142</v>
      </c>
      <c r="L30" s="134" t="s">
        <v>142</v>
      </c>
      <c r="M30" s="136"/>
      <c r="N30" s="131"/>
    </row>
    <row r="31" hidden="1" outlineLevel="1">
      <c r="A31" s="113" t="s">
        <v>625</v>
      </c>
      <c r="B31" s="270">
        <v>46226.0</v>
      </c>
      <c r="C31" s="118" t="str">
        <f t="shared" si="3"/>
        <v>Thu</v>
      </c>
      <c r="D31" s="128">
        <f t="shared" si="4"/>
        <v>1</v>
      </c>
      <c r="E31" s="131" t="s">
        <v>142</v>
      </c>
      <c r="F31" s="134" t="s">
        <v>142</v>
      </c>
      <c r="G31" s="134" t="s">
        <v>142</v>
      </c>
      <c r="H31" s="134" t="s">
        <v>142</v>
      </c>
      <c r="I31" s="134" t="s">
        <v>142</v>
      </c>
      <c r="J31" s="134" t="s">
        <v>142</v>
      </c>
      <c r="K31" s="134" t="s">
        <v>142</v>
      </c>
      <c r="L31" s="134" t="s">
        <v>142</v>
      </c>
      <c r="M31" s="136"/>
      <c r="N31" s="131"/>
    </row>
    <row r="32" hidden="1" outlineLevel="1">
      <c r="A32" s="113" t="s">
        <v>627</v>
      </c>
      <c r="B32" s="270">
        <v>46226.0</v>
      </c>
      <c r="C32" s="118" t="str">
        <f t="shared" si="3"/>
        <v>Thu</v>
      </c>
      <c r="D32" s="143">
        <f t="shared" si="4"/>
        <v>1</v>
      </c>
      <c r="E32" s="144" t="s">
        <v>142</v>
      </c>
      <c r="F32" s="134" t="s">
        <v>142</v>
      </c>
      <c r="G32" s="134" t="s">
        <v>142</v>
      </c>
      <c r="H32" s="134" t="s">
        <v>142</v>
      </c>
      <c r="I32" s="134" t="s">
        <v>142</v>
      </c>
      <c r="J32" s="134" t="s">
        <v>142</v>
      </c>
      <c r="K32" s="134" t="s">
        <v>142</v>
      </c>
      <c r="L32" s="134" t="s">
        <v>142</v>
      </c>
      <c r="M32" s="136"/>
      <c r="N32" s="131"/>
    </row>
    <row r="33" hidden="1" outlineLevel="1">
      <c r="A33" s="113" t="s">
        <v>629</v>
      </c>
      <c r="B33" s="270">
        <v>46227.0</v>
      </c>
      <c r="C33" s="118" t="str">
        <f t="shared" si="3"/>
        <v>Fri</v>
      </c>
      <c r="D33" s="128">
        <f t="shared" si="4"/>
        <v>1</v>
      </c>
      <c r="E33" s="131" t="s">
        <v>142</v>
      </c>
      <c r="F33" s="134" t="s">
        <v>142</v>
      </c>
      <c r="G33" s="134" t="s">
        <v>142</v>
      </c>
      <c r="H33" s="134" t="s">
        <v>142</v>
      </c>
      <c r="I33" s="134" t="s">
        <v>142</v>
      </c>
      <c r="J33" s="134" t="s">
        <v>142</v>
      </c>
      <c r="K33" s="134" t="s">
        <v>142</v>
      </c>
      <c r="L33" s="134" t="s">
        <v>142</v>
      </c>
      <c r="M33" s="136"/>
      <c r="N33" s="137"/>
    </row>
    <row r="34" hidden="1" outlineLevel="1">
      <c r="A34" s="113" t="s">
        <v>631</v>
      </c>
      <c r="B34" s="270">
        <v>46227.0</v>
      </c>
      <c r="C34" s="118" t="str">
        <f t="shared" si="3"/>
        <v>Fri</v>
      </c>
      <c r="D34" s="143">
        <f t="shared" si="4"/>
        <v>1</v>
      </c>
      <c r="E34" s="144" t="s">
        <v>142</v>
      </c>
      <c r="F34" s="134" t="s">
        <v>142</v>
      </c>
      <c r="G34" s="134" t="s">
        <v>142</v>
      </c>
      <c r="H34" s="134" t="s">
        <v>142</v>
      </c>
      <c r="I34" s="134" t="s">
        <v>142</v>
      </c>
      <c r="J34" s="134" t="s">
        <v>142</v>
      </c>
      <c r="K34" s="134" t="s">
        <v>142</v>
      </c>
      <c r="L34" s="134" t="s">
        <v>142</v>
      </c>
      <c r="M34" s="136"/>
      <c r="N34" s="137"/>
    </row>
    <row r="35" ht="15.0" hidden="1" customHeight="1" outlineLevel="1">
      <c r="A35" s="113" t="s">
        <v>633</v>
      </c>
      <c r="B35" s="270">
        <v>46227.0</v>
      </c>
      <c r="C35" s="118" t="str">
        <f t="shared" si="3"/>
        <v>Fri</v>
      </c>
      <c r="D35" s="128">
        <f t="shared" si="4"/>
        <v>1</v>
      </c>
      <c r="E35" s="131" t="s">
        <v>142</v>
      </c>
      <c r="F35" s="134" t="s">
        <v>142</v>
      </c>
      <c r="G35" s="134" t="s">
        <v>142</v>
      </c>
      <c r="H35" s="134" t="s">
        <v>142</v>
      </c>
      <c r="I35" s="134" t="s">
        <v>142</v>
      </c>
      <c r="J35" s="134" t="s">
        <v>142</v>
      </c>
      <c r="K35" s="134" t="s">
        <v>142</v>
      </c>
      <c r="L35" s="134" t="s">
        <v>142</v>
      </c>
      <c r="M35" s="136"/>
      <c r="N35" s="131"/>
    </row>
    <row r="36" hidden="1" outlineLevel="1">
      <c r="B36" s="215"/>
      <c r="C36" s="216" t="s">
        <v>199</v>
      </c>
      <c r="D36" s="217">
        <f>AVERAGE(D21:D35)</f>
        <v>1</v>
      </c>
      <c r="E36" s="218"/>
      <c r="L36" s="216" t="s">
        <v>199</v>
      </c>
      <c r="M36" s="217">
        <f>SUM(M21:M35)/75*0.1</f>
        <v>0</v>
      </c>
    </row>
    <row r="37" hidden="1" collapsed="1">
      <c r="A37" s="85" t="s">
        <v>286</v>
      </c>
      <c r="B37" s="86"/>
      <c r="C37" s="86"/>
      <c r="D37" s="88"/>
      <c r="E37" s="89"/>
      <c r="F37" s="89"/>
      <c r="G37" s="91"/>
      <c r="H37" s="91"/>
      <c r="I37" s="91"/>
      <c r="J37" s="91"/>
      <c r="K37" s="91"/>
      <c r="L37" s="91"/>
      <c r="M37" s="93"/>
      <c r="N37" s="95"/>
    </row>
    <row r="38" hidden="1" outlineLevel="1">
      <c r="A38" s="96" t="s">
        <v>89</v>
      </c>
      <c r="B38" s="98" t="s">
        <v>90</v>
      </c>
      <c r="C38" s="98" t="s">
        <v>91</v>
      </c>
      <c r="D38" s="101" t="s">
        <v>93</v>
      </c>
      <c r="E38" s="102" t="s">
        <v>94</v>
      </c>
      <c r="F38" s="102" t="s">
        <v>95</v>
      </c>
      <c r="G38" s="105" t="s">
        <v>96</v>
      </c>
      <c r="H38" s="107" t="s">
        <v>97</v>
      </c>
      <c r="I38" s="107" t="s">
        <v>104</v>
      </c>
      <c r="J38" s="105" t="s">
        <v>106</v>
      </c>
      <c r="K38" s="107" t="s">
        <v>109</v>
      </c>
      <c r="L38" s="105" t="s">
        <v>111</v>
      </c>
      <c r="M38" s="98" t="s">
        <v>114</v>
      </c>
      <c r="N38" s="101" t="s">
        <v>116</v>
      </c>
    </row>
    <row r="39" hidden="1" outlineLevel="1">
      <c r="A39" s="113" t="s">
        <v>637</v>
      </c>
      <c r="B39" s="309">
        <v>46230.0</v>
      </c>
      <c r="C39" s="118" t="str">
        <f t="shared" ref="C39:C53" si="5">IF(B39="", "", TEXT(B39, "ddd"))</f>
        <v>Mon</v>
      </c>
      <c r="D39" s="128">
        <f t="shared" ref="D39:D53" si="6">IF(E39="Yes",0.05,0)
+IF(F39="Yes",0.1,0)
+IF(G39="Yes",0.15,0)
+IF(H39="Yes",0.15,0)
+IF(I39="Yes",0.05,0)
+IF(J39="Yes",0.05,0)
+IF(K39="Yes",0.15,0)
+IF(L39="Yes",0.3,0)
</f>
        <v>1</v>
      </c>
      <c r="E39" s="131" t="s">
        <v>142</v>
      </c>
      <c r="F39" s="134" t="s">
        <v>142</v>
      </c>
      <c r="G39" s="134" t="s">
        <v>142</v>
      </c>
      <c r="H39" s="134" t="s">
        <v>142</v>
      </c>
      <c r="I39" s="134" t="s">
        <v>142</v>
      </c>
      <c r="J39" s="134" t="s">
        <v>142</v>
      </c>
      <c r="K39" s="134" t="s">
        <v>142</v>
      </c>
      <c r="L39" s="134" t="s">
        <v>142</v>
      </c>
      <c r="M39" s="136"/>
      <c r="N39" s="137"/>
    </row>
    <row r="40" hidden="1" outlineLevel="1">
      <c r="A40" s="113" t="s">
        <v>644</v>
      </c>
      <c r="B40" s="309">
        <v>46230.0</v>
      </c>
      <c r="C40" s="118" t="str">
        <f t="shared" si="5"/>
        <v>Mon</v>
      </c>
      <c r="D40" s="143">
        <f t="shared" si="6"/>
        <v>1</v>
      </c>
      <c r="E40" s="144" t="s">
        <v>142</v>
      </c>
      <c r="F40" s="134" t="s">
        <v>142</v>
      </c>
      <c r="G40" s="134" t="s">
        <v>142</v>
      </c>
      <c r="H40" s="134" t="s">
        <v>142</v>
      </c>
      <c r="I40" s="134" t="s">
        <v>142</v>
      </c>
      <c r="J40" s="134" t="s">
        <v>142</v>
      </c>
      <c r="K40" s="134" t="s">
        <v>142</v>
      </c>
      <c r="L40" s="134" t="s">
        <v>142</v>
      </c>
      <c r="M40" s="136"/>
      <c r="N40" s="131"/>
    </row>
    <row r="41" hidden="1" outlineLevel="1">
      <c r="A41" s="113" t="s">
        <v>646</v>
      </c>
      <c r="B41" s="309">
        <v>46230.0</v>
      </c>
      <c r="C41" s="118" t="str">
        <f t="shared" si="5"/>
        <v>Mon</v>
      </c>
      <c r="D41" s="128">
        <f t="shared" si="6"/>
        <v>1</v>
      </c>
      <c r="E41" s="131" t="s">
        <v>142</v>
      </c>
      <c r="F41" s="134" t="s">
        <v>142</v>
      </c>
      <c r="G41" s="134" t="s">
        <v>142</v>
      </c>
      <c r="H41" s="134" t="s">
        <v>142</v>
      </c>
      <c r="I41" s="134" t="s">
        <v>142</v>
      </c>
      <c r="J41" s="134" t="s">
        <v>142</v>
      </c>
      <c r="K41" s="134" t="s">
        <v>142</v>
      </c>
      <c r="L41" s="134" t="s">
        <v>142</v>
      </c>
      <c r="M41" s="136"/>
      <c r="N41" s="131"/>
    </row>
    <row r="42" hidden="1" outlineLevel="1">
      <c r="A42" s="113" t="s">
        <v>648</v>
      </c>
      <c r="B42" s="309">
        <v>46231.0</v>
      </c>
      <c r="C42" s="118" t="str">
        <f t="shared" si="5"/>
        <v>Tue</v>
      </c>
      <c r="D42" s="143">
        <f t="shared" si="6"/>
        <v>1</v>
      </c>
      <c r="E42" s="144" t="s">
        <v>142</v>
      </c>
      <c r="F42" s="134" t="s">
        <v>142</v>
      </c>
      <c r="G42" s="134" t="s">
        <v>142</v>
      </c>
      <c r="H42" s="134" t="s">
        <v>142</v>
      </c>
      <c r="I42" s="134" t="s">
        <v>142</v>
      </c>
      <c r="J42" s="134" t="s">
        <v>142</v>
      </c>
      <c r="K42" s="134" t="s">
        <v>142</v>
      </c>
      <c r="L42" s="134" t="s">
        <v>142</v>
      </c>
      <c r="M42" s="136"/>
      <c r="N42" s="137"/>
    </row>
    <row r="43" hidden="1" outlineLevel="1">
      <c r="A43" s="113" t="s">
        <v>650</v>
      </c>
      <c r="B43" s="309">
        <v>46231.0</v>
      </c>
      <c r="C43" s="118" t="str">
        <f t="shared" si="5"/>
        <v>Tue</v>
      </c>
      <c r="D43" s="128">
        <f t="shared" si="6"/>
        <v>1</v>
      </c>
      <c r="E43" s="131" t="s">
        <v>142</v>
      </c>
      <c r="F43" s="134" t="s">
        <v>142</v>
      </c>
      <c r="G43" s="134" t="s">
        <v>142</v>
      </c>
      <c r="H43" s="134" t="s">
        <v>142</v>
      </c>
      <c r="I43" s="134" t="s">
        <v>142</v>
      </c>
      <c r="J43" s="134" t="s">
        <v>142</v>
      </c>
      <c r="K43" s="134" t="s">
        <v>142</v>
      </c>
      <c r="L43" s="134" t="s">
        <v>142</v>
      </c>
      <c r="M43" s="136"/>
      <c r="N43" s="137"/>
    </row>
    <row r="44" hidden="1" outlineLevel="1">
      <c r="A44" s="113" t="s">
        <v>651</v>
      </c>
      <c r="B44" s="309">
        <v>46231.0</v>
      </c>
      <c r="C44" s="118" t="str">
        <f t="shared" si="5"/>
        <v>Tue</v>
      </c>
      <c r="D44" s="143">
        <f t="shared" si="6"/>
        <v>1</v>
      </c>
      <c r="E44" s="144" t="s">
        <v>142</v>
      </c>
      <c r="F44" s="134" t="s">
        <v>142</v>
      </c>
      <c r="G44" s="134" t="s">
        <v>142</v>
      </c>
      <c r="H44" s="134" t="s">
        <v>142</v>
      </c>
      <c r="I44" s="134" t="s">
        <v>142</v>
      </c>
      <c r="J44" s="134" t="s">
        <v>142</v>
      </c>
      <c r="K44" s="134" t="s">
        <v>142</v>
      </c>
      <c r="L44" s="134" t="s">
        <v>142</v>
      </c>
      <c r="M44" s="136"/>
      <c r="N44" s="137"/>
    </row>
    <row r="45" hidden="1" outlineLevel="1">
      <c r="A45" s="397" t="s">
        <v>653</v>
      </c>
      <c r="B45" s="309">
        <v>46232.0</v>
      </c>
      <c r="C45" s="118" t="str">
        <f t="shared" si="5"/>
        <v>Wed</v>
      </c>
      <c r="D45" s="128">
        <f t="shared" si="6"/>
        <v>1</v>
      </c>
      <c r="E45" s="131" t="s">
        <v>142</v>
      </c>
      <c r="F45" s="134" t="s">
        <v>142</v>
      </c>
      <c r="G45" s="134" t="s">
        <v>142</v>
      </c>
      <c r="H45" s="134" t="s">
        <v>142</v>
      </c>
      <c r="I45" s="134" t="s">
        <v>142</v>
      </c>
      <c r="J45" s="134" t="s">
        <v>142</v>
      </c>
      <c r="K45" s="134" t="s">
        <v>142</v>
      </c>
      <c r="L45" s="134" t="s">
        <v>142</v>
      </c>
      <c r="M45" s="136"/>
      <c r="N45" s="137"/>
    </row>
    <row r="46" hidden="1" outlineLevel="1">
      <c r="A46" s="397" t="s">
        <v>655</v>
      </c>
      <c r="B46" s="309">
        <v>46232.0</v>
      </c>
      <c r="C46" s="118" t="str">
        <f t="shared" si="5"/>
        <v>Wed</v>
      </c>
      <c r="D46" s="143">
        <f t="shared" si="6"/>
        <v>1</v>
      </c>
      <c r="E46" s="144" t="s">
        <v>142</v>
      </c>
      <c r="F46" s="134" t="s">
        <v>142</v>
      </c>
      <c r="G46" s="134" t="s">
        <v>142</v>
      </c>
      <c r="H46" s="134" t="s">
        <v>142</v>
      </c>
      <c r="I46" s="134" t="s">
        <v>142</v>
      </c>
      <c r="J46" s="134" t="s">
        <v>142</v>
      </c>
      <c r="K46" s="134" t="s">
        <v>142</v>
      </c>
      <c r="L46" s="134" t="s">
        <v>142</v>
      </c>
      <c r="M46" s="136"/>
      <c r="N46" s="131"/>
    </row>
    <row r="47" hidden="1" outlineLevel="1">
      <c r="A47" s="397" t="s">
        <v>657</v>
      </c>
      <c r="B47" s="309">
        <v>46232.0</v>
      </c>
      <c r="C47" s="118" t="str">
        <f t="shared" si="5"/>
        <v>Wed</v>
      </c>
      <c r="D47" s="128">
        <f t="shared" si="6"/>
        <v>1</v>
      </c>
      <c r="E47" s="131" t="s">
        <v>142</v>
      </c>
      <c r="F47" s="134" t="s">
        <v>142</v>
      </c>
      <c r="G47" s="134" t="s">
        <v>142</v>
      </c>
      <c r="H47" s="134" t="s">
        <v>142</v>
      </c>
      <c r="I47" s="134" t="s">
        <v>142</v>
      </c>
      <c r="J47" s="134" t="s">
        <v>142</v>
      </c>
      <c r="K47" s="134" t="s">
        <v>142</v>
      </c>
      <c r="L47" s="134" t="s">
        <v>142</v>
      </c>
      <c r="M47" s="136"/>
      <c r="N47" s="137"/>
    </row>
    <row r="48" hidden="1" outlineLevel="1">
      <c r="A48" s="113" t="s">
        <v>658</v>
      </c>
      <c r="B48" s="309">
        <v>46233.0</v>
      </c>
      <c r="C48" s="118" t="str">
        <f t="shared" si="5"/>
        <v>Thu</v>
      </c>
      <c r="D48" s="143">
        <f t="shared" si="6"/>
        <v>1</v>
      </c>
      <c r="E48" s="144" t="s">
        <v>142</v>
      </c>
      <c r="F48" s="134" t="s">
        <v>142</v>
      </c>
      <c r="G48" s="134" t="s">
        <v>142</v>
      </c>
      <c r="H48" s="134" t="s">
        <v>142</v>
      </c>
      <c r="I48" s="134" t="s">
        <v>142</v>
      </c>
      <c r="J48" s="134" t="s">
        <v>142</v>
      </c>
      <c r="K48" s="134" t="s">
        <v>142</v>
      </c>
      <c r="L48" s="134" t="s">
        <v>142</v>
      </c>
      <c r="M48" s="136"/>
      <c r="N48" s="131"/>
    </row>
    <row r="49" hidden="1" outlineLevel="1">
      <c r="A49" s="113" t="s">
        <v>661</v>
      </c>
      <c r="B49" s="309">
        <v>46233.0</v>
      </c>
      <c r="C49" s="118" t="str">
        <f t="shared" si="5"/>
        <v>Thu</v>
      </c>
      <c r="D49" s="128">
        <f t="shared" si="6"/>
        <v>1</v>
      </c>
      <c r="E49" s="131" t="s">
        <v>142</v>
      </c>
      <c r="F49" s="134" t="s">
        <v>142</v>
      </c>
      <c r="G49" s="134" t="s">
        <v>142</v>
      </c>
      <c r="H49" s="134" t="s">
        <v>142</v>
      </c>
      <c r="I49" s="134" t="s">
        <v>142</v>
      </c>
      <c r="J49" s="134" t="s">
        <v>142</v>
      </c>
      <c r="K49" s="134" t="s">
        <v>142</v>
      </c>
      <c r="L49" s="134" t="s">
        <v>142</v>
      </c>
      <c r="M49" s="136"/>
      <c r="N49" s="131"/>
    </row>
    <row r="50" hidden="1" outlineLevel="1">
      <c r="A50" s="113" t="s">
        <v>664</v>
      </c>
      <c r="B50" s="309">
        <v>46233.0</v>
      </c>
      <c r="C50" s="118" t="str">
        <f t="shared" si="5"/>
        <v>Thu</v>
      </c>
      <c r="D50" s="143">
        <f t="shared" si="6"/>
        <v>1</v>
      </c>
      <c r="E50" s="144" t="s">
        <v>142</v>
      </c>
      <c r="F50" s="134" t="s">
        <v>142</v>
      </c>
      <c r="G50" s="134" t="s">
        <v>142</v>
      </c>
      <c r="H50" s="134" t="s">
        <v>142</v>
      </c>
      <c r="I50" s="134" t="s">
        <v>142</v>
      </c>
      <c r="J50" s="134" t="s">
        <v>142</v>
      </c>
      <c r="K50" s="134" t="s">
        <v>142</v>
      </c>
      <c r="L50" s="134" t="s">
        <v>142</v>
      </c>
      <c r="M50" s="136"/>
      <c r="N50" s="131"/>
    </row>
    <row r="51" hidden="1" outlineLevel="1">
      <c r="A51" s="113"/>
      <c r="B51" s="270"/>
      <c r="C51" s="118" t="str">
        <f t="shared" si="5"/>
        <v/>
      </c>
      <c r="D51" s="128">
        <f t="shared" si="6"/>
        <v>1</v>
      </c>
      <c r="E51" s="131" t="s">
        <v>142</v>
      </c>
      <c r="F51" s="134" t="s">
        <v>142</v>
      </c>
      <c r="G51" s="134" t="s">
        <v>142</v>
      </c>
      <c r="H51" s="134" t="s">
        <v>142</v>
      </c>
      <c r="I51" s="134" t="s">
        <v>142</v>
      </c>
      <c r="J51" s="134" t="s">
        <v>142</v>
      </c>
      <c r="K51" s="134" t="s">
        <v>142</v>
      </c>
      <c r="L51" s="134" t="s">
        <v>142</v>
      </c>
      <c r="M51" s="136"/>
      <c r="N51" s="137"/>
    </row>
    <row r="52" hidden="1" outlineLevel="1">
      <c r="A52" s="113"/>
      <c r="B52" s="270"/>
      <c r="C52" s="118" t="str">
        <f t="shared" si="5"/>
        <v/>
      </c>
      <c r="D52" s="143">
        <f t="shared" si="6"/>
        <v>1</v>
      </c>
      <c r="E52" s="144" t="s">
        <v>142</v>
      </c>
      <c r="F52" s="134" t="s">
        <v>142</v>
      </c>
      <c r="G52" s="134" t="s">
        <v>142</v>
      </c>
      <c r="H52" s="134" t="s">
        <v>142</v>
      </c>
      <c r="I52" s="134" t="s">
        <v>142</v>
      </c>
      <c r="J52" s="134" t="s">
        <v>142</v>
      </c>
      <c r="K52" s="134" t="s">
        <v>142</v>
      </c>
      <c r="L52" s="134" t="s">
        <v>142</v>
      </c>
      <c r="M52" s="136"/>
      <c r="N52" s="137"/>
    </row>
    <row r="53" ht="15.0" hidden="1" customHeight="1" outlineLevel="1">
      <c r="A53" s="113"/>
      <c r="B53" s="270"/>
      <c r="C53" s="118" t="str">
        <f t="shared" si="5"/>
        <v/>
      </c>
      <c r="D53" s="128">
        <f t="shared" si="6"/>
        <v>1</v>
      </c>
      <c r="E53" s="131" t="s">
        <v>142</v>
      </c>
      <c r="F53" s="134" t="s">
        <v>142</v>
      </c>
      <c r="G53" s="134" t="s">
        <v>142</v>
      </c>
      <c r="H53" s="134" t="s">
        <v>142</v>
      </c>
      <c r="I53" s="134" t="s">
        <v>142</v>
      </c>
      <c r="J53" s="134" t="s">
        <v>142</v>
      </c>
      <c r="K53" s="134" t="s">
        <v>142</v>
      </c>
      <c r="L53" s="134" t="s">
        <v>142</v>
      </c>
      <c r="M53" s="136"/>
      <c r="N53" s="131"/>
    </row>
    <row r="54" hidden="1" outlineLevel="1">
      <c r="B54" s="215"/>
      <c r="C54" s="216" t="s">
        <v>199</v>
      </c>
      <c r="D54" s="217">
        <f>AVERAGE(D39:D53)</f>
        <v>1</v>
      </c>
      <c r="E54" s="218"/>
      <c r="L54" s="216" t="s">
        <v>199</v>
      </c>
      <c r="M54" s="217">
        <f>SUM(M39:M53)/75*0.1</f>
        <v>0</v>
      </c>
    </row>
    <row r="55" hidden="1" collapsed="1">
      <c r="A55" s="85" t="s">
        <v>315</v>
      </c>
      <c r="B55" s="86"/>
      <c r="C55" s="86"/>
      <c r="D55" s="88"/>
      <c r="E55" s="89"/>
      <c r="F55" s="89"/>
      <c r="G55" s="91"/>
      <c r="H55" s="91"/>
      <c r="I55" s="91"/>
      <c r="J55" s="91"/>
      <c r="K55" s="91"/>
      <c r="L55" s="91"/>
      <c r="M55" s="93"/>
      <c r="N55" s="95"/>
    </row>
    <row r="56" hidden="1" outlineLevel="1">
      <c r="A56" s="96" t="s">
        <v>89</v>
      </c>
      <c r="B56" s="98" t="s">
        <v>90</v>
      </c>
      <c r="C56" s="98" t="s">
        <v>91</v>
      </c>
      <c r="D56" s="101" t="s">
        <v>93</v>
      </c>
      <c r="E56" s="102" t="s">
        <v>94</v>
      </c>
      <c r="F56" s="102" t="s">
        <v>95</v>
      </c>
      <c r="G56" s="105" t="s">
        <v>96</v>
      </c>
      <c r="H56" s="107" t="s">
        <v>97</v>
      </c>
      <c r="I56" s="107" t="s">
        <v>104</v>
      </c>
      <c r="J56" s="105" t="s">
        <v>106</v>
      </c>
      <c r="K56" s="107" t="s">
        <v>109</v>
      </c>
      <c r="L56" s="105" t="s">
        <v>111</v>
      </c>
      <c r="M56" s="98" t="s">
        <v>114</v>
      </c>
      <c r="N56" s="101" t="s">
        <v>116</v>
      </c>
    </row>
    <row r="57" hidden="1" outlineLevel="1">
      <c r="A57" s="113" t="s">
        <v>669</v>
      </c>
      <c r="B57" s="309">
        <v>46237.0</v>
      </c>
      <c r="C57" s="118" t="str">
        <f t="shared" ref="C57:C71" si="7">IF(B57="", "", TEXT(B57, "ddd"))</f>
        <v>Mon</v>
      </c>
      <c r="D57" s="128">
        <f t="shared" ref="D57:D71" si="8">IF(E57="Yes",0.05,0)
+IF(F57="Yes",0.1,0)
+IF(G57="Yes",0.15,0)
+IF(H57="Yes",0.15,0)
+IF(I57="Yes",0.05,0)
+IF(J57="Yes",0.05,0)
+IF(K57="Yes",0.15,0)
+IF(L57="Yes",0.3,0)
</f>
        <v>1</v>
      </c>
      <c r="E57" s="131" t="s">
        <v>142</v>
      </c>
      <c r="F57" s="134" t="s">
        <v>142</v>
      </c>
      <c r="G57" s="134" t="s">
        <v>142</v>
      </c>
      <c r="H57" s="134" t="s">
        <v>142</v>
      </c>
      <c r="I57" s="134" t="s">
        <v>142</v>
      </c>
      <c r="J57" s="134" t="s">
        <v>142</v>
      </c>
      <c r="K57" s="134" t="s">
        <v>142</v>
      </c>
      <c r="L57" s="134" t="s">
        <v>142</v>
      </c>
      <c r="M57" s="136"/>
      <c r="N57" s="137"/>
    </row>
    <row r="58" hidden="1" outlineLevel="1">
      <c r="A58" s="113" t="s">
        <v>672</v>
      </c>
      <c r="B58" s="309">
        <v>46237.0</v>
      </c>
      <c r="C58" s="118" t="str">
        <f t="shared" si="7"/>
        <v>Mon</v>
      </c>
      <c r="D58" s="143">
        <f t="shared" si="8"/>
        <v>1</v>
      </c>
      <c r="E58" s="144" t="s">
        <v>142</v>
      </c>
      <c r="F58" s="134" t="s">
        <v>142</v>
      </c>
      <c r="G58" s="134" t="s">
        <v>142</v>
      </c>
      <c r="H58" s="134" t="s">
        <v>142</v>
      </c>
      <c r="I58" s="134" t="s">
        <v>142</v>
      </c>
      <c r="J58" s="134" t="s">
        <v>142</v>
      </c>
      <c r="K58" s="134" t="s">
        <v>142</v>
      </c>
      <c r="L58" s="134" t="s">
        <v>142</v>
      </c>
      <c r="M58" s="136"/>
      <c r="N58" s="131"/>
    </row>
    <row r="59" hidden="1" outlineLevel="1">
      <c r="A59" s="113" t="s">
        <v>674</v>
      </c>
      <c r="B59" s="309">
        <v>46237.0</v>
      </c>
      <c r="C59" s="118" t="str">
        <f t="shared" si="7"/>
        <v>Mon</v>
      </c>
      <c r="D59" s="128">
        <f t="shared" si="8"/>
        <v>1</v>
      </c>
      <c r="E59" s="131" t="s">
        <v>142</v>
      </c>
      <c r="F59" s="134" t="s">
        <v>142</v>
      </c>
      <c r="G59" s="134" t="s">
        <v>142</v>
      </c>
      <c r="H59" s="134" t="s">
        <v>142</v>
      </c>
      <c r="I59" s="134" t="s">
        <v>142</v>
      </c>
      <c r="J59" s="134" t="s">
        <v>142</v>
      </c>
      <c r="K59" s="134" t="s">
        <v>142</v>
      </c>
      <c r="L59" s="134" t="s">
        <v>142</v>
      </c>
      <c r="M59" s="136"/>
      <c r="N59" s="131"/>
    </row>
    <row r="60" hidden="1" outlineLevel="1">
      <c r="A60" s="113" t="s">
        <v>676</v>
      </c>
      <c r="B60" s="309">
        <v>46238.0</v>
      </c>
      <c r="C60" s="118" t="str">
        <f t="shared" si="7"/>
        <v>Tue</v>
      </c>
      <c r="D60" s="143">
        <f t="shared" si="8"/>
        <v>1</v>
      </c>
      <c r="E60" s="144" t="s">
        <v>142</v>
      </c>
      <c r="F60" s="134" t="s">
        <v>142</v>
      </c>
      <c r="G60" s="134" t="s">
        <v>142</v>
      </c>
      <c r="H60" s="134" t="s">
        <v>142</v>
      </c>
      <c r="I60" s="134" t="s">
        <v>142</v>
      </c>
      <c r="J60" s="134" t="s">
        <v>142</v>
      </c>
      <c r="K60" s="134" t="s">
        <v>142</v>
      </c>
      <c r="L60" s="134" t="s">
        <v>142</v>
      </c>
      <c r="M60" s="136"/>
      <c r="N60" s="131"/>
    </row>
    <row r="61" hidden="1" outlineLevel="1">
      <c r="A61" s="113" t="s">
        <v>678</v>
      </c>
      <c r="B61" s="309">
        <v>46238.0</v>
      </c>
      <c r="C61" s="118" t="str">
        <f t="shared" si="7"/>
        <v>Tue</v>
      </c>
      <c r="D61" s="128">
        <f t="shared" si="8"/>
        <v>1</v>
      </c>
      <c r="E61" s="131" t="s">
        <v>142</v>
      </c>
      <c r="F61" s="134" t="s">
        <v>142</v>
      </c>
      <c r="G61" s="134" t="s">
        <v>142</v>
      </c>
      <c r="H61" s="134" t="s">
        <v>142</v>
      </c>
      <c r="I61" s="134" t="s">
        <v>142</v>
      </c>
      <c r="J61" s="134" t="s">
        <v>142</v>
      </c>
      <c r="K61" s="134" t="s">
        <v>142</v>
      </c>
      <c r="L61" s="134" t="s">
        <v>142</v>
      </c>
      <c r="M61" s="136"/>
      <c r="N61" s="131"/>
    </row>
    <row r="62" hidden="1" outlineLevel="1">
      <c r="A62" s="113" t="s">
        <v>679</v>
      </c>
      <c r="B62" s="309">
        <v>46238.0</v>
      </c>
      <c r="C62" s="118" t="str">
        <f t="shared" si="7"/>
        <v>Tue</v>
      </c>
      <c r="D62" s="143">
        <f t="shared" si="8"/>
        <v>1</v>
      </c>
      <c r="E62" s="144" t="s">
        <v>142</v>
      </c>
      <c r="F62" s="134" t="s">
        <v>142</v>
      </c>
      <c r="G62" s="134" t="s">
        <v>142</v>
      </c>
      <c r="H62" s="134" t="s">
        <v>142</v>
      </c>
      <c r="I62" s="134" t="s">
        <v>142</v>
      </c>
      <c r="J62" s="134" t="s">
        <v>142</v>
      </c>
      <c r="K62" s="134" t="s">
        <v>142</v>
      </c>
      <c r="L62" s="134" t="s">
        <v>142</v>
      </c>
      <c r="M62" s="136"/>
      <c r="N62" s="131"/>
    </row>
    <row r="63" hidden="1" outlineLevel="1">
      <c r="A63" s="113" t="s">
        <v>680</v>
      </c>
      <c r="B63" s="270">
        <v>46239.0</v>
      </c>
      <c r="C63" s="118" t="str">
        <f t="shared" si="7"/>
        <v>Wed</v>
      </c>
      <c r="D63" s="128">
        <f t="shared" si="8"/>
        <v>1</v>
      </c>
      <c r="E63" s="131" t="s">
        <v>142</v>
      </c>
      <c r="F63" s="134" t="s">
        <v>142</v>
      </c>
      <c r="G63" s="134" t="s">
        <v>142</v>
      </c>
      <c r="H63" s="134" t="s">
        <v>142</v>
      </c>
      <c r="I63" s="134" t="s">
        <v>142</v>
      </c>
      <c r="J63" s="134" t="s">
        <v>142</v>
      </c>
      <c r="K63" s="134" t="s">
        <v>142</v>
      </c>
      <c r="L63" s="134" t="s">
        <v>142</v>
      </c>
      <c r="M63" s="136"/>
      <c r="N63" s="131"/>
    </row>
    <row r="64" hidden="1" outlineLevel="1">
      <c r="A64" s="113" t="s">
        <v>682</v>
      </c>
      <c r="B64" s="270">
        <v>46239.0</v>
      </c>
      <c r="C64" s="118" t="str">
        <f t="shared" si="7"/>
        <v>Wed</v>
      </c>
      <c r="D64" s="143">
        <f t="shared" si="8"/>
        <v>1</v>
      </c>
      <c r="E64" s="144" t="s">
        <v>142</v>
      </c>
      <c r="F64" s="134" t="s">
        <v>142</v>
      </c>
      <c r="G64" s="134" t="s">
        <v>142</v>
      </c>
      <c r="H64" s="134" t="s">
        <v>142</v>
      </c>
      <c r="I64" s="134" t="s">
        <v>142</v>
      </c>
      <c r="J64" s="134" t="s">
        <v>142</v>
      </c>
      <c r="K64" s="134" t="s">
        <v>142</v>
      </c>
      <c r="L64" s="134" t="s">
        <v>142</v>
      </c>
      <c r="M64" s="136"/>
      <c r="N64" s="131"/>
    </row>
    <row r="65" hidden="1" outlineLevel="1">
      <c r="A65" s="113" t="s">
        <v>684</v>
      </c>
      <c r="B65" s="270">
        <v>46239.0</v>
      </c>
      <c r="C65" s="118" t="str">
        <f t="shared" si="7"/>
        <v>Wed</v>
      </c>
      <c r="D65" s="128">
        <f t="shared" si="8"/>
        <v>1</v>
      </c>
      <c r="E65" s="131" t="s">
        <v>142</v>
      </c>
      <c r="F65" s="134" t="s">
        <v>142</v>
      </c>
      <c r="G65" s="134" t="s">
        <v>142</v>
      </c>
      <c r="H65" s="134" t="s">
        <v>142</v>
      </c>
      <c r="I65" s="134" t="s">
        <v>142</v>
      </c>
      <c r="J65" s="134" t="s">
        <v>142</v>
      </c>
      <c r="K65" s="134" t="s">
        <v>142</v>
      </c>
      <c r="L65" s="134" t="s">
        <v>142</v>
      </c>
      <c r="M65" s="136"/>
      <c r="N65" s="131"/>
    </row>
    <row r="66" hidden="1" outlineLevel="1">
      <c r="A66" s="113" t="s">
        <v>686</v>
      </c>
      <c r="B66" s="270">
        <v>46240.0</v>
      </c>
      <c r="C66" s="118" t="str">
        <f t="shared" si="7"/>
        <v>Thu</v>
      </c>
      <c r="D66" s="143">
        <f t="shared" si="8"/>
        <v>1</v>
      </c>
      <c r="E66" s="144" t="s">
        <v>142</v>
      </c>
      <c r="F66" s="134" t="s">
        <v>142</v>
      </c>
      <c r="G66" s="134" t="s">
        <v>142</v>
      </c>
      <c r="H66" s="134" t="s">
        <v>142</v>
      </c>
      <c r="I66" s="134" t="s">
        <v>142</v>
      </c>
      <c r="J66" s="134" t="s">
        <v>142</v>
      </c>
      <c r="K66" s="134" t="s">
        <v>142</v>
      </c>
      <c r="L66" s="134" t="s">
        <v>142</v>
      </c>
      <c r="M66" s="136"/>
      <c r="N66" s="131"/>
    </row>
    <row r="67" hidden="1" outlineLevel="1">
      <c r="A67" s="113" t="s">
        <v>692</v>
      </c>
      <c r="B67" s="270">
        <v>46240.0</v>
      </c>
      <c r="C67" s="118" t="str">
        <f t="shared" si="7"/>
        <v>Thu</v>
      </c>
      <c r="D67" s="128">
        <f t="shared" si="8"/>
        <v>1</v>
      </c>
      <c r="E67" s="131" t="s">
        <v>142</v>
      </c>
      <c r="F67" s="134" t="s">
        <v>142</v>
      </c>
      <c r="G67" s="134" t="s">
        <v>142</v>
      </c>
      <c r="H67" s="134" t="s">
        <v>142</v>
      </c>
      <c r="I67" s="134" t="s">
        <v>142</v>
      </c>
      <c r="J67" s="134" t="s">
        <v>142</v>
      </c>
      <c r="K67" s="134" t="s">
        <v>142</v>
      </c>
      <c r="L67" s="134" t="s">
        <v>142</v>
      </c>
      <c r="M67" s="136"/>
      <c r="N67" s="131"/>
    </row>
    <row r="68" hidden="1" outlineLevel="1">
      <c r="A68" s="113" t="s">
        <v>694</v>
      </c>
      <c r="B68" s="270">
        <v>46240.0</v>
      </c>
      <c r="C68" s="118" t="str">
        <f t="shared" si="7"/>
        <v>Thu</v>
      </c>
      <c r="D68" s="143">
        <f t="shared" si="8"/>
        <v>1</v>
      </c>
      <c r="E68" s="144" t="s">
        <v>142</v>
      </c>
      <c r="F68" s="134" t="s">
        <v>142</v>
      </c>
      <c r="G68" s="134" t="s">
        <v>142</v>
      </c>
      <c r="H68" s="134" t="s">
        <v>142</v>
      </c>
      <c r="I68" s="134" t="s">
        <v>142</v>
      </c>
      <c r="J68" s="134" t="s">
        <v>142</v>
      </c>
      <c r="K68" s="134" t="s">
        <v>142</v>
      </c>
      <c r="L68" s="134" t="s">
        <v>142</v>
      </c>
      <c r="M68" s="136"/>
      <c r="N68" s="131"/>
    </row>
    <row r="69" hidden="1" outlineLevel="1">
      <c r="A69" s="113" t="s">
        <v>696</v>
      </c>
      <c r="B69" s="270">
        <v>46241.0</v>
      </c>
      <c r="C69" s="118" t="str">
        <f t="shared" si="7"/>
        <v>Fri</v>
      </c>
      <c r="D69" s="128">
        <f t="shared" si="8"/>
        <v>1</v>
      </c>
      <c r="E69" s="131" t="s">
        <v>142</v>
      </c>
      <c r="F69" s="134" t="s">
        <v>142</v>
      </c>
      <c r="G69" s="134" t="s">
        <v>142</v>
      </c>
      <c r="H69" s="134" t="s">
        <v>142</v>
      </c>
      <c r="I69" s="134" t="s">
        <v>142</v>
      </c>
      <c r="J69" s="134" t="s">
        <v>142</v>
      </c>
      <c r="K69" s="134" t="s">
        <v>142</v>
      </c>
      <c r="L69" s="134" t="s">
        <v>142</v>
      </c>
      <c r="M69" s="136"/>
      <c r="N69" s="131"/>
    </row>
    <row r="70" hidden="1" outlineLevel="1">
      <c r="A70" s="113" t="s">
        <v>698</v>
      </c>
      <c r="B70" s="270">
        <v>46241.0</v>
      </c>
      <c r="C70" s="118" t="str">
        <f t="shared" si="7"/>
        <v>Fri</v>
      </c>
      <c r="D70" s="143">
        <f t="shared" si="8"/>
        <v>1</v>
      </c>
      <c r="E70" s="144" t="s">
        <v>142</v>
      </c>
      <c r="F70" s="134" t="s">
        <v>142</v>
      </c>
      <c r="G70" s="134" t="s">
        <v>142</v>
      </c>
      <c r="H70" s="134" t="s">
        <v>142</v>
      </c>
      <c r="I70" s="134" t="s">
        <v>142</v>
      </c>
      <c r="J70" s="134" t="s">
        <v>142</v>
      </c>
      <c r="K70" s="134" t="s">
        <v>142</v>
      </c>
      <c r="L70" s="134" t="s">
        <v>142</v>
      </c>
      <c r="M70" s="136"/>
      <c r="N70" s="131"/>
    </row>
    <row r="71" ht="15.0" hidden="1" customHeight="1" outlineLevel="1">
      <c r="A71" s="113" t="s">
        <v>699</v>
      </c>
      <c r="B71" s="270">
        <v>46241.0</v>
      </c>
      <c r="C71" s="118" t="str">
        <f t="shared" si="7"/>
        <v>Fri</v>
      </c>
      <c r="D71" s="128">
        <f t="shared" si="8"/>
        <v>1</v>
      </c>
      <c r="E71" s="131" t="s">
        <v>142</v>
      </c>
      <c r="F71" s="134" t="s">
        <v>142</v>
      </c>
      <c r="G71" s="134" t="s">
        <v>142</v>
      </c>
      <c r="H71" s="134" t="s">
        <v>142</v>
      </c>
      <c r="I71" s="134" t="s">
        <v>142</v>
      </c>
      <c r="J71" s="134" t="s">
        <v>142</v>
      </c>
      <c r="K71" s="134" t="s">
        <v>142</v>
      </c>
      <c r="L71" s="134" t="s">
        <v>142</v>
      </c>
      <c r="M71" s="136"/>
      <c r="N71" s="131"/>
    </row>
    <row r="72" hidden="1" outlineLevel="1">
      <c r="B72" s="215"/>
      <c r="C72" s="216" t="s">
        <v>199</v>
      </c>
      <c r="D72" s="217">
        <f>AVERAGE(D57:D71)</f>
        <v>1</v>
      </c>
      <c r="E72" s="218"/>
      <c r="L72" s="216" t="s">
        <v>199</v>
      </c>
      <c r="M72" s="217">
        <f>SUM(M57:M71)/75*0.1</f>
        <v>0</v>
      </c>
    </row>
    <row r="73" hidden="1" collapsed="1">
      <c r="A73" s="85" t="s">
        <v>347</v>
      </c>
      <c r="B73" s="86"/>
      <c r="C73" s="86"/>
      <c r="D73" s="88"/>
      <c r="E73" s="89"/>
      <c r="F73" s="89"/>
      <c r="G73" s="91"/>
      <c r="H73" s="91"/>
      <c r="I73" s="91"/>
      <c r="J73" s="91"/>
      <c r="K73" s="91"/>
      <c r="L73" s="91"/>
      <c r="M73" s="93"/>
      <c r="N73" s="95"/>
    </row>
    <row r="74" hidden="1" outlineLevel="1">
      <c r="A74" s="96" t="s">
        <v>89</v>
      </c>
      <c r="B74" s="98" t="s">
        <v>90</v>
      </c>
      <c r="C74" s="98" t="s">
        <v>91</v>
      </c>
      <c r="D74" s="101" t="s">
        <v>93</v>
      </c>
      <c r="E74" s="102" t="s">
        <v>94</v>
      </c>
      <c r="F74" s="102" t="s">
        <v>95</v>
      </c>
      <c r="G74" s="105" t="s">
        <v>96</v>
      </c>
      <c r="H74" s="107" t="s">
        <v>97</v>
      </c>
      <c r="I74" s="107" t="s">
        <v>104</v>
      </c>
      <c r="J74" s="105" t="s">
        <v>106</v>
      </c>
      <c r="K74" s="107" t="s">
        <v>109</v>
      </c>
      <c r="L74" s="105" t="s">
        <v>111</v>
      </c>
      <c r="M74" s="98" t="s">
        <v>114</v>
      </c>
      <c r="N74" s="101" t="s">
        <v>116</v>
      </c>
    </row>
    <row r="75" hidden="1" outlineLevel="1">
      <c r="A75" s="353" t="s">
        <v>703</v>
      </c>
      <c r="B75" s="309">
        <v>46244.0</v>
      </c>
      <c r="C75" s="118" t="str">
        <f t="shared" ref="C75:C89" si="9">IF(B75="", "", TEXT(B75, "ddd"))</f>
        <v>Mon</v>
      </c>
      <c r="D75" s="128">
        <f t="shared" ref="D75:D89" si="10">IF(E75="Yes",0.05,0)
+IF(F75="Yes",0.1,0)
+IF(G75="Yes",0.15,0)
+IF(H75="Yes",0.15,0)
+IF(I75="Yes",0.05,0)
+IF(J75="Yes",0.05,0)
+IF(K75="Yes",0.15,0)
+IF(L75="Yes",0.3,0)
</f>
        <v>1</v>
      </c>
      <c r="E75" s="131" t="s">
        <v>142</v>
      </c>
      <c r="F75" s="134" t="s">
        <v>142</v>
      </c>
      <c r="G75" s="134" t="s">
        <v>142</v>
      </c>
      <c r="H75" s="134" t="s">
        <v>142</v>
      </c>
      <c r="I75" s="134" t="s">
        <v>142</v>
      </c>
      <c r="J75" s="134" t="s">
        <v>142</v>
      </c>
      <c r="K75" s="134" t="s">
        <v>142</v>
      </c>
      <c r="L75" s="134" t="s">
        <v>142</v>
      </c>
      <c r="M75" s="136"/>
      <c r="N75" s="137"/>
    </row>
    <row r="76" hidden="1" outlineLevel="1">
      <c r="A76" s="353" t="s">
        <v>707</v>
      </c>
      <c r="B76" s="309">
        <v>46244.0</v>
      </c>
      <c r="C76" s="118" t="str">
        <f t="shared" si="9"/>
        <v>Mon</v>
      </c>
      <c r="D76" s="143">
        <f t="shared" si="10"/>
        <v>1</v>
      </c>
      <c r="E76" s="144" t="s">
        <v>142</v>
      </c>
      <c r="F76" s="134" t="s">
        <v>142</v>
      </c>
      <c r="G76" s="134" t="s">
        <v>142</v>
      </c>
      <c r="H76" s="134" t="s">
        <v>142</v>
      </c>
      <c r="I76" s="134" t="s">
        <v>142</v>
      </c>
      <c r="J76" s="134" t="s">
        <v>142</v>
      </c>
      <c r="K76" s="134" t="s">
        <v>142</v>
      </c>
      <c r="L76" s="134" t="s">
        <v>142</v>
      </c>
      <c r="M76" s="136"/>
      <c r="N76" s="131"/>
    </row>
    <row r="77" hidden="1" outlineLevel="1">
      <c r="A77" s="353" t="s">
        <v>709</v>
      </c>
      <c r="B77" s="309">
        <v>46244.0</v>
      </c>
      <c r="C77" s="118" t="str">
        <f t="shared" si="9"/>
        <v>Mon</v>
      </c>
      <c r="D77" s="128">
        <f t="shared" si="10"/>
        <v>1</v>
      </c>
      <c r="E77" s="131" t="s">
        <v>142</v>
      </c>
      <c r="F77" s="134" t="s">
        <v>142</v>
      </c>
      <c r="G77" s="134" t="s">
        <v>142</v>
      </c>
      <c r="H77" s="134" t="s">
        <v>142</v>
      </c>
      <c r="I77" s="134" t="s">
        <v>142</v>
      </c>
      <c r="J77" s="134" t="s">
        <v>142</v>
      </c>
      <c r="K77" s="134" t="s">
        <v>142</v>
      </c>
      <c r="L77" s="134" t="s">
        <v>142</v>
      </c>
      <c r="M77" s="136"/>
      <c r="N77" s="131"/>
    </row>
    <row r="78" hidden="1" outlineLevel="1">
      <c r="A78" s="353" t="s">
        <v>711</v>
      </c>
      <c r="B78" s="309">
        <v>46245.0</v>
      </c>
      <c r="C78" s="118" t="str">
        <f t="shared" si="9"/>
        <v>Tue</v>
      </c>
      <c r="D78" s="143">
        <f t="shared" si="10"/>
        <v>1</v>
      </c>
      <c r="E78" s="144" t="s">
        <v>142</v>
      </c>
      <c r="F78" s="134" t="s">
        <v>142</v>
      </c>
      <c r="G78" s="134" t="s">
        <v>142</v>
      </c>
      <c r="H78" s="134" t="s">
        <v>142</v>
      </c>
      <c r="I78" s="134" t="s">
        <v>142</v>
      </c>
      <c r="J78" s="134" t="s">
        <v>142</v>
      </c>
      <c r="K78" s="134" t="s">
        <v>142</v>
      </c>
      <c r="L78" s="134" t="s">
        <v>142</v>
      </c>
      <c r="M78" s="136"/>
      <c r="N78" s="131"/>
    </row>
    <row r="79" hidden="1" outlineLevel="1">
      <c r="A79" s="353" t="s">
        <v>713</v>
      </c>
      <c r="B79" s="309">
        <v>46245.0</v>
      </c>
      <c r="C79" s="118" t="str">
        <f t="shared" si="9"/>
        <v>Tue</v>
      </c>
      <c r="D79" s="128">
        <f t="shared" si="10"/>
        <v>1</v>
      </c>
      <c r="E79" s="131" t="s">
        <v>142</v>
      </c>
      <c r="F79" s="134" t="s">
        <v>142</v>
      </c>
      <c r="G79" s="134" t="s">
        <v>142</v>
      </c>
      <c r="H79" s="134" t="s">
        <v>142</v>
      </c>
      <c r="I79" s="134" t="s">
        <v>142</v>
      </c>
      <c r="J79" s="134" t="s">
        <v>142</v>
      </c>
      <c r="K79" s="134" t="s">
        <v>142</v>
      </c>
      <c r="L79" s="134" t="s">
        <v>142</v>
      </c>
      <c r="M79" s="136"/>
      <c r="N79" s="131"/>
    </row>
    <row r="80" hidden="1" outlineLevel="1">
      <c r="A80" s="353" t="s">
        <v>714</v>
      </c>
      <c r="B80" s="309">
        <v>46245.0</v>
      </c>
      <c r="C80" s="118" t="str">
        <f t="shared" si="9"/>
        <v>Tue</v>
      </c>
      <c r="D80" s="143">
        <f t="shared" si="10"/>
        <v>1</v>
      </c>
      <c r="E80" s="144" t="s">
        <v>142</v>
      </c>
      <c r="F80" s="134" t="s">
        <v>142</v>
      </c>
      <c r="G80" s="134" t="s">
        <v>142</v>
      </c>
      <c r="H80" s="134" t="s">
        <v>142</v>
      </c>
      <c r="I80" s="134" t="s">
        <v>142</v>
      </c>
      <c r="J80" s="134" t="s">
        <v>142</v>
      </c>
      <c r="K80" s="134" t="s">
        <v>142</v>
      </c>
      <c r="L80" s="134" t="s">
        <v>142</v>
      </c>
      <c r="M80" s="136"/>
      <c r="N80" s="131"/>
    </row>
    <row r="81" hidden="1" outlineLevel="1">
      <c r="A81" s="113" t="s">
        <v>715</v>
      </c>
      <c r="B81" s="309">
        <v>46246.0</v>
      </c>
      <c r="C81" s="118" t="str">
        <f t="shared" si="9"/>
        <v>Wed</v>
      </c>
      <c r="D81" s="128">
        <f t="shared" si="10"/>
        <v>1</v>
      </c>
      <c r="E81" s="131" t="s">
        <v>142</v>
      </c>
      <c r="F81" s="134" t="s">
        <v>142</v>
      </c>
      <c r="G81" s="134" t="s">
        <v>142</v>
      </c>
      <c r="H81" s="134" t="s">
        <v>142</v>
      </c>
      <c r="I81" s="134" t="s">
        <v>142</v>
      </c>
      <c r="J81" s="134" t="s">
        <v>142</v>
      </c>
      <c r="K81" s="134" t="s">
        <v>142</v>
      </c>
      <c r="L81" s="134" t="s">
        <v>142</v>
      </c>
      <c r="M81" s="136"/>
      <c r="N81" s="131"/>
    </row>
    <row r="82" hidden="1" outlineLevel="1">
      <c r="A82" s="113" t="s">
        <v>718</v>
      </c>
      <c r="B82" s="309">
        <v>46246.0</v>
      </c>
      <c r="C82" s="118" t="str">
        <f t="shared" si="9"/>
        <v>Wed</v>
      </c>
      <c r="D82" s="143">
        <f t="shared" si="10"/>
        <v>1</v>
      </c>
      <c r="E82" s="144" t="s">
        <v>142</v>
      </c>
      <c r="F82" s="134" t="s">
        <v>142</v>
      </c>
      <c r="G82" s="134" t="s">
        <v>142</v>
      </c>
      <c r="H82" s="134" t="s">
        <v>142</v>
      </c>
      <c r="I82" s="134" t="s">
        <v>142</v>
      </c>
      <c r="J82" s="134" t="s">
        <v>142</v>
      </c>
      <c r="K82" s="134" t="s">
        <v>142</v>
      </c>
      <c r="L82" s="134" t="s">
        <v>142</v>
      </c>
      <c r="M82" s="136"/>
      <c r="N82" s="131"/>
    </row>
    <row r="83" hidden="1" outlineLevel="1">
      <c r="A83" s="113" t="s">
        <v>719</v>
      </c>
      <c r="B83" s="309">
        <v>46246.0</v>
      </c>
      <c r="C83" s="118" t="str">
        <f t="shared" si="9"/>
        <v>Wed</v>
      </c>
      <c r="D83" s="128">
        <f t="shared" si="10"/>
        <v>1</v>
      </c>
      <c r="E83" s="131" t="s">
        <v>142</v>
      </c>
      <c r="F83" s="134" t="s">
        <v>142</v>
      </c>
      <c r="G83" s="134" t="s">
        <v>142</v>
      </c>
      <c r="H83" s="134" t="s">
        <v>142</v>
      </c>
      <c r="I83" s="134" t="s">
        <v>142</v>
      </c>
      <c r="J83" s="134" t="s">
        <v>142</v>
      </c>
      <c r="K83" s="134" t="s">
        <v>142</v>
      </c>
      <c r="L83" s="134" t="s">
        <v>142</v>
      </c>
      <c r="M83" s="136"/>
      <c r="N83" s="131"/>
    </row>
    <row r="84" hidden="1" outlineLevel="1">
      <c r="A84" s="113" t="s">
        <v>721</v>
      </c>
      <c r="B84" s="309">
        <v>46247.0</v>
      </c>
      <c r="C84" s="118" t="str">
        <f t="shared" si="9"/>
        <v>Thu</v>
      </c>
      <c r="D84" s="143">
        <f t="shared" si="10"/>
        <v>1</v>
      </c>
      <c r="E84" s="144" t="s">
        <v>142</v>
      </c>
      <c r="F84" s="134" t="s">
        <v>142</v>
      </c>
      <c r="G84" s="134" t="s">
        <v>142</v>
      </c>
      <c r="H84" s="134" t="s">
        <v>142</v>
      </c>
      <c r="I84" s="134" t="s">
        <v>142</v>
      </c>
      <c r="J84" s="134" t="s">
        <v>142</v>
      </c>
      <c r="K84" s="134" t="s">
        <v>142</v>
      </c>
      <c r="L84" s="134" t="s">
        <v>142</v>
      </c>
      <c r="M84" s="136"/>
      <c r="N84" s="131"/>
    </row>
    <row r="85" hidden="1" outlineLevel="1">
      <c r="A85" s="113" t="s">
        <v>723</v>
      </c>
      <c r="B85" s="309">
        <v>46247.0</v>
      </c>
      <c r="C85" s="118" t="str">
        <f t="shared" si="9"/>
        <v>Thu</v>
      </c>
      <c r="D85" s="128">
        <f t="shared" si="10"/>
        <v>1</v>
      </c>
      <c r="E85" s="131" t="s">
        <v>142</v>
      </c>
      <c r="F85" s="134" t="s">
        <v>142</v>
      </c>
      <c r="G85" s="134" t="s">
        <v>142</v>
      </c>
      <c r="H85" s="134" t="s">
        <v>142</v>
      </c>
      <c r="I85" s="134" t="s">
        <v>142</v>
      </c>
      <c r="J85" s="134" t="s">
        <v>142</v>
      </c>
      <c r="K85" s="134" t="s">
        <v>142</v>
      </c>
      <c r="L85" s="134" t="s">
        <v>142</v>
      </c>
      <c r="M85" s="136"/>
      <c r="N85" s="131"/>
    </row>
    <row r="86" hidden="1" outlineLevel="1">
      <c r="A86" s="113" t="s">
        <v>725</v>
      </c>
      <c r="B86" s="309">
        <v>46247.0</v>
      </c>
      <c r="C86" s="118" t="str">
        <f t="shared" si="9"/>
        <v>Thu</v>
      </c>
      <c r="D86" s="143">
        <f t="shared" si="10"/>
        <v>1</v>
      </c>
      <c r="E86" s="144" t="s">
        <v>142</v>
      </c>
      <c r="F86" s="134" t="s">
        <v>142</v>
      </c>
      <c r="G86" s="134" t="s">
        <v>142</v>
      </c>
      <c r="H86" s="134" t="s">
        <v>142</v>
      </c>
      <c r="I86" s="134" t="s">
        <v>142</v>
      </c>
      <c r="J86" s="134" t="s">
        <v>142</v>
      </c>
      <c r="K86" s="134" t="s">
        <v>142</v>
      </c>
      <c r="L86" s="134" t="s">
        <v>142</v>
      </c>
      <c r="M86" s="136"/>
      <c r="N86" s="131"/>
    </row>
    <row r="87" hidden="1" outlineLevel="1">
      <c r="A87" s="113" t="s">
        <v>727</v>
      </c>
      <c r="B87" s="309">
        <v>46248.0</v>
      </c>
      <c r="C87" s="118" t="str">
        <f t="shared" si="9"/>
        <v>Fri</v>
      </c>
      <c r="D87" s="128">
        <f t="shared" si="10"/>
        <v>1</v>
      </c>
      <c r="E87" s="131" t="s">
        <v>142</v>
      </c>
      <c r="F87" s="134" t="s">
        <v>142</v>
      </c>
      <c r="G87" s="134" t="s">
        <v>142</v>
      </c>
      <c r="H87" s="134" t="s">
        <v>142</v>
      </c>
      <c r="I87" s="134" t="s">
        <v>142</v>
      </c>
      <c r="J87" s="134" t="s">
        <v>142</v>
      </c>
      <c r="K87" s="134" t="s">
        <v>142</v>
      </c>
      <c r="L87" s="134" t="s">
        <v>142</v>
      </c>
      <c r="M87" s="136"/>
      <c r="N87" s="131"/>
    </row>
    <row r="88" hidden="1" outlineLevel="1">
      <c r="A88" s="113" t="s">
        <v>729</v>
      </c>
      <c r="B88" s="309">
        <v>46248.0</v>
      </c>
      <c r="C88" s="118" t="str">
        <f t="shared" si="9"/>
        <v>Fri</v>
      </c>
      <c r="D88" s="143">
        <f t="shared" si="10"/>
        <v>1</v>
      </c>
      <c r="E88" s="144" t="s">
        <v>142</v>
      </c>
      <c r="F88" s="134" t="s">
        <v>142</v>
      </c>
      <c r="G88" s="134" t="s">
        <v>142</v>
      </c>
      <c r="H88" s="134" t="s">
        <v>142</v>
      </c>
      <c r="I88" s="134" t="s">
        <v>142</v>
      </c>
      <c r="J88" s="134" t="s">
        <v>142</v>
      </c>
      <c r="K88" s="134" t="s">
        <v>142</v>
      </c>
      <c r="L88" s="134" t="s">
        <v>142</v>
      </c>
      <c r="M88" s="136"/>
      <c r="N88" s="131"/>
    </row>
    <row r="89" ht="15.0" hidden="1" customHeight="1" outlineLevel="1">
      <c r="A89" s="113" t="s">
        <v>731</v>
      </c>
      <c r="B89" s="309">
        <v>46248.0</v>
      </c>
      <c r="C89" s="118" t="str">
        <f t="shared" si="9"/>
        <v>Fri</v>
      </c>
      <c r="D89" s="128">
        <f t="shared" si="10"/>
        <v>1</v>
      </c>
      <c r="E89" s="131" t="s">
        <v>142</v>
      </c>
      <c r="F89" s="134" t="s">
        <v>142</v>
      </c>
      <c r="G89" s="134" t="s">
        <v>142</v>
      </c>
      <c r="H89" s="134" t="s">
        <v>142</v>
      </c>
      <c r="I89" s="134" t="s">
        <v>142</v>
      </c>
      <c r="J89" s="134" t="s">
        <v>142</v>
      </c>
      <c r="K89" s="134" t="s">
        <v>142</v>
      </c>
      <c r="L89" s="134" t="s">
        <v>142</v>
      </c>
      <c r="M89" s="136"/>
      <c r="N89" s="131"/>
    </row>
    <row r="90" hidden="1" outlineLevel="1">
      <c r="B90" s="215"/>
      <c r="C90" s="216" t="s">
        <v>199</v>
      </c>
      <c r="D90" s="217">
        <f>AVERAGE(D75:D89)</f>
        <v>1</v>
      </c>
      <c r="E90" s="218"/>
      <c r="L90" s="216" t="s">
        <v>199</v>
      </c>
      <c r="M90" s="217">
        <f>SUM(M75:M89)/75*0.1</f>
        <v>0</v>
      </c>
    </row>
    <row r="91" collapsed="1">
      <c r="A91" s="85" t="s">
        <v>368</v>
      </c>
      <c r="B91" s="86"/>
      <c r="C91" s="86"/>
      <c r="D91" s="88"/>
      <c r="E91" s="89"/>
      <c r="F91" s="89"/>
      <c r="G91" s="91"/>
      <c r="H91" s="91"/>
      <c r="I91" s="91"/>
      <c r="J91" s="91"/>
      <c r="K91" s="91"/>
      <c r="L91" s="91"/>
      <c r="M91" s="93"/>
      <c r="N91" s="95"/>
    </row>
    <row r="92" hidden="1" outlineLevel="1">
      <c r="A92" s="96" t="s">
        <v>89</v>
      </c>
      <c r="B92" s="98" t="s">
        <v>90</v>
      </c>
      <c r="C92" s="98" t="s">
        <v>91</v>
      </c>
      <c r="D92" s="101" t="s">
        <v>93</v>
      </c>
      <c r="E92" s="102" t="s">
        <v>94</v>
      </c>
      <c r="F92" s="102" t="s">
        <v>95</v>
      </c>
      <c r="G92" s="105" t="s">
        <v>96</v>
      </c>
      <c r="H92" s="107" t="s">
        <v>97</v>
      </c>
      <c r="I92" s="107" t="s">
        <v>104</v>
      </c>
      <c r="J92" s="105" t="s">
        <v>106</v>
      </c>
      <c r="K92" s="107" t="s">
        <v>109</v>
      </c>
      <c r="L92" s="105" t="s">
        <v>111</v>
      </c>
      <c r="M92" s="98" t="s">
        <v>114</v>
      </c>
      <c r="N92" s="101" t="s">
        <v>116</v>
      </c>
    </row>
    <row r="93" hidden="1" outlineLevel="1">
      <c r="A93" s="113" t="s">
        <v>734</v>
      </c>
      <c r="B93" s="309">
        <v>46251.0</v>
      </c>
      <c r="C93" s="118" t="str">
        <f t="shared" ref="C93:C107" si="11">IF(B93="", "", TEXT(B93, "ddd"))</f>
        <v>Mon</v>
      </c>
      <c r="D93" s="128">
        <f t="shared" ref="D93:D107" si="12">IF(E93="Yes",0.05,0)
+IF(F93="Yes",0.1,0)
+IF(G93="Yes",0.15,0)
+IF(H93="Yes",0.15,0)
+IF(I93="Yes",0.05,0)
+IF(J93="Yes",0.05,0)
+IF(K93="Yes",0.15,0)
+IF(L93="Yes",0.3,0)
</f>
        <v>1</v>
      </c>
      <c r="E93" s="131" t="s">
        <v>142</v>
      </c>
      <c r="F93" s="134" t="s">
        <v>142</v>
      </c>
      <c r="G93" s="134" t="s">
        <v>142</v>
      </c>
      <c r="H93" s="134" t="s">
        <v>142</v>
      </c>
      <c r="I93" s="134" t="s">
        <v>142</v>
      </c>
      <c r="J93" s="134" t="s">
        <v>142</v>
      </c>
      <c r="K93" s="134" t="s">
        <v>142</v>
      </c>
      <c r="L93" s="134" t="s">
        <v>142</v>
      </c>
      <c r="M93" s="136"/>
      <c r="N93" s="137"/>
    </row>
    <row r="94" hidden="1" outlineLevel="1">
      <c r="A94" s="113" t="s">
        <v>737</v>
      </c>
      <c r="B94" s="309">
        <v>46251.0</v>
      </c>
      <c r="C94" s="118" t="str">
        <f t="shared" si="11"/>
        <v>Mon</v>
      </c>
      <c r="D94" s="143">
        <f t="shared" si="12"/>
        <v>1</v>
      </c>
      <c r="E94" s="144" t="s">
        <v>142</v>
      </c>
      <c r="F94" s="134" t="s">
        <v>142</v>
      </c>
      <c r="G94" s="134" t="s">
        <v>142</v>
      </c>
      <c r="H94" s="134" t="s">
        <v>142</v>
      </c>
      <c r="I94" s="134" t="s">
        <v>142</v>
      </c>
      <c r="J94" s="134" t="s">
        <v>142</v>
      </c>
      <c r="K94" s="134" t="s">
        <v>142</v>
      </c>
      <c r="L94" s="134" t="s">
        <v>142</v>
      </c>
      <c r="M94" s="136"/>
      <c r="N94" s="131"/>
    </row>
    <row r="95" hidden="1" outlineLevel="1">
      <c r="A95" s="113" t="s">
        <v>739</v>
      </c>
      <c r="B95" s="309">
        <v>46251.0</v>
      </c>
      <c r="C95" s="118" t="str">
        <f t="shared" si="11"/>
        <v>Mon</v>
      </c>
      <c r="D95" s="128">
        <f t="shared" si="12"/>
        <v>1</v>
      </c>
      <c r="E95" s="131" t="s">
        <v>142</v>
      </c>
      <c r="F95" s="134" t="s">
        <v>142</v>
      </c>
      <c r="G95" s="134" t="s">
        <v>142</v>
      </c>
      <c r="H95" s="134" t="s">
        <v>142</v>
      </c>
      <c r="I95" s="134" t="s">
        <v>142</v>
      </c>
      <c r="J95" s="134" t="s">
        <v>142</v>
      </c>
      <c r="K95" s="134" t="s">
        <v>142</v>
      </c>
      <c r="L95" s="134" t="s">
        <v>142</v>
      </c>
      <c r="M95" s="136"/>
      <c r="N95" s="131"/>
    </row>
    <row r="96" hidden="1" outlineLevel="1">
      <c r="A96" s="113" t="s">
        <v>741</v>
      </c>
      <c r="B96" s="309">
        <v>46252.0</v>
      </c>
      <c r="C96" s="118" t="str">
        <f t="shared" si="11"/>
        <v>Tue</v>
      </c>
      <c r="D96" s="143">
        <f t="shared" si="12"/>
        <v>1</v>
      </c>
      <c r="E96" s="144" t="s">
        <v>142</v>
      </c>
      <c r="F96" s="134" t="s">
        <v>142</v>
      </c>
      <c r="G96" s="134" t="s">
        <v>142</v>
      </c>
      <c r="H96" s="134" t="s">
        <v>142</v>
      </c>
      <c r="I96" s="134" t="s">
        <v>142</v>
      </c>
      <c r="J96" s="134" t="s">
        <v>142</v>
      </c>
      <c r="K96" s="134" t="s">
        <v>142</v>
      </c>
      <c r="L96" s="134" t="s">
        <v>142</v>
      </c>
      <c r="M96" s="136"/>
      <c r="N96" s="131"/>
    </row>
    <row r="97" hidden="1" outlineLevel="1">
      <c r="A97" s="113" t="s">
        <v>747</v>
      </c>
      <c r="B97" s="309">
        <v>46252.0</v>
      </c>
      <c r="C97" s="118" t="str">
        <f t="shared" si="11"/>
        <v>Tue</v>
      </c>
      <c r="D97" s="128">
        <f t="shared" si="12"/>
        <v>1</v>
      </c>
      <c r="E97" s="131" t="s">
        <v>142</v>
      </c>
      <c r="F97" s="134" t="s">
        <v>142</v>
      </c>
      <c r="G97" s="134" t="s">
        <v>142</v>
      </c>
      <c r="H97" s="134" t="s">
        <v>142</v>
      </c>
      <c r="I97" s="134" t="s">
        <v>142</v>
      </c>
      <c r="J97" s="134" t="s">
        <v>142</v>
      </c>
      <c r="K97" s="134" t="s">
        <v>142</v>
      </c>
      <c r="L97" s="134" t="s">
        <v>142</v>
      </c>
      <c r="M97" s="136"/>
      <c r="N97" s="131"/>
    </row>
    <row r="98" hidden="1" outlineLevel="1">
      <c r="A98" s="113" t="s">
        <v>749</v>
      </c>
      <c r="B98" s="309">
        <v>46252.0</v>
      </c>
      <c r="C98" s="118" t="str">
        <f t="shared" si="11"/>
        <v>Tue</v>
      </c>
      <c r="D98" s="143">
        <f t="shared" si="12"/>
        <v>1</v>
      </c>
      <c r="E98" s="144" t="s">
        <v>142</v>
      </c>
      <c r="F98" s="134" t="s">
        <v>142</v>
      </c>
      <c r="G98" s="134" t="s">
        <v>142</v>
      </c>
      <c r="H98" s="134" t="s">
        <v>142</v>
      </c>
      <c r="I98" s="134" t="s">
        <v>142</v>
      </c>
      <c r="J98" s="134" t="s">
        <v>142</v>
      </c>
      <c r="K98" s="134" t="s">
        <v>142</v>
      </c>
      <c r="L98" s="134" t="s">
        <v>142</v>
      </c>
      <c r="M98" s="136"/>
      <c r="N98" s="131"/>
    </row>
    <row r="99" hidden="1" outlineLevel="1">
      <c r="A99" s="113" t="s">
        <v>750</v>
      </c>
      <c r="B99" s="309">
        <v>46253.0</v>
      </c>
      <c r="C99" s="118" t="str">
        <f t="shared" si="11"/>
        <v>Wed</v>
      </c>
      <c r="D99" s="128">
        <f t="shared" si="12"/>
        <v>1</v>
      </c>
      <c r="E99" s="131" t="s">
        <v>142</v>
      </c>
      <c r="F99" s="134" t="s">
        <v>142</v>
      </c>
      <c r="G99" s="134" t="s">
        <v>142</v>
      </c>
      <c r="H99" s="134" t="s">
        <v>142</v>
      </c>
      <c r="I99" s="134" t="s">
        <v>142</v>
      </c>
      <c r="J99" s="134" t="s">
        <v>142</v>
      </c>
      <c r="K99" s="134" t="s">
        <v>142</v>
      </c>
      <c r="L99" s="134" t="s">
        <v>142</v>
      </c>
      <c r="M99" s="136"/>
      <c r="N99" s="131"/>
    </row>
    <row r="100" hidden="1" outlineLevel="1">
      <c r="A100" s="113" t="s">
        <v>751</v>
      </c>
      <c r="B100" s="309">
        <v>46253.0</v>
      </c>
      <c r="C100" s="118" t="str">
        <f t="shared" si="11"/>
        <v>Wed</v>
      </c>
      <c r="D100" s="143">
        <f t="shared" si="12"/>
        <v>1</v>
      </c>
      <c r="E100" s="144" t="s">
        <v>142</v>
      </c>
      <c r="F100" s="134" t="s">
        <v>142</v>
      </c>
      <c r="G100" s="134" t="s">
        <v>142</v>
      </c>
      <c r="H100" s="134" t="s">
        <v>142</v>
      </c>
      <c r="I100" s="134" t="s">
        <v>142</v>
      </c>
      <c r="J100" s="134" t="s">
        <v>142</v>
      </c>
      <c r="K100" s="134" t="s">
        <v>142</v>
      </c>
      <c r="L100" s="134" t="s">
        <v>142</v>
      </c>
      <c r="M100" s="136"/>
      <c r="N100" s="131"/>
    </row>
    <row r="101" hidden="1" outlineLevel="1">
      <c r="A101" s="113" t="s">
        <v>753</v>
      </c>
      <c r="B101" s="309">
        <v>46253.0</v>
      </c>
      <c r="C101" s="118" t="str">
        <f t="shared" si="11"/>
        <v>Wed</v>
      </c>
      <c r="D101" s="128">
        <f t="shared" si="12"/>
        <v>1</v>
      </c>
      <c r="E101" s="131" t="s">
        <v>142</v>
      </c>
      <c r="F101" s="134" t="s">
        <v>142</v>
      </c>
      <c r="G101" s="134" t="s">
        <v>142</v>
      </c>
      <c r="H101" s="134" t="s">
        <v>142</v>
      </c>
      <c r="I101" s="134" t="s">
        <v>142</v>
      </c>
      <c r="J101" s="134" t="s">
        <v>142</v>
      </c>
      <c r="K101" s="134" t="s">
        <v>142</v>
      </c>
      <c r="L101" s="134" t="s">
        <v>142</v>
      </c>
      <c r="M101" s="136"/>
      <c r="N101" s="131"/>
    </row>
    <row r="102" hidden="1" outlineLevel="1">
      <c r="A102" s="113" t="s">
        <v>754</v>
      </c>
      <c r="B102" s="309">
        <v>46254.0</v>
      </c>
      <c r="C102" s="118" t="str">
        <f t="shared" si="11"/>
        <v>Thu</v>
      </c>
      <c r="D102" s="143">
        <f t="shared" si="12"/>
        <v>1</v>
      </c>
      <c r="E102" s="144" t="s">
        <v>142</v>
      </c>
      <c r="F102" s="134" t="s">
        <v>142</v>
      </c>
      <c r="G102" s="134" t="s">
        <v>142</v>
      </c>
      <c r="H102" s="134" t="s">
        <v>142</v>
      </c>
      <c r="I102" s="134" t="s">
        <v>142</v>
      </c>
      <c r="J102" s="134" t="s">
        <v>142</v>
      </c>
      <c r="K102" s="134" t="s">
        <v>142</v>
      </c>
      <c r="L102" s="134" t="s">
        <v>142</v>
      </c>
      <c r="M102" s="136"/>
      <c r="N102" s="131"/>
    </row>
    <row r="103" hidden="1" outlineLevel="1">
      <c r="A103" s="113" t="s">
        <v>756</v>
      </c>
      <c r="B103" s="309">
        <v>46254.0</v>
      </c>
      <c r="C103" s="118" t="str">
        <f t="shared" si="11"/>
        <v>Thu</v>
      </c>
      <c r="D103" s="128">
        <f t="shared" si="12"/>
        <v>1</v>
      </c>
      <c r="E103" s="131" t="s">
        <v>142</v>
      </c>
      <c r="F103" s="134" t="s">
        <v>142</v>
      </c>
      <c r="G103" s="134" t="s">
        <v>142</v>
      </c>
      <c r="H103" s="134" t="s">
        <v>142</v>
      </c>
      <c r="I103" s="134" t="s">
        <v>142</v>
      </c>
      <c r="J103" s="134" t="s">
        <v>142</v>
      </c>
      <c r="K103" s="134" t="s">
        <v>142</v>
      </c>
      <c r="L103" s="134" t="s">
        <v>142</v>
      </c>
      <c r="M103" s="136"/>
      <c r="N103" s="131"/>
    </row>
    <row r="104" hidden="1" outlineLevel="1">
      <c r="A104" s="113" t="s">
        <v>758</v>
      </c>
      <c r="B104" s="309">
        <v>46254.0</v>
      </c>
      <c r="C104" s="118" t="str">
        <f t="shared" si="11"/>
        <v>Thu</v>
      </c>
      <c r="D104" s="143">
        <f t="shared" si="12"/>
        <v>1</v>
      </c>
      <c r="E104" s="144" t="s">
        <v>142</v>
      </c>
      <c r="F104" s="134" t="s">
        <v>142</v>
      </c>
      <c r="G104" s="134" t="s">
        <v>142</v>
      </c>
      <c r="H104" s="134" t="s">
        <v>142</v>
      </c>
      <c r="I104" s="134" t="s">
        <v>142</v>
      </c>
      <c r="J104" s="134" t="s">
        <v>142</v>
      </c>
      <c r="K104" s="134" t="s">
        <v>142</v>
      </c>
      <c r="L104" s="134" t="s">
        <v>142</v>
      </c>
      <c r="M104" s="136"/>
      <c r="N104" s="131"/>
    </row>
    <row r="105" hidden="1" outlineLevel="1">
      <c r="A105" s="353" t="s">
        <v>760</v>
      </c>
      <c r="B105" s="309">
        <v>46255.0</v>
      </c>
      <c r="C105" s="118" t="str">
        <f t="shared" si="11"/>
        <v>Fri</v>
      </c>
      <c r="D105" s="128">
        <f t="shared" si="12"/>
        <v>1</v>
      </c>
      <c r="E105" s="131" t="s">
        <v>142</v>
      </c>
      <c r="F105" s="134" t="s">
        <v>142</v>
      </c>
      <c r="G105" s="134" t="s">
        <v>142</v>
      </c>
      <c r="H105" s="134" t="s">
        <v>142</v>
      </c>
      <c r="I105" s="134" t="s">
        <v>142</v>
      </c>
      <c r="J105" s="134" t="s">
        <v>142</v>
      </c>
      <c r="K105" s="134" t="s">
        <v>142</v>
      </c>
      <c r="L105" s="134" t="s">
        <v>142</v>
      </c>
      <c r="M105" s="136"/>
      <c r="N105" s="131"/>
    </row>
    <row r="106" hidden="1" outlineLevel="1">
      <c r="A106" s="353" t="s">
        <v>761</v>
      </c>
      <c r="B106" s="309">
        <v>46255.0</v>
      </c>
      <c r="C106" s="118" t="str">
        <f t="shared" si="11"/>
        <v>Fri</v>
      </c>
      <c r="D106" s="143">
        <f t="shared" si="12"/>
        <v>1</v>
      </c>
      <c r="E106" s="144" t="s">
        <v>142</v>
      </c>
      <c r="F106" s="134" t="s">
        <v>142</v>
      </c>
      <c r="G106" s="134" t="s">
        <v>142</v>
      </c>
      <c r="H106" s="134" t="s">
        <v>142</v>
      </c>
      <c r="I106" s="134" t="s">
        <v>142</v>
      </c>
      <c r="J106" s="134" t="s">
        <v>142</v>
      </c>
      <c r="K106" s="134" t="s">
        <v>142</v>
      </c>
      <c r="L106" s="134" t="s">
        <v>142</v>
      </c>
      <c r="M106" s="136"/>
      <c r="N106" s="131"/>
    </row>
    <row r="107" ht="15.0" hidden="1" customHeight="1" outlineLevel="1">
      <c r="A107" s="353" t="s">
        <v>763</v>
      </c>
      <c r="B107" s="309">
        <v>46255.0</v>
      </c>
      <c r="C107" s="118" t="str">
        <f t="shared" si="11"/>
        <v>Fri</v>
      </c>
      <c r="D107" s="128">
        <f t="shared" si="12"/>
        <v>1</v>
      </c>
      <c r="E107" s="131" t="s">
        <v>142</v>
      </c>
      <c r="F107" s="134" t="s">
        <v>142</v>
      </c>
      <c r="G107" s="134" t="s">
        <v>142</v>
      </c>
      <c r="H107" s="134" t="s">
        <v>142</v>
      </c>
      <c r="I107" s="134" t="s">
        <v>142</v>
      </c>
      <c r="J107" s="134" t="s">
        <v>142</v>
      </c>
      <c r="K107" s="134" t="s">
        <v>142</v>
      </c>
      <c r="L107" s="134" t="s">
        <v>142</v>
      </c>
      <c r="M107" s="136"/>
      <c r="N107" s="131"/>
    </row>
    <row r="108" hidden="1" outlineLevel="1">
      <c r="B108" s="215"/>
      <c r="C108" s="216" t="s">
        <v>199</v>
      </c>
      <c r="D108" s="217">
        <f>AVERAGE(D93:D107)</f>
        <v>1</v>
      </c>
      <c r="E108" s="218"/>
      <c r="L108" s="216" t="s">
        <v>199</v>
      </c>
      <c r="M108" s="217">
        <f>SUM(M93:M107)/75*0.1</f>
        <v>0</v>
      </c>
    </row>
    <row r="109" collapsed="1">
      <c r="A109" s="85" t="s">
        <v>397</v>
      </c>
      <c r="B109" s="86"/>
      <c r="C109" s="86"/>
      <c r="D109" s="88"/>
      <c r="E109" s="361"/>
      <c r="F109" s="361"/>
      <c r="G109" s="361"/>
      <c r="H109" s="361"/>
      <c r="I109" s="361"/>
      <c r="J109" s="361"/>
      <c r="K109" s="361"/>
      <c r="L109" s="361"/>
      <c r="M109" s="361"/>
      <c r="N109" s="361"/>
    </row>
    <row r="110" hidden="1" outlineLevel="1">
      <c r="A110" s="362" t="s">
        <v>89</v>
      </c>
      <c r="B110" s="363" t="s">
        <v>90</v>
      </c>
      <c r="C110" s="363" t="s">
        <v>91</v>
      </c>
      <c r="D110" s="364" t="s">
        <v>93</v>
      </c>
      <c r="E110" s="365" t="s">
        <v>94</v>
      </c>
      <c r="F110" s="365" t="s">
        <v>95</v>
      </c>
      <c r="G110" s="366" t="s">
        <v>96</v>
      </c>
      <c r="H110" s="366" t="s">
        <v>97</v>
      </c>
      <c r="I110" s="366" t="s">
        <v>104</v>
      </c>
      <c r="J110" s="366" t="s">
        <v>106</v>
      </c>
      <c r="K110" s="366" t="s">
        <v>109</v>
      </c>
      <c r="L110" s="366" t="s">
        <v>111</v>
      </c>
      <c r="M110" s="363" t="s">
        <v>114</v>
      </c>
      <c r="N110" s="363" t="s">
        <v>116</v>
      </c>
    </row>
    <row r="111" hidden="1" outlineLevel="1">
      <c r="A111" s="367" t="s">
        <v>768</v>
      </c>
      <c r="B111" s="309">
        <v>46258.0</v>
      </c>
      <c r="C111" s="368" t="str">
        <f t="shared" ref="C111:C125" si="13">IF(B111="", "", TEXT(B111, "ddd"))</f>
        <v>Mon</v>
      </c>
      <c r="D111" s="128">
        <f t="shared" ref="D111:D125" si="14">IF(E111="Yes",0.05,0)
+IF(F111="Yes",0.1,0)
+IF(G111="Yes",0.15,0)
+IF(H111="Yes",0.15,0)
+IF(I111="Yes",0.05,0)
+IF(J111="Yes",0.05,0)
+IF(K111="Yes",0.15,0)
+IF(L111="Yes",0.3,0)
</f>
        <v>1</v>
      </c>
      <c r="E111" s="131" t="s">
        <v>142</v>
      </c>
      <c r="F111" s="134" t="s">
        <v>142</v>
      </c>
      <c r="G111" s="134" t="s">
        <v>142</v>
      </c>
      <c r="H111" s="134" t="s">
        <v>142</v>
      </c>
      <c r="I111" s="134" t="s">
        <v>142</v>
      </c>
      <c r="J111" s="134" t="s">
        <v>142</v>
      </c>
      <c r="K111" s="134" t="s">
        <v>142</v>
      </c>
      <c r="L111" s="134" t="s">
        <v>142</v>
      </c>
      <c r="M111" s="370"/>
      <c r="N111" s="137"/>
    </row>
    <row r="112" hidden="1" outlineLevel="1">
      <c r="A112" s="367" t="s">
        <v>774</v>
      </c>
      <c r="B112" s="309">
        <v>46258.0</v>
      </c>
      <c r="C112" s="368" t="str">
        <f t="shared" si="13"/>
        <v>Mon</v>
      </c>
      <c r="D112" s="143">
        <f t="shared" si="14"/>
        <v>1</v>
      </c>
      <c r="E112" s="144" t="s">
        <v>142</v>
      </c>
      <c r="F112" s="134" t="s">
        <v>142</v>
      </c>
      <c r="G112" s="134" t="s">
        <v>142</v>
      </c>
      <c r="H112" s="134" t="s">
        <v>142</v>
      </c>
      <c r="I112" s="134" t="s">
        <v>142</v>
      </c>
      <c r="J112" s="134" t="s">
        <v>142</v>
      </c>
      <c r="K112" s="134" t="s">
        <v>142</v>
      </c>
      <c r="L112" s="134" t="s">
        <v>142</v>
      </c>
      <c r="M112" s="370"/>
      <c r="N112" s="137"/>
    </row>
    <row r="113" hidden="1" outlineLevel="1">
      <c r="A113" s="367" t="s">
        <v>775</v>
      </c>
      <c r="B113" s="309">
        <v>46258.0</v>
      </c>
      <c r="C113" s="368" t="str">
        <f t="shared" si="13"/>
        <v>Mon</v>
      </c>
      <c r="D113" s="128">
        <f t="shared" si="14"/>
        <v>1</v>
      </c>
      <c r="E113" s="131" t="s">
        <v>142</v>
      </c>
      <c r="F113" s="134" t="s">
        <v>142</v>
      </c>
      <c r="G113" s="134" t="s">
        <v>142</v>
      </c>
      <c r="H113" s="134" t="s">
        <v>142</v>
      </c>
      <c r="I113" s="134" t="s">
        <v>142</v>
      </c>
      <c r="J113" s="134" t="s">
        <v>142</v>
      </c>
      <c r="K113" s="134" t="s">
        <v>142</v>
      </c>
      <c r="L113" s="134" t="s">
        <v>142</v>
      </c>
      <c r="M113" s="370"/>
      <c r="N113" s="137"/>
    </row>
    <row r="114" hidden="1" outlineLevel="1">
      <c r="A114" s="367" t="s">
        <v>776</v>
      </c>
      <c r="B114" s="309">
        <v>46259.0</v>
      </c>
      <c r="C114" s="368" t="str">
        <f t="shared" si="13"/>
        <v>Tue</v>
      </c>
      <c r="D114" s="143">
        <f t="shared" si="14"/>
        <v>1</v>
      </c>
      <c r="E114" s="144" t="s">
        <v>142</v>
      </c>
      <c r="F114" s="134" t="s">
        <v>142</v>
      </c>
      <c r="G114" s="134" t="s">
        <v>142</v>
      </c>
      <c r="H114" s="134" t="s">
        <v>142</v>
      </c>
      <c r="I114" s="134" t="s">
        <v>142</v>
      </c>
      <c r="J114" s="134" t="s">
        <v>142</v>
      </c>
      <c r="K114" s="134" t="s">
        <v>142</v>
      </c>
      <c r="L114" s="134" t="s">
        <v>142</v>
      </c>
      <c r="M114" s="370"/>
      <c r="N114" s="137"/>
    </row>
    <row r="115" hidden="1" outlineLevel="1">
      <c r="A115" s="367" t="s">
        <v>777</v>
      </c>
      <c r="B115" s="309">
        <v>46259.0</v>
      </c>
      <c r="C115" s="368" t="str">
        <f t="shared" si="13"/>
        <v>Tue</v>
      </c>
      <c r="D115" s="128">
        <f t="shared" si="14"/>
        <v>1</v>
      </c>
      <c r="E115" s="131" t="s">
        <v>142</v>
      </c>
      <c r="F115" s="134" t="s">
        <v>142</v>
      </c>
      <c r="G115" s="134" t="s">
        <v>142</v>
      </c>
      <c r="H115" s="134" t="s">
        <v>142</v>
      </c>
      <c r="I115" s="134" t="s">
        <v>142</v>
      </c>
      <c r="J115" s="134" t="s">
        <v>142</v>
      </c>
      <c r="K115" s="134" t="s">
        <v>142</v>
      </c>
      <c r="L115" s="134" t="s">
        <v>142</v>
      </c>
      <c r="M115" s="370"/>
      <c r="N115" s="137"/>
    </row>
    <row r="116" hidden="1" outlineLevel="1">
      <c r="A116" s="367" t="s">
        <v>778</v>
      </c>
      <c r="B116" s="309">
        <v>46259.0</v>
      </c>
      <c r="C116" s="368" t="str">
        <f t="shared" si="13"/>
        <v>Tue</v>
      </c>
      <c r="D116" s="143">
        <f t="shared" si="14"/>
        <v>1</v>
      </c>
      <c r="E116" s="144" t="s">
        <v>142</v>
      </c>
      <c r="F116" s="134" t="s">
        <v>142</v>
      </c>
      <c r="G116" s="134" t="s">
        <v>142</v>
      </c>
      <c r="H116" s="134" t="s">
        <v>142</v>
      </c>
      <c r="I116" s="134" t="s">
        <v>142</v>
      </c>
      <c r="J116" s="134" t="s">
        <v>142</v>
      </c>
      <c r="K116" s="134" t="s">
        <v>142</v>
      </c>
      <c r="L116" s="134" t="s">
        <v>142</v>
      </c>
      <c r="M116" s="370"/>
      <c r="N116" s="137"/>
    </row>
    <row r="117" hidden="1" outlineLevel="1">
      <c r="A117" s="367" t="s">
        <v>779</v>
      </c>
      <c r="B117" s="309">
        <v>46260.0</v>
      </c>
      <c r="C117" s="368" t="str">
        <f t="shared" si="13"/>
        <v>Wed</v>
      </c>
      <c r="D117" s="128">
        <f t="shared" si="14"/>
        <v>1</v>
      </c>
      <c r="E117" s="131" t="s">
        <v>142</v>
      </c>
      <c r="F117" s="134" t="s">
        <v>142</v>
      </c>
      <c r="G117" s="134" t="s">
        <v>142</v>
      </c>
      <c r="H117" s="134" t="s">
        <v>142</v>
      </c>
      <c r="I117" s="134" t="s">
        <v>142</v>
      </c>
      <c r="J117" s="134" t="s">
        <v>142</v>
      </c>
      <c r="K117" s="134" t="s">
        <v>142</v>
      </c>
      <c r="L117" s="134" t="s">
        <v>142</v>
      </c>
      <c r="M117" s="370"/>
      <c r="N117" s="137"/>
    </row>
    <row r="118" hidden="1" outlineLevel="1">
      <c r="A118" s="367" t="s">
        <v>780</v>
      </c>
      <c r="B118" s="309">
        <v>46260.0</v>
      </c>
      <c r="C118" s="368" t="str">
        <f t="shared" si="13"/>
        <v>Wed</v>
      </c>
      <c r="D118" s="143">
        <f t="shared" si="14"/>
        <v>1</v>
      </c>
      <c r="E118" s="144" t="s">
        <v>142</v>
      </c>
      <c r="F118" s="134" t="s">
        <v>142</v>
      </c>
      <c r="G118" s="134" t="s">
        <v>142</v>
      </c>
      <c r="H118" s="134" t="s">
        <v>142</v>
      </c>
      <c r="I118" s="134" t="s">
        <v>142</v>
      </c>
      <c r="J118" s="134" t="s">
        <v>142</v>
      </c>
      <c r="K118" s="134" t="s">
        <v>142</v>
      </c>
      <c r="L118" s="134" t="s">
        <v>142</v>
      </c>
      <c r="M118" s="370"/>
      <c r="N118" s="137"/>
    </row>
    <row r="119" hidden="1" outlineLevel="1">
      <c r="A119" s="367" t="s">
        <v>784</v>
      </c>
      <c r="B119" s="309">
        <v>46260.0</v>
      </c>
      <c r="C119" s="368" t="str">
        <f t="shared" si="13"/>
        <v>Wed</v>
      </c>
      <c r="D119" s="128">
        <f t="shared" si="14"/>
        <v>1</v>
      </c>
      <c r="E119" s="131" t="s">
        <v>142</v>
      </c>
      <c r="F119" s="134" t="s">
        <v>142</v>
      </c>
      <c r="G119" s="134" t="s">
        <v>142</v>
      </c>
      <c r="H119" s="134" t="s">
        <v>142</v>
      </c>
      <c r="I119" s="134" t="s">
        <v>142</v>
      </c>
      <c r="J119" s="134" t="s">
        <v>142</v>
      </c>
      <c r="K119" s="134" t="s">
        <v>142</v>
      </c>
      <c r="L119" s="134" t="s">
        <v>142</v>
      </c>
      <c r="M119" s="370"/>
      <c r="N119" s="137"/>
    </row>
    <row r="120" hidden="1" outlineLevel="1">
      <c r="A120" s="367" t="s">
        <v>785</v>
      </c>
      <c r="B120" s="309">
        <v>46261.0</v>
      </c>
      <c r="C120" s="368" t="str">
        <f t="shared" si="13"/>
        <v>Thu</v>
      </c>
      <c r="D120" s="143">
        <f t="shared" si="14"/>
        <v>1</v>
      </c>
      <c r="E120" s="144" t="s">
        <v>142</v>
      </c>
      <c r="F120" s="134" t="s">
        <v>142</v>
      </c>
      <c r="G120" s="134" t="s">
        <v>142</v>
      </c>
      <c r="H120" s="134" t="s">
        <v>142</v>
      </c>
      <c r="I120" s="134" t="s">
        <v>142</v>
      </c>
      <c r="J120" s="134" t="s">
        <v>142</v>
      </c>
      <c r="K120" s="134" t="s">
        <v>142</v>
      </c>
      <c r="L120" s="134" t="s">
        <v>142</v>
      </c>
      <c r="M120" s="370"/>
      <c r="N120" s="137"/>
    </row>
    <row r="121" hidden="1" outlineLevel="1">
      <c r="A121" s="367" t="s">
        <v>786</v>
      </c>
      <c r="B121" s="309">
        <v>46261.0</v>
      </c>
      <c r="C121" s="368" t="str">
        <f t="shared" si="13"/>
        <v>Thu</v>
      </c>
      <c r="D121" s="128">
        <f t="shared" si="14"/>
        <v>1</v>
      </c>
      <c r="E121" s="131" t="s">
        <v>142</v>
      </c>
      <c r="F121" s="134" t="s">
        <v>142</v>
      </c>
      <c r="G121" s="134" t="s">
        <v>142</v>
      </c>
      <c r="H121" s="134" t="s">
        <v>142</v>
      </c>
      <c r="I121" s="134" t="s">
        <v>142</v>
      </c>
      <c r="J121" s="134" t="s">
        <v>142</v>
      </c>
      <c r="K121" s="134" t="s">
        <v>142</v>
      </c>
      <c r="L121" s="134" t="s">
        <v>142</v>
      </c>
      <c r="M121" s="370"/>
      <c r="N121" s="137"/>
    </row>
    <row r="122" hidden="1" outlineLevel="1">
      <c r="A122" s="367" t="s">
        <v>787</v>
      </c>
      <c r="B122" s="309">
        <v>46261.0</v>
      </c>
      <c r="C122" s="368" t="str">
        <f t="shared" si="13"/>
        <v>Thu</v>
      </c>
      <c r="D122" s="143">
        <f t="shared" si="14"/>
        <v>1</v>
      </c>
      <c r="E122" s="144" t="s">
        <v>142</v>
      </c>
      <c r="F122" s="134" t="s">
        <v>142</v>
      </c>
      <c r="G122" s="134" t="s">
        <v>142</v>
      </c>
      <c r="H122" s="134" t="s">
        <v>142</v>
      </c>
      <c r="I122" s="134" t="s">
        <v>142</v>
      </c>
      <c r="J122" s="134" t="s">
        <v>142</v>
      </c>
      <c r="K122" s="134" t="s">
        <v>142</v>
      </c>
      <c r="L122" s="134" t="s">
        <v>142</v>
      </c>
      <c r="M122" s="370"/>
      <c r="N122" s="137"/>
    </row>
    <row r="123" hidden="1" outlineLevel="1">
      <c r="A123" s="367" t="s">
        <v>788</v>
      </c>
      <c r="B123" s="309">
        <v>46262.0</v>
      </c>
      <c r="C123" s="368" t="str">
        <f t="shared" si="13"/>
        <v>Fri</v>
      </c>
      <c r="D123" s="128">
        <f t="shared" si="14"/>
        <v>1</v>
      </c>
      <c r="E123" s="131" t="s">
        <v>142</v>
      </c>
      <c r="F123" s="134" t="s">
        <v>142</v>
      </c>
      <c r="G123" s="134" t="s">
        <v>142</v>
      </c>
      <c r="H123" s="134" t="s">
        <v>142</v>
      </c>
      <c r="I123" s="134" t="s">
        <v>142</v>
      </c>
      <c r="J123" s="134" t="s">
        <v>142</v>
      </c>
      <c r="K123" s="134" t="s">
        <v>142</v>
      </c>
      <c r="L123" s="134" t="s">
        <v>142</v>
      </c>
      <c r="M123" s="370"/>
      <c r="N123" s="137"/>
    </row>
    <row r="124" hidden="1" outlineLevel="1">
      <c r="A124" s="367" t="s">
        <v>789</v>
      </c>
      <c r="B124" s="309">
        <v>46262.0</v>
      </c>
      <c r="C124" s="368" t="str">
        <f t="shared" si="13"/>
        <v>Fri</v>
      </c>
      <c r="D124" s="143">
        <f t="shared" si="14"/>
        <v>1</v>
      </c>
      <c r="E124" s="144" t="s">
        <v>142</v>
      </c>
      <c r="F124" s="134" t="s">
        <v>142</v>
      </c>
      <c r="G124" s="134" t="s">
        <v>142</v>
      </c>
      <c r="H124" s="134" t="s">
        <v>142</v>
      </c>
      <c r="I124" s="134" t="s">
        <v>142</v>
      </c>
      <c r="J124" s="134" t="s">
        <v>142</v>
      </c>
      <c r="K124" s="134" t="s">
        <v>142</v>
      </c>
      <c r="L124" s="134" t="s">
        <v>142</v>
      </c>
      <c r="M124" s="370"/>
      <c r="N124" s="137"/>
    </row>
    <row r="125" hidden="1" outlineLevel="1">
      <c r="A125" s="367" t="s">
        <v>791</v>
      </c>
      <c r="B125" s="309">
        <v>46262.0</v>
      </c>
      <c r="C125" s="368" t="str">
        <f t="shared" si="13"/>
        <v>Fri</v>
      </c>
      <c r="D125" s="128">
        <f t="shared" si="14"/>
        <v>1</v>
      </c>
      <c r="E125" s="131" t="s">
        <v>142</v>
      </c>
      <c r="F125" s="134" t="s">
        <v>142</v>
      </c>
      <c r="G125" s="134" t="s">
        <v>142</v>
      </c>
      <c r="H125" s="134" t="s">
        <v>142</v>
      </c>
      <c r="I125" s="134" t="s">
        <v>142</v>
      </c>
      <c r="J125" s="134" t="s">
        <v>142</v>
      </c>
      <c r="K125" s="134" t="s">
        <v>142</v>
      </c>
      <c r="L125" s="134" t="s">
        <v>142</v>
      </c>
      <c r="M125" s="370"/>
      <c r="N125" s="137"/>
    </row>
    <row r="126" hidden="1" outlineLevel="1">
      <c r="A126" s="373"/>
      <c r="B126" s="373"/>
      <c r="C126" s="374" t="s">
        <v>199</v>
      </c>
      <c r="D126" s="414">
        <f>AVERAGE(D111:D125)</f>
        <v>1</v>
      </c>
      <c r="E126" s="391"/>
      <c r="F126" s="373"/>
      <c r="G126" s="373"/>
      <c r="H126" s="373"/>
      <c r="I126" s="373"/>
      <c r="J126" s="373"/>
      <c r="K126" s="373"/>
      <c r="L126" s="374" t="s">
        <v>199</v>
      </c>
      <c r="M126" s="377">
        <f>SUM(M111:M125)/75*0.1</f>
        <v>0</v>
      </c>
      <c r="N126" s="373"/>
    </row>
    <row r="127" collapsed="1">
      <c r="A127" s="85" t="s">
        <v>423</v>
      </c>
      <c r="B127" s="86"/>
      <c r="C127" s="86"/>
      <c r="D127" s="88"/>
      <c r="E127" s="361"/>
      <c r="F127" s="361"/>
      <c r="G127" s="361"/>
      <c r="H127" s="361"/>
      <c r="I127" s="361"/>
      <c r="J127" s="361"/>
      <c r="K127" s="361"/>
      <c r="L127" s="361"/>
      <c r="M127" s="361"/>
      <c r="N127" s="361"/>
    </row>
    <row r="128" hidden="1" outlineLevel="1">
      <c r="A128" s="362" t="s">
        <v>89</v>
      </c>
      <c r="B128" s="363" t="s">
        <v>90</v>
      </c>
      <c r="C128" s="363" t="s">
        <v>91</v>
      </c>
      <c r="D128" s="364" t="s">
        <v>93</v>
      </c>
      <c r="E128" s="365" t="s">
        <v>94</v>
      </c>
      <c r="F128" s="365" t="s">
        <v>95</v>
      </c>
      <c r="G128" s="366" t="s">
        <v>96</v>
      </c>
      <c r="H128" s="366" t="s">
        <v>97</v>
      </c>
      <c r="I128" s="366" t="s">
        <v>104</v>
      </c>
      <c r="J128" s="366" t="s">
        <v>106</v>
      </c>
      <c r="K128" s="366" t="s">
        <v>109</v>
      </c>
      <c r="L128" s="366" t="s">
        <v>111</v>
      </c>
      <c r="M128" s="363" t="s">
        <v>114</v>
      </c>
      <c r="N128" s="363" t="s">
        <v>116</v>
      </c>
    </row>
    <row r="129" hidden="1" outlineLevel="1">
      <c r="A129" s="372" t="s">
        <v>795</v>
      </c>
      <c r="B129" s="309">
        <v>46265.0</v>
      </c>
      <c r="C129" s="368" t="str">
        <f t="shared" ref="C129:C143" si="15">IF(B129="", "", TEXT(B129, "ddd"))</f>
        <v>Mon</v>
      </c>
      <c r="D129" s="128">
        <f t="shared" ref="D129:D143" si="16">IF(E129="Yes",0.05,0)
+IF(F129="Yes",0.1,0)
+IF(G129="Yes",0.15,0)
+IF(H129="Yes",0.15,0)
+IF(I129="Yes",0.05,0)
+IF(J129="Yes",0.05,0)
+IF(K129="Yes",0.15,0)
+IF(L129="Yes",0.3,0)
</f>
        <v>1</v>
      </c>
      <c r="E129" s="131" t="s">
        <v>142</v>
      </c>
      <c r="F129" s="134" t="s">
        <v>142</v>
      </c>
      <c r="G129" s="134" t="s">
        <v>142</v>
      </c>
      <c r="H129" s="134" t="s">
        <v>142</v>
      </c>
      <c r="I129" s="134" t="s">
        <v>142</v>
      </c>
      <c r="J129" s="134" t="s">
        <v>142</v>
      </c>
      <c r="K129" s="134" t="s">
        <v>142</v>
      </c>
      <c r="L129" s="134" t="s">
        <v>142</v>
      </c>
      <c r="M129" s="370"/>
      <c r="N129" s="137"/>
    </row>
    <row r="130" hidden="1" outlineLevel="1">
      <c r="A130" s="372" t="s">
        <v>797</v>
      </c>
      <c r="B130" s="309">
        <v>46265.0</v>
      </c>
      <c r="C130" s="368" t="str">
        <f t="shared" si="15"/>
        <v>Mon</v>
      </c>
      <c r="D130" s="143">
        <f t="shared" si="16"/>
        <v>1</v>
      </c>
      <c r="E130" s="144" t="s">
        <v>142</v>
      </c>
      <c r="F130" s="134" t="s">
        <v>142</v>
      </c>
      <c r="G130" s="134" t="s">
        <v>142</v>
      </c>
      <c r="H130" s="134" t="s">
        <v>142</v>
      </c>
      <c r="I130" s="134" t="s">
        <v>142</v>
      </c>
      <c r="J130" s="134" t="s">
        <v>142</v>
      </c>
      <c r="K130" s="134" t="s">
        <v>142</v>
      </c>
      <c r="L130" s="134" t="s">
        <v>142</v>
      </c>
      <c r="M130" s="370"/>
      <c r="N130" s="137"/>
    </row>
    <row r="131" hidden="1" outlineLevel="1">
      <c r="A131" s="372" t="s">
        <v>798</v>
      </c>
      <c r="B131" s="309">
        <v>46265.0</v>
      </c>
      <c r="C131" s="368" t="str">
        <f t="shared" si="15"/>
        <v>Mon</v>
      </c>
      <c r="D131" s="128">
        <f t="shared" si="16"/>
        <v>1</v>
      </c>
      <c r="E131" s="131" t="s">
        <v>142</v>
      </c>
      <c r="F131" s="134" t="s">
        <v>142</v>
      </c>
      <c r="G131" s="134" t="s">
        <v>142</v>
      </c>
      <c r="H131" s="134" t="s">
        <v>142</v>
      </c>
      <c r="I131" s="134" t="s">
        <v>142</v>
      </c>
      <c r="J131" s="134" t="s">
        <v>142</v>
      </c>
      <c r="K131" s="134" t="s">
        <v>142</v>
      </c>
      <c r="L131" s="134" t="s">
        <v>142</v>
      </c>
      <c r="M131" s="370"/>
      <c r="N131" s="137"/>
    </row>
    <row r="132" hidden="1" outlineLevel="1">
      <c r="A132" s="372" t="s">
        <v>799</v>
      </c>
      <c r="B132" s="309">
        <v>46266.0</v>
      </c>
      <c r="C132" s="368" t="str">
        <f t="shared" si="15"/>
        <v>Tue</v>
      </c>
      <c r="D132" s="143">
        <f t="shared" si="16"/>
        <v>1</v>
      </c>
      <c r="E132" s="144" t="s">
        <v>142</v>
      </c>
      <c r="F132" s="134" t="s">
        <v>142</v>
      </c>
      <c r="G132" s="134" t="s">
        <v>142</v>
      </c>
      <c r="H132" s="134" t="s">
        <v>142</v>
      </c>
      <c r="I132" s="134" t="s">
        <v>142</v>
      </c>
      <c r="J132" s="134" t="s">
        <v>142</v>
      </c>
      <c r="K132" s="134" t="s">
        <v>142</v>
      </c>
      <c r="L132" s="134" t="s">
        <v>142</v>
      </c>
      <c r="M132" s="370"/>
      <c r="N132" s="137"/>
    </row>
    <row r="133" hidden="1" outlineLevel="1">
      <c r="A133" s="372" t="s">
        <v>801</v>
      </c>
      <c r="B133" s="309">
        <v>46266.0</v>
      </c>
      <c r="C133" s="368" t="str">
        <f t="shared" si="15"/>
        <v>Tue</v>
      </c>
      <c r="D133" s="128">
        <f t="shared" si="16"/>
        <v>1</v>
      </c>
      <c r="E133" s="131" t="s">
        <v>142</v>
      </c>
      <c r="F133" s="134" t="s">
        <v>142</v>
      </c>
      <c r="G133" s="134" t="s">
        <v>142</v>
      </c>
      <c r="H133" s="134" t="s">
        <v>142</v>
      </c>
      <c r="I133" s="134" t="s">
        <v>142</v>
      </c>
      <c r="J133" s="134" t="s">
        <v>142</v>
      </c>
      <c r="K133" s="134" t="s">
        <v>142</v>
      </c>
      <c r="L133" s="134" t="s">
        <v>142</v>
      </c>
      <c r="M133" s="370"/>
      <c r="N133" s="137"/>
    </row>
    <row r="134" hidden="1" outlineLevel="1">
      <c r="A134" s="372" t="s">
        <v>804</v>
      </c>
      <c r="B134" s="309">
        <v>46266.0</v>
      </c>
      <c r="C134" s="368" t="str">
        <f t="shared" si="15"/>
        <v>Tue</v>
      </c>
      <c r="D134" s="143">
        <f t="shared" si="16"/>
        <v>1</v>
      </c>
      <c r="E134" s="144" t="s">
        <v>142</v>
      </c>
      <c r="F134" s="134" t="s">
        <v>142</v>
      </c>
      <c r="G134" s="134" t="s">
        <v>142</v>
      </c>
      <c r="H134" s="134" t="s">
        <v>142</v>
      </c>
      <c r="I134" s="134" t="s">
        <v>142</v>
      </c>
      <c r="J134" s="134" t="s">
        <v>142</v>
      </c>
      <c r="K134" s="134" t="s">
        <v>142</v>
      </c>
      <c r="L134" s="134" t="s">
        <v>142</v>
      </c>
      <c r="M134" s="370"/>
      <c r="N134" s="137"/>
    </row>
    <row r="135" hidden="1" outlineLevel="1">
      <c r="A135" s="372" t="s">
        <v>806</v>
      </c>
      <c r="B135" s="309">
        <v>46267.0</v>
      </c>
      <c r="C135" s="368" t="str">
        <f t="shared" si="15"/>
        <v>Wed</v>
      </c>
      <c r="D135" s="128">
        <f t="shared" si="16"/>
        <v>1</v>
      </c>
      <c r="E135" s="131" t="s">
        <v>142</v>
      </c>
      <c r="F135" s="134" t="s">
        <v>142</v>
      </c>
      <c r="G135" s="134" t="s">
        <v>142</v>
      </c>
      <c r="H135" s="134" t="s">
        <v>142</v>
      </c>
      <c r="I135" s="134" t="s">
        <v>142</v>
      </c>
      <c r="J135" s="134" t="s">
        <v>142</v>
      </c>
      <c r="K135" s="134" t="s">
        <v>142</v>
      </c>
      <c r="L135" s="134" t="s">
        <v>142</v>
      </c>
      <c r="M135" s="370"/>
      <c r="N135" s="137"/>
    </row>
    <row r="136" hidden="1" outlineLevel="1">
      <c r="A136" s="372" t="s">
        <v>808</v>
      </c>
      <c r="B136" s="309">
        <v>46267.0</v>
      </c>
      <c r="C136" s="368" t="str">
        <f t="shared" si="15"/>
        <v>Wed</v>
      </c>
      <c r="D136" s="143">
        <f t="shared" si="16"/>
        <v>1</v>
      </c>
      <c r="E136" s="144" t="s">
        <v>142</v>
      </c>
      <c r="F136" s="134" t="s">
        <v>142</v>
      </c>
      <c r="G136" s="134" t="s">
        <v>142</v>
      </c>
      <c r="H136" s="134" t="s">
        <v>142</v>
      </c>
      <c r="I136" s="134" t="s">
        <v>142</v>
      </c>
      <c r="J136" s="134" t="s">
        <v>142</v>
      </c>
      <c r="K136" s="134" t="s">
        <v>142</v>
      </c>
      <c r="L136" s="134" t="s">
        <v>142</v>
      </c>
      <c r="M136" s="370"/>
      <c r="N136" s="137"/>
    </row>
    <row r="137" hidden="1" outlineLevel="1">
      <c r="A137" s="372" t="s">
        <v>810</v>
      </c>
      <c r="B137" s="309">
        <v>46267.0</v>
      </c>
      <c r="C137" s="368" t="str">
        <f t="shared" si="15"/>
        <v>Wed</v>
      </c>
      <c r="D137" s="128">
        <f t="shared" si="16"/>
        <v>1</v>
      </c>
      <c r="E137" s="131" t="s">
        <v>142</v>
      </c>
      <c r="F137" s="134" t="s">
        <v>142</v>
      </c>
      <c r="G137" s="134" t="s">
        <v>142</v>
      </c>
      <c r="H137" s="134" t="s">
        <v>142</v>
      </c>
      <c r="I137" s="134" t="s">
        <v>142</v>
      </c>
      <c r="J137" s="134" t="s">
        <v>142</v>
      </c>
      <c r="K137" s="134" t="s">
        <v>142</v>
      </c>
      <c r="L137" s="134" t="s">
        <v>142</v>
      </c>
      <c r="M137" s="370"/>
      <c r="N137" s="137"/>
    </row>
    <row r="138" hidden="1" outlineLevel="1">
      <c r="A138" s="372" t="s">
        <v>821</v>
      </c>
      <c r="B138" s="309">
        <v>46268.0</v>
      </c>
      <c r="C138" s="368" t="str">
        <f t="shared" si="15"/>
        <v>Thu</v>
      </c>
      <c r="D138" s="143">
        <f t="shared" si="16"/>
        <v>1</v>
      </c>
      <c r="E138" s="144" t="s">
        <v>142</v>
      </c>
      <c r="F138" s="134" t="s">
        <v>142</v>
      </c>
      <c r="G138" s="134" t="s">
        <v>142</v>
      </c>
      <c r="H138" s="134" t="s">
        <v>142</v>
      </c>
      <c r="I138" s="134" t="s">
        <v>142</v>
      </c>
      <c r="J138" s="134" t="s">
        <v>142</v>
      </c>
      <c r="K138" s="134" t="s">
        <v>142</v>
      </c>
      <c r="L138" s="134" t="s">
        <v>142</v>
      </c>
      <c r="M138" s="370"/>
      <c r="N138" s="137"/>
    </row>
    <row r="139" hidden="1" outlineLevel="1">
      <c r="A139" s="372" t="s">
        <v>823</v>
      </c>
      <c r="B139" s="309">
        <v>46268.0</v>
      </c>
      <c r="C139" s="368" t="str">
        <f t="shared" si="15"/>
        <v>Thu</v>
      </c>
      <c r="D139" s="128">
        <f t="shared" si="16"/>
        <v>1</v>
      </c>
      <c r="E139" s="131" t="s">
        <v>142</v>
      </c>
      <c r="F139" s="134" t="s">
        <v>142</v>
      </c>
      <c r="G139" s="134" t="s">
        <v>142</v>
      </c>
      <c r="H139" s="134" t="s">
        <v>142</v>
      </c>
      <c r="I139" s="134" t="s">
        <v>142</v>
      </c>
      <c r="J139" s="134" t="s">
        <v>142</v>
      </c>
      <c r="K139" s="134" t="s">
        <v>142</v>
      </c>
      <c r="L139" s="134" t="s">
        <v>142</v>
      </c>
      <c r="M139" s="370"/>
      <c r="N139" s="137"/>
    </row>
    <row r="140" hidden="1" outlineLevel="1">
      <c r="A140" s="372" t="s">
        <v>825</v>
      </c>
      <c r="B140" s="309">
        <v>46268.0</v>
      </c>
      <c r="C140" s="368" t="str">
        <f t="shared" si="15"/>
        <v>Thu</v>
      </c>
      <c r="D140" s="143">
        <f t="shared" si="16"/>
        <v>1</v>
      </c>
      <c r="E140" s="144" t="s">
        <v>142</v>
      </c>
      <c r="F140" s="134" t="s">
        <v>142</v>
      </c>
      <c r="G140" s="134" t="s">
        <v>142</v>
      </c>
      <c r="H140" s="134" t="s">
        <v>142</v>
      </c>
      <c r="I140" s="134" t="s">
        <v>142</v>
      </c>
      <c r="J140" s="134" t="s">
        <v>142</v>
      </c>
      <c r="K140" s="134" t="s">
        <v>142</v>
      </c>
      <c r="L140" s="134" t="s">
        <v>142</v>
      </c>
      <c r="M140" s="370"/>
      <c r="N140" s="137"/>
    </row>
    <row r="141" hidden="1" outlineLevel="1">
      <c r="A141" s="372" t="s">
        <v>826</v>
      </c>
      <c r="B141" s="309">
        <v>46269.0</v>
      </c>
      <c r="C141" s="368" t="str">
        <f t="shared" si="15"/>
        <v>Fri</v>
      </c>
      <c r="D141" s="128">
        <f t="shared" si="16"/>
        <v>1</v>
      </c>
      <c r="E141" s="131" t="s">
        <v>142</v>
      </c>
      <c r="F141" s="134" t="s">
        <v>142</v>
      </c>
      <c r="G141" s="134" t="s">
        <v>142</v>
      </c>
      <c r="H141" s="134" t="s">
        <v>142</v>
      </c>
      <c r="I141" s="134" t="s">
        <v>142</v>
      </c>
      <c r="J141" s="134" t="s">
        <v>142</v>
      </c>
      <c r="K141" s="134" t="s">
        <v>142</v>
      </c>
      <c r="L141" s="134" t="s">
        <v>142</v>
      </c>
      <c r="M141" s="370"/>
      <c r="N141" s="137"/>
    </row>
    <row r="142" hidden="1" outlineLevel="1">
      <c r="A142" s="372" t="s">
        <v>828</v>
      </c>
      <c r="B142" s="309">
        <v>46269.0</v>
      </c>
      <c r="C142" s="368" t="str">
        <f t="shared" si="15"/>
        <v>Fri</v>
      </c>
      <c r="D142" s="143">
        <f t="shared" si="16"/>
        <v>1</v>
      </c>
      <c r="E142" s="144" t="s">
        <v>142</v>
      </c>
      <c r="F142" s="134" t="s">
        <v>142</v>
      </c>
      <c r="G142" s="134" t="s">
        <v>142</v>
      </c>
      <c r="H142" s="134" t="s">
        <v>142</v>
      </c>
      <c r="I142" s="134" t="s">
        <v>142</v>
      </c>
      <c r="J142" s="134" t="s">
        <v>142</v>
      </c>
      <c r="K142" s="134" t="s">
        <v>142</v>
      </c>
      <c r="L142" s="134" t="s">
        <v>142</v>
      </c>
      <c r="M142" s="370"/>
      <c r="N142" s="137"/>
    </row>
    <row r="143" hidden="1" outlineLevel="1">
      <c r="A143" s="372" t="s">
        <v>829</v>
      </c>
      <c r="B143" s="309">
        <v>46269.0</v>
      </c>
      <c r="C143" s="368" t="str">
        <f t="shared" si="15"/>
        <v>Fri</v>
      </c>
      <c r="D143" s="128">
        <f t="shared" si="16"/>
        <v>1</v>
      </c>
      <c r="E143" s="131" t="s">
        <v>142</v>
      </c>
      <c r="F143" s="134" t="s">
        <v>142</v>
      </c>
      <c r="G143" s="134" t="s">
        <v>142</v>
      </c>
      <c r="H143" s="134" t="s">
        <v>142</v>
      </c>
      <c r="I143" s="134" t="s">
        <v>142</v>
      </c>
      <c r="J143" s="134" t="s">
        <v>142</v>
      </c>
      <c r="K143" s="134" t="s">
        <v>142</v>
      </c>
      <c r="L143" s="134" t="s">
        <v>142</v>
      </c>
      <c r="M143" s="370"/>
      <c r="N143" s="137"/>
    </row>
    <row r="144" hidden="1" outlineLevel="1">
      <c r="A144" s="373"/>
      <c r="B144" s="373"/>
      <c r="C144" s="374" t="s">
        <v>199</v>
      </c>
      <c r="D144" s="414">
        <f>AVERAGE(D129:D143)</f>
        <v>1</v>
      </c>
      <c r="E144" s="391"/>
      <c r="F144" s="373"/>
      <c r="G144" s="373"/>
      <c r="H144" s="373"/>
      <c r="I144" s="373"/>
      <c r="J144" s="373"/>
      <c r="K144" s="373"/>
      <c r="L144" s="374" t="s">
        <v>199</v>
      </c>
      <c r="M144" s="377">
        <f>SUM(M129:M143)/75*0.1</f>
        <v>0</v>
      </c>
      <c r="N144" s="373"/>
    </row>
    <row r="145" collapsed="1">
      <c r="A145" s="85" t="s">
        <v>450</v>
      </c>
      <c r="B145" s="86"/>
      <c r="C145" s="86"/>
      <c r="D145" s="88"/>
      <c r="E145" s="361"/>
      <c r="F145" s="361"/>
      <c r="G145" s="361"/>
      <c r="H145" s="361"/>
      <c r="I145" s="361"/>
      <c r="J145" s="361"/>
      <c r="K145" s="361"/>
      <c r="L145" s="361"/>
      <c r="M145" s="361"/>
      <c r="N145" s="361"/>
    </row>
    <row r="146" hidden="1" outlineLevel="1">
      <c r="A146" s="362" t="s">
        <v>89</v>
      </c>
      <c r="B146" s="363" t="s">
        <v>90</v>
      </c>
      <c r="C146" s="363" t="s">
        <v>91</v>
      </c>
      <c r="D146" s="364" t="s">
        <v>93</v>
      </c>
      <c r="E146" s="365" t="s">
        <v>94</v>
      </c>
      <c r="F146" s="365" t="s">
        <v>95</v>
      </c>
      <c r="G146" s="366" t="s">
        <v>96</v>
      </c>
      <c r="H146" s="366" t="s">
        <v>97</v>
      </c>
      <c r="I146" s="366" t="s">
        <v>104</v>
      </c>
      <c r="J146" s="366" t="s">
        <v>106</v>
      </c>
      <c r="K146" s="366" t="s">
        <v>109</v>
      </c>
      <c r="L146" s="366" t="s">
        <v>111</v>
      </c>
      <c r="M146" s="363" t="s">
        <v>114</v>
      </c>
      <c r="N146" s="363" t="s">
        <v>116</v>
      </c>
    </row>
    <row r="147" hidden="1" outlineLevel="1">
      <c r="A147" s="372" t="s">
        <v>834</v>
      </c>
      <c r="B147" s="309">
        <v>46272.0</v>
      </c>
      <c r="C147" s="368" t="str">
        <f t="shared" ref="C147:C161" si="17">IF(B147="", "", TEXT(B147, "ddd"))</f>
        <v>Mon</v>
      </c>
      <c r="D147" s="128">
        <f t="shared" ref="D147:D161" si="18">IF(E147="Yes",0.05,0)
+IF(F147="Yes",0.1,0)
+IF(G147="Yes",0.15,0)
+IF(H147="Yes",0.15,0)
+IF(I147="Yes",0.05,0)
+IF(J147="Yes",0.05,0)
+IF(K147="Yes",0.15,0)
+IF(L147="Yes",0.3,0)
</f>
        <v>1</v>
      </c>
      <c r="E147" s="131" t="s">
        <v>142</v>
      </c>
      <c r="F147" s="134" t="s">
        <v>142</v>
      </c>
      <c r="G147" s="134" t="s">
        <v>142</v>
      </c>
      <c r="H147" s="134" t="s">
        <v>142</v>
      </c>
      <c r="I147" s="134" t="s">
        <v>142</v>
      </c>
      <c r="J147" s="134" t="s">
        <v>142</v>
      </c>
      <c r="K147" s="134" t="s">
        <v>142</v>
      </c>
      <c r="L147" s="134" t="s">
        <v>142</v>
      </c>
      <c r="M147" s="370"/>
      <c r="N147" s="137"/>
    </row>
    <row r="148" hidden="1" outlineLevel="1">
      <c r="A148" s="372" t="s">
        <v>838</v>
      </c>
      <c r="B148" s="309">
        <v>46272.0</v>
      </c>
      <c r="C148" s="368" t="str">
        <f t="shared" si="17"/>
        <v>Mon</v>
      </c>
      <c r="D148" s="143">
        <f t="shared" si="18"/>
        <v>1</v>
      </c>
      <c r="E148" s="144" t="s">
        <v>142</v>
      </c>
      <c r="F148" s="134" t="s">
        <v>142</v>
      </c>
      <c r="G148" s="134" t="s">
        <v>142</v>
      </c>
      <c r="H148" s="134" t="s">
        <v>142</v>
      </c>
      <c r="I148" s="134" t="s">
        <v>142</v>
      </c>
      <c r="J148" s="134" t="s">
        <v>142</v>
      </c>
      <c r="K148" s="134" t="s">
        <v>142</v>
      </c>
      <c r="L148" s="134" t="s">
        <v>142</v>
      </c>
      <c r="M148" s="370"/>
      <c r="N148" s="137"/>
    </row>
    <row r="149" hidden="1" outlineLevel="1">
      <c r="A149" s="372" t="s">
        <v>841</v>
      </c>
      <c r="B149" s="309">
        <v>46272.0</v>
      </c>
      <c r="C149" s="368" t="str">
        <f t="shared" si="17"/>
        <v>Mon</v>
      </c>
      <c r="D149" s="128">
        <f t="shared" si="18"/>
        <v>1</v>
      </c>
      <c r="E149" s="131" t="s">
        <v>142</v>
      </c>
      <c r="F149" s="134" t="s">
        <v>142</v>
      </c>
      <c r="G149" s="134" t="s">
        <v>142</v>
      </c>
      <c r="H149" s="134" t="s">
        <v>142</v>
      </c>
      <c r="I149" s="134" t="s">
        <v>142</v>
      </c>
      <c r="J149" s="134" t="s">
        <v>142</v>
      </c>
      <c r="K149" s="134" t="s">
        <v>142</v>
      </c>
      <c r="L149" s="134" t="s">
        <v>142</v>
      </c>
      <c r="M149" s="370"/>
      <c r="N149" s="137"/>
    </row>
    <row r="150" hidden="1" outlineLevel="1">
      <c r="A150" s="372" t="s">
        <v>843</v>
      </c>
      <c r="B150" s="309">
        <v>46273.0</v>
      </c>
      <c r="C150" s="368" t="str">
        <f t="shared" si="17"/>
        <v>Tue</v>
      </c>
      <c r="D150" s="143">
        <f t="shared" si="18"/>
        <v>1</v>
      </c>
      <c r="E150" s="144" t="s">
        <v>142</v>
      </c>
      <c r="F150" s="134" t="s">
        <v>142</v>
      </c>
      <c r="G150" s="134" t="s">
        <v>142</v>
      </c>
      <c r="H150" s="134" t="s">
        <v>142</v>
      </c>
      <c r="I150" s="134" t="s">
        <v>142</v>
      </c>
      <c r="J150" s="134" t="s">
        <v>142</v>
      </c>
      <c r="K150" s="134" t="s">
        <v>142</v>
      </c>
      <c r="L150" s="134" t="s">
        <v>142</v>
      </c>
      <c r="M150" s="370"/>
      <c r="N150" s="137"/>
    </row>
    <row r="151" hidden="1" outlineLevel="1">
      <c r="A151" s="372" t="s">
        <v>845</v>
      </c>
      <c r="B151" s="309">
        <v>46273.0</v>
      </c>
      <c r="C151" s="368" t="str">
        <f t="shared" si="17"/>
        <v>Tue</v>
      </c>
      <c r="D151" s="128">
        <f t="shared" si="18"/>
        <v>1</v>
      </c>
      <c r="E151" s="131" t="s">
        <v>142</v>
      </c>
      <c r="F151" s="134" t="s">
        <v>142</v>
      </c>
      <c r="G151" s="134" t="s">
        <v>142</v>
      </c>
      <c r="H151" s="134" t="s">
        <v>142</v>
      </c>
      <c r="I151" s="134" t="s">
        <v>142</v>
      </c>
      <c r="J151" s="134" t="s">
        <v>142</v>
      </c>
      <c r="K151" s="134" t="s">
        <v>142</v>
      </c>
      <c r="L151" s="134" t="s">
        <v>142</v>
      </c>
      <c r="M151" s="370"/>
      <c r="N151" s="137"/>
    </row>
    <row r="152" hidden="1" outlineLevel="1">
      <c r="A152" s="372" t="s">
        <v>847</v>
      </c>
      <c r="B152" s="309">
        <v>46273.0</v>
      </c>
      <c r="C152" s="368" t="str">
        <f t="shared" si="17"/>
        <v>Tue</v>
      </c>
      <c r="D152" s="143">
        <f t="shared" si="18"/>
        <v>1</v>
      </c>
      <c r="E152" s="144" t="s">
        <v>142</v>
      </c>
      <c r="F152" s="134" t="s">
        <v>142</v>
      </c>
      <c r="G152" s="134" t="s">
        <v>142</v>
      </c>
      <c r="H152" s="134" t="s">
        <v>142</v>
      </c>
      <c r="I152" s="134" t="s">
        <v>142</v>
      </c>
      <c r="J152" s="134" t="s">
        <v>142</v>
      </c>
      <c r="K152" s="134" t="s">
        <v>142</v>
      </c>
      <c r="L152" s="134" t="s">
        <v>142</v>
      </c>
      <c r="M152" s="370"/>
      <c r="N152" s="137"/>
    </row>
    <row r="153" hidden="1" outlineLevel="1">
      <c r="A153" s="372" t="s">
        <v>850</v>
      </c>
      <c r="B153" s="309">
        <v>46274.0</v>
      </c>
      <c r="C153" s="368" t="str">
        <f t="shared" si="17"/>
        <v>Wed</v>
      </c>
      <c r="D153" s="128">
        <f t="shared" si="18"/>
        <v>1</v>
      </c>
      <c r="E153" s="131" t="s">
        <v>142</v>
      </c>
      <c r="F153" s="134" t="s">
        <v>142</v>
      </c>
      <c r="G153" s="134" t="s">
        <v>142</v>
      </c>
      <c r="H153" s="134" t="s">
        <v>142</v>
      </c>
      <c r="I153" s="134" t="s">
        <v>142</v>
      </c>
      <c r="J153" s="134" t="s">
        <v>142</v>
      </c>
      <c r="K153" s="134" t="s">
        <v>142</v>
      </c>
      <c r="L153" s="134" t="s">
        <v>142</v>
      </c>
      <c r="M153" s="370"/>
      <c r="N153" s="137"/>
    </row>
    <row r="154" hidden="1" outlineLevel="1">
      <c r="A154" s="372" t="s">
        <v>852</v>
      </c>
      <c r="B154" s="309">
        <v>46274.0</v>
      </c>
      <c r="C154" s="368" t="str">
        <f t="shared" si="17"/>
        <v>Wed</v>
      </c>
      <c r="D154" s="143">
        <f t="shared" si="18"/>
        <v>1</v>
      </c>
      <c r="E154" s="144" t="s">
        <v>142</v>
      </c>
      <c r="F154" s="134" t="s">
        <v>142</v>
      </c>
      <c r="G154" s="134" t="s">
        <v>142</v>
      </c>
      <c r="H154" s="134" t="s">
        <v>142</v>
      </c>
      <c r="I154" s="134" t="s">
        <v>142</v>
      </c>
      <c r="J154" s="134" t="s">
        <v>142</v>
      </c>
      <c r="K154" s="134" t="s">
        <v>142</v>
      </c>
      <c r="L154" s="134" t="s">
        <v>142</v>
      </c>
      <c r="M154" s="370"/>
      <c r="N154" s="137"/>
    </row>
    <row r="155" hidden="1" outlineLevel="1">
      <c r="A155" s="372" t="s">
        <v>853</v>
      </c>
      <c r="B155" s="309">
        <v>46274.0</v>
      </c>
      <c r="C155" s="368" t="str">
        <f t="shared" si="17"/>
        <v>Wed</v>
      </c>
      <c r="D155" s="128">
        <f t="shared" si="18"/>
        <v>1</v>
      </c>
      <c r="E155" s="131" t="s">
        <v>142</v>
      </c>
      <c r="F155" s="134" t="s">
        <v>142</v>
      </c>
      <c r="G155" s="134" t="s">
        <v>142</v>
      </c>
      <c r="H155" s="134" t="s">
        <v>142</v>
      </c>
      <c r="I155" s="134" t="s">
        <v>142</v>
      </c>
      <c r="J155" s="134" t="s">
        <v>142</v>
      </c>
      <c r="K155" s="134" t="s">
        <v>142</v>
      </c>
      <c r="L155" s="134" t="s">
        <v>142</v>
      </c>
      <c r="M155" s="370"/>
      <c r="N155" s="137"/>
    </row>
    <row r="156" hidden="1" outlineLevel="1">
      <c r="A156" s="372" t="s">
        <v>854</v>
      </c>
      <c r="B156" s="309">
        <v>46275.0</v>
      </c>
      <c r="C156" s="368" t="str">
        <f t="shared" si="17"/>
        <v>Thu</v>
      </c>
      <c r="D156" s="143">
        <f t="shared" si="18"/>
        <v>1</v>
      </c>
      <c r="E156" s="144" t="s">
        <v>142</v>
      </c>
      <c r="F156" s="134" t="s">
        <v>142</v>
      </c>
      <c r="G156" s="134" t="s">
        <v>142</v>
      </c>
      <c r="H156" s="134" t="s">
        <v>142</v>
      </c>
      <c r="I156" s="134" t="s">
        <v>142</v>
      </c>
      <c r="J156" s="134" t="s">
        <v>142</v>
      </c>
      <c r="K156" s="134" t="s">
        <v>142</v>
      </c>
      <c r="L156" s="134" t="s">
        <v>142</v>
      </c>
      <c r="M156" s="370"/>
      <c r="N156" s="137"/>
    </row>
    <row r="157" hidden="1" outlineLevel="1">
      <c r="A157" s="372" t="s">
        <v>856</v>
      </c>
      <c r="B157" s="309">
        <v>46275.0</v>
      </c>
      <c r="C157" s="368" t="str">
        <f t="shared" si="17"/>
        <v>Thu</v>
      </c>
      <c r="D157" s="128">
        <f t="shared" si="18"/>
        <v>1</v>
      </c>
      <c r="E157" s="131" t="s">
        <v>142</v>
      </c>
      <c r="F157" s="134" t="s">
        <v>142</v>
      </c>
      <c r="G157" s="134" t="s">
        <v>142</v>
      </c>
      <c r="H157" s="134" t="s">
        <v>142</v>
      </c>
      <c r="I157" s="134" t="s">
        <v>142</v>
      </c>
      <c r="J157" s="134" t="s">
        <v>142</v>
      </c>
      <c r="K157" s="134" t="s">
        <v>142</v>
      </c>
      <c r="L157" s="134" t="s">
        <v>142</v>
      </c>
      <c r="M157" s="370"/>
      <c r="N157" s="137"/>
    </row>
    <row r="158" hidden="1" outlineLevel="1">
      <c r="A158" s="372" t="s">
        <v>858</v>
      </c>
      <c r="B158" s="309">
        <v>46275.0</v>
      </c>
      <c r="C158" s="368" t="str">
        <f t="shared" si="17"/>
        <v>Thu</v>
      </c>
      <c r="D158" s="143">
        <f t="shared" si="18"/>
        <v>1</v>
      </c>
      <c r="E158" s="144" t="s">
        <v>142</v>
      </c>
      <c r="F158" s="134" t="s">
        <v>142</v>
      </c>
      <c r="G158" s="134" t="s">
        <v>142</v>
      </c>
      <c r="H158" s="134" t="s">
        <v>142</v>
      </c>
      <c r="I158" s="134" t="s">
        <v>142</v>
      </c>
      <c r="J158" s="134" t="s">
        <v>142</v>
      </c>
      <c r="K158" s="134" t="s">
        <v>142</v>
      </c>
      <c r="L158" s="134" t="s">
        <v>142</v>
      </c>
      <c r="M158" s="370"/>
      <c r="N158" s="137"/>
    </row>
    <row r="159" hidden="1" outlineLevel="1">
      <c r="A159" s="372" t="s">
        <v>859</v>
      </c>
      <c r="B159" s="309">
        <v>46276.0</v>
      </c>
      <c r="C159" s="368" t="str">
        <f t="shared" si="17"/>
        <v>Fri</v>
      </c>
      <c r="D159" s="128">
        <f t="shared" si="18"/>
        <v>1</v>
      </c>
      <c r="E159" s="131" t="s">
        <v>142</v>
      </c>
      <c r="F159" s="134" t="s">
        <v>142</v>
      </c>
      <c r="G159" s="134" t="s">
        <v>142</v>
      </c>
      <c r="H159" s="134" t="s">
        <v>142</v>
      </c>
      <c r="I159" s="134" t="s">
        <v>142</v>
      </c>
      <c r="J159" s="134" t="s">
        <v>142</v>
      </c>
      <c r="K159" s="134" t="s">
        <v>142</v>
      </c>
      <c r="L159" s="134" t="s">
        <v>142</v>
      </c>
      <c r="M159" s="370"/>
      <c r="N159" s="137"/>
    </row>
    <row r="160" hidden="1" outlineLevel="1">
      <c r="A160" s="372" t="s">
        <v>862</v>
      </c>
      <c r="B160" s="309">
        <v>46276.0</v>
      </c>
      <c r="C160" s="368" t="str">
        <f t="shared" si="17"/>
        <v>Fri</v>
      </c>
      <c r="D160" s="143">
        <f t="shared" si="18"/>
        <v>1</v>
      </c>
      <c r="E160" s="144" t="s">
        <v>142</v>
      </c>
      <c r="F160" s="134" t="s">
        <v>142</v>
      </c>
      <c r="G160" s="134" t="s">
        <v>142</v>
      </c>
      <c r="H160" s="134" t="s">
        <v>142</v>
      </c>
      <c r="I160" s="134" t="s">
        <v>142</v>
      </c>
      <c r="J160" s="134" t="s">
        <v>142</v>
      </c>
      <c r="K160" s="134" t="s">
        <v>142</v>
      </c>
      <c r="L160" s="134" t="s">
        <v>142</v>
      </c>
      <c r="M160" s="370"/>
      <c r="N160" s="137"/>
    </row>
    <row r="161" hidden="1" outlineLevel="1">
      <c r="A161" s="372" t="s">
        <v>863</v>
      </c>
      <c r="B161" s="309">
        <v>46276.0</v>
      </c>
      <c r="C161" s="368" t="str">
        <f t="shared" si="17"/>
        <v>Fri</v>
      </c>
      <c r="D161" s="128">
        <f t="shared" si="18"/>
        <v>1</v>
      </c>
      <c r="E161" s="131" t="s">
        <v>142</v>
      </c>
      <c r="F161" s="134" t="s">
        <v>142</v>
      </c>
      <c r="G161" s="134" t="s">
        <v>142</v>
      </c>
      <c r="H161" s="134" t="s">
        <v>142</v>
      </c>
      <c r="I161" s="134" t="s">
        <v>142</v>
      </c>
      <c r="J161" s="134" t="s">
        <v>142</v>
      </c>
      <c r="K161" s="134" t="s">
        <v>142</v>
      </c>
      <c r="L161" s="134" t="s">
        <v>142</v>
      </c>
      <c r="M161" s="370"/>
      <c r="N161" s="137"/>
    </row>
    <row r="162" hidden="1" outlineLevel="1">
      <c r="A162" s="373"/>
      <c r="B162" s="373"/>
      <c r="C162" s="374" t="s">
        <v>199</v>
      </c>
      <c r="D162" s="414">
        <f>AVERAGE(D147:D161)</f>
        <v>1</v>
      </c>
      <c r="E162" s="391"/>
      <c r="F162" s="373"/>
      <c r="G162" s="373"/>
      <c r="H162" s="373"/>
      <c r="I162" s="373"/>
      <c r="J162" s="373"/>
      <c r="K162" s="373"/>
      <c r="L162" s="374" t="s">
        <v>199</v>
      </c>
      <c r="M162" s="377">
        <f>SUM(M147:M161)/75*0.1</f>
        <v>0</v>
      </c>
      <c r="N162" s="373"/>
    </row>
    <row r="163" collapsed="1">
      <c r="A163" s="85" t="s">
        <v>471</v>
      </c>
      <c r="B163" s="86"/>
      <c r="C163" s="86"/>
      <c r="D163" s="88"/>
      <c r="E163" s="361"/>
      <c r="F163" s="361"/>
      <c r="G163" s="361"/>
      <c r="H163" s="361"/>
      <c r="I163" s="361"/>
      <c r="J163" s="361"/>
      <c r="K163" s="361"/>
      <c r="L163" s="361"/>
      <c r="M163" s="361"/>
      <c r="N163" s="361"/>
    </row>
    <row r="164" hidden="1" outlineLevel="1">
      <c r="A164" s="362" t="s">
        <v>89</v>
      </c>
      <c r="B164" s="363" t="s">
        <v>90</v>
      </c>
      <c r="C164" s="363" t="s">
        <v>91</v>
      </c>
      <c r="D164" s="364" t="s">
        <v>93</v>
      </c>
      <c r="E164" s="365" t="s">
        <v>94</v>
      </c>
      <c r="F164" s="365" t="s">
        <v>95</v>
      </c>
      <c r="G164" s="366" t="s">
        <v>96</v>
      </c>
      <c r="H164" s="366" t="s">
        <v>97</v>
      </c>
      <c r="I164" s="366" t="s">
        <v>104</v>
      </c>
      <c r="J164" s="366" t="s">
        <v>106</v>
      </c>
      <c r="K164" s="366" t="s">
        <v>109</v>
      </c>
      <c r="L164" s="366" t="s">
        <v>111</v>
      </c>
      <c r="M164" s="363" t="s">
        <v>114</v>
      </c>
      <c r="N164" s="363" t="s">
        <v>116</v>
      </c>
    </row>
    <row r="165" hidden="1" outlineLevel="1">
      <c r="A165" s="372" t="s">
        <v>873</v>
      </c>
      <c r="B165" s="309">
        <v>46279.0</v>
      </c>
      <c r="C165" s="368" t="str">
        <f t="shared" ref="C165:C179" si="19">IF(B165="", "", TEXT(B165, "ddd"))</f>
        <v>Mon</v>
      </c>
      <c r="D165" s="128">
        <f t="shared" ref="D165:D179" si="20">IF(E165="Yes",0.05,0)
+IF(F165="Yes",0.1,0)
+IF(G165="Yes",0.15,0)
+IF(H165="Yes",0.15,0)
+IF(I165="Yes",0.05,0)
+IF(J165="Yes",0.05,0)
+IF(K165="Yes",0.15,0)
+IF(L165="Yes",0.3,0)
</f>
        <v>1</v>
      </c>
      <c r="E165" s="131" t="s">
        <v>142</v>
      </c>
      <c r="F165" s="134" t="s">
        <v>142</v>
      </c>
      <c r="G165" s="134" t="s">
        <v>142</v>
      </c>
      <c r="H165" s="134" t="s">
        <v>142</v>
      </c>
      <c r="I165" s="134" t="s">
        <v>142</v>
      </c>
      <c r="J165" s="134" t="s">
        <v>142</v>
      </c>
      <c r="K165" s="134" t="s">
        <v>142</v>
      </c>
      <c r="L165" s="134" t="s">
        <v>142</v>
      </c>
      <c r="M165" s="370"/>
      <c r="N165" s="137"/>
    </row>
    <row r="166" hidden="1" outlineLevel="1">
      <c r="A166" s="372" t="s">
        <v>877</v>
      </c>
      <c r="B166" s="309">
        <v>46279.0</v>
      </c>
      <c r="C166" s="368" t="str">
        <f t="shared" si="19"/>
        <v>Mon</v>
      </c>
      <c r="D166" s="143">
        <f t="shared" si="20"/>
        <v>1</v>
      </c>
      <c r="E166" s="144" t="s">
        <v>142</v>
      </c>
      <c r="F166" s="134" t="s">
        <v>142</v>
      </c>
      <c r="G166" s="134" t="s">
        <v>142</v>
      </c>
      <c r="H166" s="134" t="s">
        <v>142</v>
      </c>
      <c r="I166" s="134" t="s">
        <v>142</v>
      </c>
      <c r="J166" s="134" t="s">
        <v>142</v>
      </c>
      <c r="K166" s="134" t="s">
        <v>142</v>
      </c>
      <c r="L166" s="134" t="s">
        <v>142</v>
      </c>
      <c r="M166" s="370"/>
      <c r="N166" s="137"/>
    </row>
    <row r="167" hidden="1" outlineLevel="1">
      <c r="A167" s="372" t="s">
        <v>879</v>
      </c>
      <c r="B167" s="309">
        <v>46279.0</v>
      </c>
      <c r="C167" s="368" t="str">
        <f t="shared" si="19"/>
        <v>Mon</v>
      </c>
      <c r="D167" s="128">
        <f t="shared" si="20"/>
        <v>1</v>
      </c>
      <c r="E167" s="131" t="s">
        <v>142</v>
      </c>
      <c r="F167" s="134" t="s">
        <v>142</v>
      </c>
      <c r="G167" s="134" t="s">
        <v>142</v>
      </c>
      <c r="H167" s="134" t="s">
        <v>142</v>
      </c>
      <c r="I167" s="134" t="s">
        <v>142</v>
      </c>
      <c r="J167" s="134" t="s">
        <v>142</v>
      </c>
      <c r="K167" s="134" t="s">
        <v>142</v>
      </c>
      <c r="L167" s="134" t="s">
        <v>142</v>
      </c>
      <c r="M167" s="370"/>
      <c r="N167" s="137"/>
    </row>
    <row r="168" hidden="1" outlineLevel="1">
      <c r="A168" s="372" t="s">
        <v>881</v>
      </c>
      <c r="B168" s="309">
        <v>46280.0</v>
      </c>
      <c r="C168" s="368" t="str">
        <f t="shared" si="19"/>
        <v>Tue</v>
      </c>
      <c r="D168" s="143">
        <f t="shared" si="20"/>
        <v>1</v>
      </c>
      <c r="E168" s="144" t="s">
        <v>142</v>
      </c>
      <c r="F168" s="134" t="s">
        <v>142</v>
      </c>
      <c r="G168" s="134" t="s">
        <v>142</v>
      </c>
      <c r="H168" s="134" t="s">
        <v>142</v>
      </c>
      <c r="I168" s="134" t="s">
        <v>142</v>
      </c>
      <c r="J168" s="134" t="s">
        <v>142</v>
      </c>
      <c r="K168" s="134" t="s">
        <v>142</v>
      </c>
      <c r="L168" s="134" t="s">
        <v>142</v>
      </c>
      <c r="M168" s="370"/>
      <c r="N168" s="137"/>
    </row>
    <row r="169" hidden="1" outlineLevel="1">
      <c r="A169" s="372" t="s">
        <v>883</v>
      </c>
      <c r="B169" s="309">
        <v>46280.0</v>
      </c>
      <c r="C169" s="368" t="str">
        <f t="shared" si="19"/>
        <v>Tue</v>
      </c>
      <c r="D169" s="128">
        <f t="shared" si="20"/>
        <v>1</v>
      </c>
      <c r="E169" s="131" t="s">
        <v>142</v>
      </c>
      <c r="F169" s="134" t="s">
        <v>142</v>
      </c>
      <c r="G169" s="134" t="s">
        <v>142</v>
      </c>
      <c r="H169" s="134" t="s">
        <v>142</v>
      </c>
      <c r="I169" s="134" t="s">
        <v>142</v>
      </c>
      <c r="J169" s="134" t="s">
        <v>142</v>
      </c>
      <c r="K169" s="134" t="s">
        <v>142</v>
      </c>
      <c r="L169" s="134" t="s">
        <v>142</v>
      </c>
      <c r="M169" s="370"/>
      <c r="N169" s="137"/>
    </row>
    <row r="170" hidden="1" outlineLevel="1">
      <c r="A170" s="372" t="s">
        <v>886</v>
      </c>
      <c r="B170" s="309">
        <v>46280.0</v>
      </c>
      <c r="C170" s="368" t="str">
        <f t="shared" si="19"/>
        <v>Tue</v>
      </c>
      <c r="D170" s="143">
        <f t="shared" si="20"/>
        <v>1</v>
      </c>
      <c r="E170" s="144" t="s">
        <v>142</v>
      </c>
      <c r="F170" s="134" t="s">
        <v>142</v>
      </c>
      <c r="G170" s="134" t="s">
        <v>142</v>
      </c>
      <c r="H170" s="134" t="s">
        <v>142</v>
      </c>
      <c r="I170" s="134" t="s">
        <v>142</v>
      </c>
      <c r="J170" s="134" t="s">
        <v>142</v>
      </c>
      <c r="K170" s="134" t="s">
        <v>142</v>
      </c>
      <c r="L170" s="134" t="s">
        <v>142</v>
      </c>
      <c r="M170" s="370"/>
      <c r="N170" s="137"/>
    </row>
    <row r="171" hidden="1" outlineLevel="1">
      <c r="A171" s="367" t="s">
        <v>887</v>
      </c>
      <c r="B171" s="309">
        <v>46281.0</v>
      </c>
      <c r="C171" s="368" t="str">
        <f t="shared" si="19"/>
        <v>Wed</v>
      </c>
      <c r="D171" s="128">
        <f t="shared" si="20"/>
        <v>1</v>
      </c>
      <c r="E171" s="131" t="s">
        <v>142</v>
      </c>
      <c r="F171" s="134" t="s">
        <v>142</v>
      </c>
      <c r="G171" s="134" t="s">
        <v>142</v>
      </c>
      <c r="H171" s="134" t="s">
        <v>142</v>
      </c>
      <c r="I171" s="134" t="s">
        <v>142</v>
      </c>
      <c r="J171" s="134" t="s">
        <v>142</v>
      </c>
      <c r="K171" s="134" t="s">
        <v>142</v>
      </c>
      <c r="L171" s="134" t="s">
        <v>142</v>
      </c>
      <c r="M171" s="370"/>
      <c r="N171" s="137"/>
    </row>
    <row r="172" hidden="1" outlineLevel="1">
      <c r="A172" s="367" t="s">
        <v>889</v>
      </c>
      <c r="B172" s="309">
        <v>46281.0</v>
      </c>
      <c r="C172" s="368" t="str">
        <f t="shared" si="19"/>
        <v>Wed</v>
      </c>
      <c r="D172" s="143">
        <f t="shared" si="20"/>
        <v>1</v>
      </c>
      <c r="E172" s="144" t="s">
        <v>142</v>
      </c>
      <c r="F172" s="134" t="s">
        <v>142</v>
      </c>
      <c r="G172" s="134" t="s">
        <v>142</v>
      </c>
      <c r="H172" s="134" t="s">
        <v>142</v>
      </c>
      <c r="I172" s="134" t="s">
        <v>142</v>
      </c>
      <c r="J172" s="134" t="s">
        <v>142</v>
      </c>
      <c r="K172" s="134" t="s">
        <v>142</v>
      </c>
      <c r="L172" s="134" t="s">
        <v>142</v>
      </c>
      <c r="M172" s="370"/>
      <c r="N172" s="137"/>
    </row>
    <row r="173" hidden="1" outlineLevel="1">
      <c r="A173" s="367" t="s">
        <v>891</v>
      </c>
      <c r="B173" s="309">
        <v>46281.0</v>
      </c>
      <c r="C173" s="368" t="str">
        <f t="shared" si="19"/>
        <v>Wed</v>
      </c>
      <c r="D173" s="128">
        <f t="shared" si="20"/>
        <v>1</v>
      </c>
      <c r="E173" s="131" t="s">
        <v>142</v>
      </c>
      <c r="F173" s="134" t="s">
        <v>142</v>
      </c>
      <c r="G173" s="134" t="s">
        <v>142</v>
      </c>
      <c r="H173" s="134" t="s">
        <v>142</v>
      </c>
      <c r="I173" s="134" t="s">
        <v>142</v>
      </c>
      <c r="J173" s="134" t="s">
        <v>142</v>
      </c>
      <c r="K173" s="134" t="s">
        <v>142</v>
      </c>
      <c r="L173" s="134" t="s">
        <v>142</v>
      </c>
      <c r="M173" s="370"/>
      <c r="N173" s="137"/>
    </row>
    <row r="174" hidden="1" outlineLevel="1">
      <c r="A174" s="367" t="s">
        <v>892</v>
      </c>
      <c r="B174" s="309">
        <v>46282.0</v>
      </c>
      <c r="C174" s="368" t="str">
        <f t="shared" si="19"/>
        <v>Thu</v>
      </c>
      <c r="D174" s="143">
        <f t="shared" si="20"/>
        <v>1</v>
      </c>
      <c r="E174" s="144" t="s">
        <v>142</v>
      </c>
      <c r="F174" s="134" t="s">
        <v>142</v>
      </c>
      <c r="G174" s="134" t="s">
        <v>142</v>
      </c>
      <c r="H174" s="134" t="s">
        <v>142</v>
      </c>
      <c r="I174" s="134" t="s">
        <v>142</v>
      </c>
      <c r="J174" s="134" t="s">
        <v>142</v>
      </c>
      <c r="K174" s="134" t="s">
        <v>142</v>
      </c>
      <c r="L174" s="134" t="s">
        <v>142</v>
      </c>
      <c r="M174" s="370"/>
      <c r="N174" s="137"/>
    </row>
    <row r="175" hidden="1" outlineLevel="1">
      <c r="A175" s="367" t="s">
        <v>894</v>
      </c>
      <c r="B175" s="309">
        <v>46282.0</v>
      </c>
      <c r="C175" s="368" t="str">
        <f t="shared" si="19"/>
        <v>Thu</v>
      </c>
      <c r="D175" s="128">
        <f t="shared" si="20"/>
        <v>1</v>
      </c>
      <c r="E175" s="131" t="s">
        <v>142</v>
      </c>
      <c r="F175" s="134" t="s">
        <v>142</v>
      </c>
      <c r="G175" s="134" t="s">
        <v>142</v>
      </c>
      <c r="H175" s="134" t="s">
        <v>142</v>
      </c>
      <c r="I175" s="134" t="s">
        <v>142</v>
      </c>
      <c r="J175" s="134" t="s">
        <v>142</v>
      </c>
      <c r="K175" s="134" t="s">
        <v>142</v>
      </c>
      <c r="L175" s="134" t="s">
        <v>142</v>
      </c>
      <c r="M175" s="370"/>
      <c r="N175" s="137"/>
    </row>
    <row r="176" hidden="1" outlineLevel="1">
      <c r="A176" s="367" t="s">
        <v>897</v>
      </c>
      <c r="B176" s="309">
        <v>46282.0</v>
      </c>
      <c r="C176" s="368" t="str">
        <f t="shared" si="19"/>
        <v>Thu</v>
      </c>
      <c r="D176" s="143">
        <f t="shared" si="20"/>
        <v>1</v>
      </c>
      <c r="E176" s="144" t="s">
        <v>142</v>
      </c>
      <c r="F176" s="134" t="s">
        <v>142</v>
      </c>
      <c r="G176" s="134" t="s">
        <v>142</v>
      </c>
      <c r="H176" s="134" t="s">
        <v>142</v>
      </c>
      <c r="I176" s="134" t="s">
        <v>142</v>
      </c>
      <c r="J176" s="134" t="s">
        <v>142</v>
      </c>
      <c r="K176" s="134" t="s">
        <v>142</v>
      </c>
      <c r="L176" s="134" t="s">
        <v>142</v>
      </c>
      <c r="M176" s="370"/>
      <c r="N176" s="137"/>
    </row>
    <row r="177" hidden="1" outlineLevel="1">
      <c r="A177" s="367" t="s">
        <v>899</v>
      </c>
      <c r="B177" s="309">
        <v>46283.0</v>
      </c>
      <c r="C177" s="368" t="str">
        <f t="shared" si="19"/>
        <v>Fri</v>
      </c>
      <c r="D177" s="128">
        <f t="shared" si="20"/>
        <v>1</v>
      </c>
      <c r="E177" s="131" t="s">
        <v>142</v>
      </c>
      <c r="F177" s="134" t="s">
        <v>142</v>
      </c>
      <c r="G177" s="134" t="s">
        <v>142</v>
      </c>
      <c r="H177" s="134" t="s">
        <v>142</v>
      </c>
      <c r="I177" s="134" t="s">
        <v>142</v>
      </c>
      <c r="J177" s="134" t="s">
        <v>142</v>
      </c>
      <c r="K177" s="134" t="s">
        <v>142</v>
      </c>
      <c r="L177" s="134" t="s">
        <v>142</v>
      </c>
      <c r="M177" s="370"/>
      <c r="N177" s="137"/>
    </row>
    <row r="178" hidden="1" outlineLevel="1">
      <c r="A178" s="367" t="s">
        <v>901</v>
      </c>
      <c r="B178" s="309">
        <v>46283.0</v>
      </c>
      <c r="C178" s="368" t="str">
        <f t="shared" si="19"/>
        <v>Fri</v>
      </c>
      <c r="D178" s="143">
        <f t="shared" si="20"/>
        <v>1</v>
      </c>
      <c r="E178" s="144" t="s">
        <v>142</v>
      </c>
      <c r="F178" s="134" t="s">
        <v>142</v>
      </c>
      <c r="G178" s="134" t="s">
        <v>142</v>
      </c>
      <c r="H178" s="134" t="s">
        <v>142</v>
      </c>
      <c r="I178" s="134" t="s">
        <v>142</v>
      </c>
      <c r="J178" s="134" t="s">
        <v>142</v>
      </c>
      <c r="K178" s="134" t="s">
        <v>142</v>
      </c>
      <c r="L178" s="134" t="s">
        <v>142</v>
      </c>
      <c r="M178" s="370"/>
      <c r="N178" s="137"/>
    </row>
    <row r="179" hidden="1" outlineLevel="1">
      <c r="A179" s="367" t="s">
        <v>903</v>
      </c>
      <c r="B179" s="309">
        <v>46283.0</v>
      </c>
      <c r="C179" s="368" t="str">
        <f t="shared" si="19"/>
        <v>Fri</v>
      </c>
      <c r="D179" s="128">
        <f t="shared" si="20"/>
        <v>1</v>
      </c>
      <c r="E179" s="131" t="s">
        <v>142</v>
      </c>
      <c r="F179" s="134" t="s">
        <v>142</v>
      </c>
      <c r="G179" s="134" t="s">
        <v>142</v>
      </c>
      <c r="H179" s="134" t="s">
        <v>142</v>
      </c>
      <c r="I179" s="134" t="s">
        <v>142</v>
      </c>
      <c r="J179" s="134" t="s">
        <v>142</v>
      </c>
      <c r="K179" s="134" t="s">
        <v>142</v>
      </c>
      <c r="L179" s="134" t="s">
        <v>142</v>
      </c>
      <c r="M179" s="370"/>
      <c r="N179" s="137"/>
    </row>
    <row r="180" hidden="1" outlineLevel="1">
      <c r="A180" s="373"/>
      <c r="B180" s="373"/>
      <c r="C180" s="374" t="s">
        <v>199</v>
      </c>
      <c r="D180" s="414">
        <f>AVERAGE(D165:D179)</f>
        <v>1</v>
      </c>
      <c r="E180" s="391"/>
      <c r="F180" s="373"/>
      <c r="G180" s="373"/>
      <c r="H180" s="373"/>
      <c r="I180" s="373"/>
      <c r="J180" s="373"/>
      <c r="K180" s="373"/>
      <c r="L180" s="374" t="s">
        <v>199</v>
      </c>
      <c r="M180" s="377">
        <f>SUM(M165:M179)/75*0.1</f>
        <v>0</v>
      </c>
      <c r="N180" s="373"/>
    </row>
    <row r="181" collapsed="1">
      <c r="A181" s="85" t="s">
        <v>493</v>
      </c>
      <c r="B181" s="86"/>
      <c r="C181" s="86"/>
      <c r="D181" s="88"/>
      <c r="E181" s="361"/>
      <c r="F181" s="361"/>
      <c r="G181" s="361"/>
      <c r="H181" s="361"/>
      <c r="I181" s="361"/>
      <c r="J181" s="361"/>
      <c r="K181" s="361"/>
      <c r="L181" s="361"/>
      <c r="M181" s="361"/>
      <c r="N181" s="361"/>
    </row>
    <row r="182" hidden="1" outlineLevel="1">
      <c r="A182" s="363" t="s">
        <v>89</v>
      </c>
      <c r="B182" s="363" t="s">
        <v>90</v>
      </c>
      <c r="C182" s="363" t="s">
        <v>91</v>
      </c>
      <c r="D182" s="364" t="s">
        <v>93</v>
      </c>
      <c r="E182" s="365" t="s">
        <v>94</v>
      </c>
      <c r="F182" s="365" t="s">
        <v>95</v>
      </c>
      <c r="G182" s="366" t="s">
        <v>96</v>
      </c>
      <c r="H182" s="366" t="s">
        <v>97</v>
      </c>
      <c r="I182" s="366" t="s">
        <v>104</v>
      </c>
      <c r="J182" s="366" t="s">
        <v>106</v>
      </c>
      <c r="K182" s="366" t="s">
        <v>109</v>
      </c>
      <c r="L182" s="366" t="s">
        <v>111</v>
      </c>
      <c r="M182" s="363" t="s">
        <v>114</v>
      </c>
      <c r="N182" s="363" t="s">
        <v>116</v>
      </c>
    </row>
    <row r="183" hidden="1" outlineLevel="1">
      <c r="A183" s="367" t="s">
        <v>907</v>
      </c>
      <c r="B183" s="309">
        <v>46286.0</v>
      </c>
      <c r="C183" s="368" t="str">
        <f t="shared" ref="C183:C197" si="21">IF(B183="", "", TEXT(B183, "ddd"))</f>
        <v>Mon</v>
      </c>
      <c r="D183" s="128">
        <f t="shared" ref="D183:D197" si="22">IF(E183="Yes",0.05,0)
+IF(F183="Yes",0.1,0)
+IF(G183="Yes",0.15,0)
+IF(H183="Yes",0.15,0)
+IF(I183="Yes",0.05,0)
+IF(J183="Yes",0.05,0)
+IF(K183="Yes",0.15,0)
+IF(L183="Yes",0.3,0)
</f>
        <v>1</v>
      </c>
      <c r="E183" s="131" t="s">
        <v>142</v>
      </c>
      <c r="F183" s="134" t="s">
        <v>142</v>
      </c>
      <c r="G183" s="134" t="s">
        <v>142</v>
      </c>
      <c r="H183" s="134" t="s">
        <v>142</v>
      </c>
      <c r="I183" s="134" t="s">
        <v>142</v>
      </c>
      <c r="J183" s="134" t="s">
        <v>142</v>
      </c>
      <c r="K183" s="134" t="s">
        <v>142</v>
      </c>
      <c r="L183" s="134" t="s">
        <v>142</v>
      </c>
      <c r="M183" s="370"/>
      <c r="N183" s="137"/>
    </row>
    <row r="184" hidden="1" outlineLevel="1">
      <c r="A184" s="367" t="s">
        <v>912</v>
      </c>
      <c r="B184" s="309">
        <v>46286.0</v>
      </c>
      <c r="C184" s="368" t="str">
        <f t="shared" si="21"/>
        <v>Mon</v>
      </c>
      <c r="D184" s="143">
        <f t="shared" si="22"/>
        <v>1</v>
      </c>
      <c r="E184" s="144" t="s">
        <v>142</v>
      </c>
      <c r="F184" s="134" t="s">
        <v>142</v>
      </c>
      <c r="G184" s="134" t="s">
        <v>142</v>
      </c>
      <c r="H184" s="134" t="s">
        <v>142</v>
      </c>
      <c r="I184" s="134" t="s">
        <v>142</v>
      </c>
      <c r="J184" s="134" t="s">
        <v>142</v>
      </c>
      <c r="K184" s="134" t="s">
        <v>142</v>
      </c>
      <c r="L184" s="134" t="s">
        <v>142</v>
      </c>
      <c r="M184" s="370"/>
      <c r="N184" s="137"/>
    </row>
    <row r="185" hidden="1" outlineLevel="1">
      <c r="A185" s="367" t="s">
        <v>916</v>
      </c>
      <c r="B185" s="309">
        <v>46286.0</v>
      </c>
      <c r="C185" s="368" t="str">
        <f t="shared" si="21"/>
        <v>Mon</v>
      </c>
      <c r="D185" s="128">
        <f t="shared" si="22"/>
        <v>1</v>
      </c>
      <c r="E185" s="131" t="s">
        <v>142</v>
      </c>
      <c r="F185" s="134" t="s">
        <v>142</v>
      </c>
      <c r="G185" s="134" t="s">
        <v>142</v>
      </c>
      <c r="H185" s="134" t="s">
        <v>142</v>
      </c>
      <c r="I185" s="134" t="s">
        <v>142</v>
      </c>
      <c r="J185" s="134" t="s">
        <v>142</v>
      </c>
      <c r="K185" s="134" t="s">
        <v>142</v>
      </c>
      <c r="L185" s="134" t="s">
        <v>142</v>
      </c>
      <c r="M185" s="370"/>
      <c r="N185" s="137"/>
    </row>
    <row r="186" hidden="1" outlineLevel="1">
      <c r="A186" s="367" t="s">
        <v>918</v>
      </c>
      <c r="B186" s="309">
        <v>46287.0</v>
      </c>
      <c r="C186" s="368" t="str">
        <f t="shared" si="21"/>
        <v>Tue</v>
      </c>
      <c r="D186" s="143">
        <f t="shared" si="22"/>
        <v>1</v>
      </c>
      <c r="E186" s="144" t="s">
        <v>142</v>
      </c>
      <c r="F186" s="134" t="s">
        <v>142</v>
      </c>
      <c r="G186" s="134" t="s">
        <v>142</v>
      </c>
      <c r="H186" s="134" t="s">
        <v>142</v>
      </c>
      <c r="I186" s="134" t="s">
        <v>142</v>
      </c>
      <c r="J186" s="134" t="s">
        <v>142</v>
      </c>
      <c r="K186" s="134" t="s">
        <v>142</v>
      </c>
      <c r="L186" s="134" t="s">
        <v>142</v>
      </c>
      <c r="M186" s="370"/>
      <c r="N186" s="137"/>
    </row>
    <row r="187" hidden="1" outlineLevel="1">
      <c r="A187" s="367" t="s">
        <v>919</v>
      </c>
      <c r="B187" s="309">
        <v>46287.0</v>
      </c>
      <c r="C187" s="368" t="str">
        <f t="shared" si="21"/>
        <v>Tue</v>
      </c>
      <c r="D187" s="128">
        <f t="shared" si="22"/>
        <v>1</v>
      </c>
      <c r="E187" s="131" t="s">
        <v>142</v>
      </c>
      <c r="F187" s="134" t="s">
        <v>142</v>
      </c>
      <c r="G187" s="134" t="s">
        <v>142</v>
      </c>
      <c r="H187" s="134" t="s">
        <v>142</v>
      </c>
      <c r="I187" s="134" t="s">
        <v>142</v>
      </c>
      <c r="J187" s="134" t="s">
        <v>142</v>
      </c>
      <c r="K187" s="134" t="s">
        <v>142</v>
      </c>
      <c r="L187" s="134" t="s">
        <v>142</v>
      </c>
      <c r="M187" s="370"/>
      <c r="N187" s="137"/>
    </row>
    <row r="188" hidden="1" outlineLevel="1">
      <c r="A188" s="367" t="s">
        <v>920</v>
      </c>
      <c r="B188" s="309">
        <v>46287.0</v>
      </c>
      <c r="C188" s="368" t="str">
        <f t="shared" si="21"/>
        <v>Tue</v>
      </c>
      <c r="D188" s="143">
        <f t="shared" si="22"/>
        <v>1</v>
      </c>
      <c r="E188" s="144" t="s">
        <v>142</v>
      </c>
      <c r="F188" s="134" t="s">
        <v>142</v>
      </c>
      <c r="G188" s="134" t="s">
        <v>142</v>
      </c>
      <c r="H188" s="134" t="s">
        <v>142</v>
      </c>
      <c r="I188" s="134" t="s">
        <v>142</v>
      </c>
      <c r="J188" s="134" t="s">
        <v>142</v>
      </c>
      <c r="K188" s="134" t="s">
        <v>142</v>
      </c>
      <c r="L188" s="134" t="s">
        <v>142</v>
      </c>
      <c r="M188" s="370"/>
      <c r="N188" s="137"/>
    </row>
    <row r="189" hidden="1" outlineLevel="1">
      <c r="A189" s="367" t="s">
        <v>922</v>
      </c>
      <c r="B189" s="309">
        <v>46288.0</v>
      </c>
      <c r="C189" s="368" t="str">
        <f t="shared" si="21"/>
        <v>Wed</v>
      </c>
      <c r="D189" s="128">
        <f t="shared" si="22"/>
        <v>1</v>
      </c>
      <c r="E189" s="131" t="s">
        <v>142</v>
      </c>
      <c r="F189" s="134" t="s">
        <v>142</v>
      </c>
      <c r="G189" s="134" t="s">
        <v>142</v>
      </c>
      <c r="H189" s="134" t="s">
        <v>142</v>
      </c>
      <c r="I189" s="134" t="s">
        <v>142</v>
      </c>
      <c r="J189" s="134" t="s">
        <v>142</v>
      </c>
      <c r="K189" s="134" t="s">
        <v>142</v>
      </c>
      <c r="L189" s="134" t="s">
        <v>142</v>
      </c>
      <c r="M189" s="370"/>
      <c r="N189" s="137"/>
    </row>
    <row r="190" hidden="1" outlineLevel="1">
      <c r="A190" s="367" t="s">
        <v>923</v>
      </c>
      <c r="B190" s="309">
        <v>46288.0</v>
      </c>
      <c r="C190" s="368" t="str">
        <f t="shared" si="21"/>
        <v>Wed</v>
      </c>
      <c r="D190" s="143">
        <f t="shared" si="22"/>
        <v>1</v>
      </c>
      <c r="E190" s="144" t="s">
        <v>142</v>
      </c>
      <c r="F190" s="134" t="s">
        <v>142</v>
      </c>
      <c r="G190" s="134" t="s">
        <v>142</v>
      </c>
      <c r="H190" s="134" t="s">
        <v>142</v>
      </c>
      <c r="I190" s="134" t="s">
        <v>142</v>
      </c>
      <c r="J190" s="134" t="s">
        <v>142</v>
      </c>
      <c r="K190" s="134" t="s">
        <v>142</v>
      </c>
      <c r="L190" s="134" t="s">
        <v>142</v>
      </c>
      <c r="M190" s="370"/>
      <c r="N190" s="137"/>
    </row>
    <row r="191" hidden="1" outlineLevel="1">
      <c r="A191" s="367" t="s">
        <v>925</v>
      </c>
      <c r="B191" s="309">
        <v>46288.0</v>
      </c>
      <c r="C191" s="368" t="str">
        <f t="shared" si="21"/>
        <v>Wed</v>
      </c>
      <c r="D191" s="128">
        <f t="shared" si="22"/>
        <v>1</v>
      </c>
      <c r="E191" s="131" t="s">
        <v>142</v>
      </c>
      <c r="F191" s="134" t="s">
        <v>142</v>
      </c>
      <c r="G191" s="134" t="s">
        <v>142</v>
      </c>
      <c r="H191" s="134" t="s">
        <v>142</v>
      </c>
      <c r="I191" s="134" t="s">
        <v>142</v>
      </c>
      <c r="J191" s="134" t="s">
        <v>142</v>
      </c>
      <c r="K191" s="134" t="s">
        <v>142</v>
      </c>
      <c r="L191" s="134" t="s">
        <v>142</v>
      </c>
      <c r="M191" s="370"/>
      <c r="N191" s="137"/>
    </row>
    <row r="192" hidden="1" outlineLevel="1">
      <c r="A192" s="367" t="s">
        <v>927</v>
      </c>
      <c r="B192" s="309">
        <v>46289.0</v>
      </c>
      <c r="C192" s="368" t="str">
        <f t="shared" si="21"/>
        <v>Thu</v>
      </c>
      <c r="D192" s="143">
        <f t="shared" si="22"/>
        <v>1</v>
      </c>
      <c r="E192" s="144" t="s">
        <v>142</v>
      </c>
      <c r="F192" s="134" t="s">
        <v>142</v>
      </c>
      <c r="G192" s="134" t="s">
        <v>142</v>
      </c>
      <c r="H192" s="134" t="s">
        <v>142</v>
      </c>
      <c r="I192" s="134" t="s">
        <v>142</v>
      </c>
      <c r="J192" s="134" t="s">
        <v>142</v>
      </c>
      <c r="K192" s="134" t="s">
        <v>142</v>
      </c>
      <c r="L192" s="134" t="s">
        <v>142</v>
      </c>
      <c r="M192" s="370"/>
      <c r="N192" s="137"/>
    </row>
    <row r="193" hidden="1" outlineLevel="1">
      <c r="A193" s="367" t="s">
        <v>930</v>
      </c>
      <c r="B193" s="309">
        <v>46289.0</v>
      </c>
      <c r="C193" s="368" t="str">
        <f t="shared" si="21"/>
        <v>Thu</v>
      </c>
      <c r="D193" s="128">
        <f t="shared" si="22"/>
        <v>1</v>
      </c>
      <c r="E193" s="131" t="s">
        <v>142</v>
      </c>
      <c r="F193" s="134" t="s">
        <v>142</v>
      </c>
      <c r="G193" s="134" t="s">
        <v>142</v>
      </c>
      <c r="H193" s="134" t="s">
        <v>142</v>
      </c>
      <c r="I193" s="134" t="s">
        <v>142</v>
      </c>
      <c r="J193" s="134" t="s">
        <v>142</v>
      </c>
      <c r="K193" s="134" t="s">
        <v>142</v>
      </c>
      <c r="L193" s="134" t="s">
        <v>142</v>
      </c>
      <c r="M193" s="370"/>
      <c r="N193" s="137"/>
    </row>
    <row r="194" hidden="1" outlineLevel="1">
      <c r="A194" s="367" t="s">
        <v>932</v>
      </c>
      <c r="B194" s="309">
        <v>46289.0</v>
      </c>
      <c r="C194" s="368" t="str">
        <f t="shared" si="21"/>
        <v>Thu</v>
      </c>
      <c r="D194" s="143">
        <f t="shared" si="22"/>
        <v>1</v>
      </c>
      <c r="E194" s="144" t="s">
        <v>142</v>
      </c>
      <c r="F194" s="134" t="s">
        <v>142</v>
      </c>
      <c r="G194" s="134" t="s">
        <v>142</v>
      </c>
      <c r="H194" s="134" t="s">
        <v>142</v>
      </c>
      <c r="I194" s="134" t="s">
        <v>142</v>
      </c>
      <c r="J194" s="134" t="s">
        <v>142</v>
      </c>
      <c r="K194" s="134" t="s">
        <v>142</v>
      </c>
      <c r="L194" s="134" t="s">
        <v>142</v>
      </c>
      <c r="M194" s="370"/>
      <c r="N194" s="137"/>
    </row>
    <row r="195" hidden="1" outlineLevel="1">
      <c r="A195" s="367" t="s">
        <v>934</v>
      </c>
      <c r="B195" s="309">
        <v>46290.0</v>
      </c>
      <c r="C195" s="368" t="str">
        <f t="shared" si="21"/>
        <v>Fri</v>
      </c>
      <c r="D195" s="128">
        <f t="shared" si="22"/>
        <v>1</v>
      </c>
      <c r="E195" s="131" t="s">
        <v>142</v>
      </c>
      <c r="F195" s="134" t="s">
        <v>142</v>
      </c>
      <c r="G195" s="134" t="s">
        <v>142</v>
      </c>
      <c r="H195" s="134" t="s">
        <v>142</v>
      </c>
      <c r="I195" s="134" t="s">
        <v>142</v>
      </c>
      <c r="J195" s="134" t="s">
        <v>142</v>
      </c>
      <c r="K195" s="134" t="s">
        <v>142</v>
      </c>
      <c r="L195" s="134" t="s">
        <v>142</v>
      </c>
      <c r="M195" s="370"/>
      <c r="N195" s="137"/>
    </row>
    <row r="196" hidden="1" outlineLevel="1">
      <c r="A196" s="420" t="s">
        <v>937</v>
      </c>
      <c r="B196" s="309">
        <v>46290.0</v>
      </c>
      <c r="C196" s="368" t="str">
        <f t="shared" si="21"/>
        <v>Fri</v>
      </c>
      <c r="D196" s="143">
        <f t="shared" si="22"/>
        <v>1</v>
      </c>
      <c r="E196" s="144" t="s">
        <v>142</v>
      </c>
      <c r="F196" s="134" t="s">
        <v>142</v>
      </c>
      <c r="G196" s="134" t="s">
        <v>142</v>
      </c>
      <c r="H196" s="134" t="s">
        <v>142</v>
      </c>
      <c r="I196" s="134" t="s">
        <v>142</v>
      </c>
      <c r="J196" s="134" t="s">
        <v>142</v>
      </c>
      <c r="K196" s="134" t="s">
        <v>142</v>
      </c>
      <c r="L196" s="134" t="s">
        <v>142</v>
      </c>
      <c r="M196" s="370"/>
      <c r="N196" s="137"/>
    </row>
    <row r="197" hidden="1" outlineLevel="1">
      <c r="A197" s="367" t="s">
        <v>938</v>
      </c>
      <c r="B197" s="309">
        <v>46290.0</v>
      </c>
      <c r="C197" s="368" t="str">
        <f t="shared" si="21"/>
        <v>Fri</v>
      </c>
      <c r="D197" s="128">
        <f t="shared" si="22"/>
        <v>1</v>
      </c>
      <c r="E197" s="131" t="s">
        <v>142</v>
      </c>
      <c r="F197" s="134" t="s">
        <v>142</v>
      </c>
      <c r="G197" s="134" t="s">
        <v>142</v>
      </c>
      <c r="H197" s="134" t="s">
        <v>142</v>
      </c>
      <c r="I197" s="134" t="s">
        <v>142</v>
      </c>
      <c r="J197" s="134" t="s">
        <v>142</v>
      </c>
      <c r="K197" s="134" t="s">
        <v>142</v>
      </c>
      <c r="L197" s="134" t="s">
        <v>142</v>
      </c>
      <c r="M197" s="370"/>
      <c r="N197" s="137"/>
    </row>
    <row r="198" hidden="1" outlineLevel="1">
      <c r="A198" s="373"/>
      <c r="B198" s="373"/>
      <c r="C198" s="374" t="s">
        <v>199</v>
      </c>
      <c r="D198" s="414">
        <f>AVERAGE(D183:D197)</f>
        <v>1</v>
      </c>
      <c r="E198" s="391"/>
      <c r="F198" s="373"/>
      <c r="G198" s="373"/>
      <c r="H198" s="373"/>
      <c r="I198" s="373"/>
      <c r="J198" s="373"/>
      <c r="K198" s="373"/>
      <c r="L198" s="374" t="s">
        <v>199</v>
      </c>
      <c r="M198" s="377">
        <f>SUM(M183:M197)/75*0.1</f>
        <v>0</v>
      </c>
      <c r="N198" s="373"/>
    </row>
    <row r="199" collapsed="1">
      <c r="A199" s="85" t="s">
        <v>514</v>
      </c>
      <c r="B199" s="86"/>
      <c r="C199" s="86"/>
      <c r="D199" s="88"/>
      <c r="E199" s="361"/>
      <c r="F199" s="361"/>
      <c r="G199" s="361"/>
      <c r="H199" s="361"/>
      <c r="I199" s="361"/>
      <c r="J199" s="361"/>
      <c r="K199" s="361"/>
      <c r="L199" s="361"/>
      <c r="M199" s="361"/>
      <c r="N199" s="361"/>
    </row>
    <row r="200" hidden="1" outlineLevel="1">
      <c r="A200" s="362" t="s">
        <v>89</v>
      </c>
      <c r="B200" s="363" t="s">
        <v>90</v>
      </c>
      <c r="C200" s="363" t="s">
        <v>91</v>
      </c>
      <c r="D200" s="364" t="s">
        <v>93</v>
      </c>
      <c r="E200" s="365" t="s">
        <v>94</v>
      </c>
      <c r="F200" s="365" t="s">
        <v>95</v>
      </c>
      <c r="G200" s="366" t="s">
        <v>96</v>
      </c>
      <c r="H200" s="366" t="s">
        <v>97</v>
      </c>
      <c r="I200" s="366" t="s">
        <v>104</v>
      </c>
      <c r="J200" s="366" t="s">
        <v>106</v>
      </c>
      <c r="K200" s="366" t="s">
        <v>109</v>
      </c>
      <c r="L200" s="366" t="s">
        <v>111</v>
      </c>
      <c r="M200" s="363" t="s">
        <v>114</v>
      </c>
      <c r="N200" s="363" t="s">
        <v>116</v>
      </c>
    </row>
    <row r="201" hidden="1" outlineLevel="1">
      <c r="A201" s="422" t="s">
        <v>197</v>
      </c>
      <c r="B201" s="309">
        <v>46293.0</v>
      </c>
      <c r="C201" s="368" t="str">
        <f t="shared" ref="C201:C215" si="23">IF(B201="", "", TEXT(B201, "ddd"))</f>
        <v>Mon</v>
      </c>
      <c r="D201" s="128">
        <f t="shared" ref="D201:D215" si="24">IF(E201="Yes",0.05,0)
+IF(F201="Yes",0.1,0)
+IF(G201="Yes",0.15,0)
+IF(H201="Yes",0.15,0)
+IF(I201="Yes",0.05,0)
+IF(J201="Yes",0.05,0)
+IF(K201="Yes",0.15,0)
+IF(L201="Yes",0.3,0)
</f>
        <v>1</v>
      </c>
      <c r="E201" s="131" t="s">
        <v>142</v>
      </c>
      <c r="F201" s="134" t="s">
        <v>142</v>
      </c>
      <c r="G201" s="134" t="s">
        <v>142</v>
      </c>
      <c r="H201" s="134" t="s">
        <v>142</v>
      </c>
      <c r="I201" s="134" t="s">
        <v>142</v>
      </c>
      <c r="J201" s="134" t="s">
        <v>142</v>
      </c>
      <c r="K201" s="134" t="s">
        <v>142</v>
      </c>
      <c r="L201" s="134" t="s">
        <v>142</v>
      </c>
      <c r="M201" s="370"/>
      <c r="N201" s="137"/>
    </row>
    <row r="202" hidden="1" outlineLevel="1">
      <c r="A202" s="422" t="s">
        <v>197</v>
      </c>
      <c r="B202" s="309">
        <v>46293.0</v>
      </c>
      <c r="C202" s="368" t="str">
        <f t="shared" si="23"/>
        <v>Mon</v>
      </c>
      <c r="D202" s="143">
        <f t="shared" si="24"/>
        <v>1</v>
      </c>
      <c r="E202" s="144" t="s">
        <v>142</v>
      </c>
      <c r="F202" s="134" t="s">
        <v>142</v>
      </c>
      <c r="G202" s="134" t="s">
        <v>142</v>
      </c>
      <c r="H202" s="134" t="s">
        <v>142</v>
      </c>
      <c r="I202" s="134" t="s">
        <v>142</v>
      </c>
      <c r="J202" s="134" t="s">
        <v>142</v>
      </c>
      <c r="K202" s="134" t="s">
        <v>142</v>
      </c>
      <c r="L202" s="134" t="s">
        <v>142</v>
      </c>
      <c r="M202" s="370"/>
      <c r="N202" s="137"/>
    </row>
    <row r="203" hidden="1" outlineLevel="1">
      <c r="A203" s="422" t="s">
        <v>197</v>
      </c>
      <c r="B203" s="309">
        <v>46293.0</v>
      </c>
      <c r="C203" s="368" t="str">
        <f t="shared" si="23"/>
        <v>Mon</v>
      </c>
      <c r="D203" s="128">
        <f t="shared" si="24"/>
        <v>1</v>
      </c>
      <c r="E203" s="131" t="s">
        <v>142</v>
      </c>
      <c r="F203" s="134" t="s">
        <v>142</v>
      </c>
      <c r="G203" s="134" t="s">
        <v>142</v>
      </c>
      <c r="H203" s="134" t="s">
        <v>142</v>
      </c>
      <c r="I203" s="134" t="s">
        <v>142</v>
      </c>
      <c r="J203" s="134" t="s">
        <v>142</v>
      </c>
      <c r="K203" s="134" t="s">
        <v>142</v>
      </c>
      <c r="L203" s="134" t="s">
        <v>142</v>
      </c>
      <c r="M203" s="370"/>
      <c r="N203" s="137"/>
    </row>
    <row r="204" hidden="1" outlineLevel="1">
      <c r="A204" s="422" t="s">
        <v>197</v>
      </c>
      <c r="B204" s="309">
        <v>46294.0</v>
      </c>
      <c r="C204" s="368" t="str">
        <f t="shared" si="23"/>
        <v>Tue</v>
      </c>
      <c r="D204" s="143">
        <f t="shared" si="24"/>
        <v>1</v>
      </c>
      <c r="E204" s="144" t="s">
        <v>142</v>
      </c>
      <c r="F204" s="134" t="s">
        <v>142</v>
      </c>
      <c r="G204" s="134" t="s">
        <v>142</v>
      </c>
      <c r="H204" s="134" t="s">
        <v>142</v>
      </c>
      <c r="I204" s="134" t="s">
        <v>142</v>
      </c>
      <c r="J204" s="134" t="s">
        <v>142</v>
      </c>
      <c r="K204" s="134" t="s">
        <v>142</v>
      </c>
      <c r="L204" s="134" t="s">
        <v>142</v>
      </c>
      <c r="M204" s="370"/>
      <c r="N204" s="137"/>
    </row>
    <row r="205" hidden="1" outlineLevel="1">
      <c r="A205" s="422" t="s">
        <v>197</v>
      </c>
      <c r="B205" s="309">
        <v>46294.0</v>
      </c>
      <c r="C205" s="368" t="str">
        <f t="shared" si="23"/>
        <v>Tue</v>
      </c>
      <c r="D205" s="128">
        <f t="shared" si="24"/>
        <v>1</v>
      </c>
      <c r="E205" s="131" t="s">
        <v>142</v>
      </c>
      <c r="F205" s="134" t="s">
        <v>142</v>
      </c>
      <c r="G205" s="134" t="s">
        <v>142</v>
      </c>
      <c r="H205" s="134" t="s">
        <v>142</v>
      </c>
      <c r="I205" s="134" t="s">
        <v>142</v>
      </c>
      <c r="J205" s="134" t="s">
        <v>142</v>
      </c>
      <c r="K205" s="134" t="s">
        <v>142</v>
      </c>
      <c r="L205" s="134" t="s">
        <v>142</v>
      </c>
      <c r="M205" s="370"/>
      <c r="N205" s="137"/>
    </row>
    <row r="206" hidden="1" outlineLevel="1">
      <c r="A206" s="422" t="s">
        <v>197</v>
      </c>
      <c r="B206" s="309">
        <v>46294.0</v>
      </c>
      <c r="C206" s="368" t="str">
        <f t="shared" si="23"/>
        <v>Tue</v>
      </c>
      <c r="D206" s="143">
        <f t="shared" si="24"/>
        <v>1</v>
      </c>
      <c r="E206" s="144" t="s">
        <v>142</v>
      </c>
      <c r="F206" s="134" t="s">
        <v>142</v>
      </c>
      <c r="G206" s="134" t="s">
        <v>142</v>
      </c>
      <c r="H206" s="134" t="s">
        <v>142</v>
      </c>
      <c r="I206" s="134" t="s">
        <v>142</v>
      </c>
      <c r="J206" s="134" t="s">
        <v>142</v>
      </c>
      <c r="K206" s="134" t="s">
        <v>142</v>
      </c>
      <c r="L206" s="134" t="s">
        <v>142</v>
      </c>
      <c r="M206" s="370"/>
      <c r="N206" s="137"/>
    </row>
    <row r="207" hidden="1" outlineLevel="1">
      <c r="A207" s="422" t="s">
        <v>197</v>
      </c>
      <c r="B207" s="309">
        <v>46295.0</v>
      </c>
      <c r="C207" s="368" t="str">
        <f t="shared" si="23"/>
        <v>Wed</v>
      </c>
      <c r="D207" s="128">
        <f t="shared" si="24"/>
        <v>1</v>
      </c>
      <c r="E207" s="131" t="s">
        <v>142</v>
      </c>
      <c r="F207" s="134" t="s">
        <v>142</v>
      </c>
      <c r="G207" s="134" t="s">
        <v>142</v>
      </c>
      <c r="H207" s="134" t="s">
        <v>142</v>
      </c>
      <c r="I207" s="134" t="s">
        <v>142</v>
      </c>
      <c r="J207" s="134" t="s">
        <v>142</v>
      </c>
      <c r="K207" s="134" t="s">
        <v>142</v>
      </c>
      <c r="L207" s="134" t="s">
        <v>142</v>
      </c>
      <c r="M207" s="370"/>
      <c r="N207" s="137"/>
    </row>
    <row r="208" hidden="1" outlineLevel="1">
      <c r="A208" s="422" t="s">
        <v>197</v>
      </c>
      <c r="B208" s="309">
        <v>46295.0</v>
      </c>
      <c r="C208" s="368" t="str">
        <f t="shared" si="23"/>
        <v>Wed</v>
      </c>
      <c r="D208" s="143">
        <f t="shared" si="24"/>
        <v>1</v>
      </c>
      <c r="E208" s="144" t="s">
        <v>142</v>
      </c>
      <c r="F208" s="134" t="s">
        <v>142</v>
      </c>
      <c r="G208" s="134" t="s">
        <v>142</v>
      </c>
      <c r="H208" s="134" t="s">
        <v>142</v>
      </c>
      <c r="I208" s="134" t="s">
        <v>142</v>
      </c>
      <c r="J208" s="134" t="s">
        <v>142</v>
      </c>
      <c r="K208" s="134" t="s">
        <v>142</v>
      </c>
      <c r="L208" s="134" t="s">
        <v>142</v>
      </c>
      <c r="M208" s="370"/>
      <c r="N208" s="137"/>
    </row>
    <row r="209" hidden="1" outlineLevel="1">
      <c r="A209" s="422" t="s">
        <v>197</v>
      </c>
      <c r="B209" s="309">
        <v>46295.0</v>
      </c>
      <c r="C209" s="368" t="str">
        <f t="shared" si="23"/>
        <v>Wed</v>
      </c>
      <c r="D209" s="128">
        <f t="shared" si="24"/>
        <v>1</v>
      </c>
      <c r="E209" s="131" t="s">
        <v>142</v>
      </c>
      <c r="F209" s="134" t="s">
        <v>142</v>
      </c>
      <c r="G209" s="134" t="s">
        <v>142</v>
      </c>
      <c r="H209" s="134" t="s">
        <v>142</v>
      </c>
      <c r="I209" s="134" t="s">
        <v>142</v>
      </c>
      <c r="J209" s="134" t="s">
        <v>142</v>
      </c>
      <c r="K209" s="134" t="s">
        <v>142</v>
      </c>
      <c r="L209" s="134" t="s">
        <v>142</v>
      </c>
      <c r="M209" s="370"/>
      <c r="N209" s="137"/>
    </row>
    <row r="210" hidden="1" outlineLevel="1">
      <c r="A210" s="422" t="s">
        <v>944</v>
      </c>
      <c r="B210" s="309">
        <v>46296.0</v>
      </c>
      <c r="C210" s="368" t="str">
        <f t="shared" si="23"/>
        <v>Thu</v>
      </c>
      <c r="D210" s="143">
        <f t="shared" si="24"/>
        <v>0</v>
      </c>
      <c r="E210" s="144" t="s">
        <v>945</v>
      </c>
      <c r="F210" s="134" t="s">
        <v>945</v>
      </c>
      <c r="G210" s="134" t="s">
        <v>945</v>
      </c>
      <c r="H210" s="134" t="s">
        <v>945</v>
      </c>
      <c r="I210" s="134" t="s">
        <v>945</v>
      </c>
      <c r="J210" s="134" t="s">
        <v>945</v>
      </c>
      <c r="K210" s="134" t="s">
        <v>945</v>
      </c>
      <c r="L210" s="134" t="s">
        <v>945</v>
      </c>
      <c r="M210" s="370"/>
      <c r="N210" s="137"/>
    </row>
    <row r="211" hidden="1" outlineLevel="1">
      <c r="A211" s="422" t="s">
        <v>944</v>
      </c>
      <c r="B211" s="309">
        <v>46296.0</v>
      </c>
      <c r="C211" s="368" t="str">
        <f t="shared" si="23"/>
        <v>Thu</v>
      </c>
      <c r="D211" s="128">
        <f t="shared" si="24"/>
        <v>0</v>
      </c>
      <c r="E211" s="131" t="s">
        <v>945</v>
      </c>
      <c r="F211" s="134" t="s">
        <v>945</v>
      </c>
      <c r="G211" s="134" t="s">
        <v>945</v>
      </c>
      <c r="H211" s="134" t="s">
        <v>945</v>
      </c>
      <c r="I211" s="134" t="s">
        <v>945</v>
      </c>
      <c r="J211" s="134" t="s">
        <v>945</v>
      </c>
      <c r="K211" s="134" t="s">
        <v>945</v>
      </c>
      <c r="L211" s="134" t="s">
        <v>945</v>
      </c>
      <c r="M211" s="370"/>
      <c r="N211" s="137"/>
    </row>
    <row r="212" hidden="1" outlineLevel="1">
      <c r="A212" s="422" t="s">
        <v>944</v>
      </c>
      <c r="B212" s="309">
        <v>46296.0</v>
      </c>
      <c r="C212" s="368" t="str">
        <f t="shared" si="23"/>
        <v>Thu</v>
      </c>
      <c r="D212" s="143">
        <f t="shared" si="24"/>
        <v>0</v>
      </c>
      <c r="E212" s="144" t="s">
        <v>945</v>
      </c>
      <c r="F212" s="134" t="s">
        <v>945</v>
      </c>
      <c r="G212" s="134" t="s">
        <v>945</v>
      </c>
      <c r="H212" s="134" t="s">
        <v>945</v>
      </c>
      <c r="I212" s="134" t="s">
        <v>945</v>
      </c>
      <c r="J212" s="134" t="s">
        <v>945</v>
      </c>
      <c r="K212" s="134" t="s">
        <v>945</v>
      </c>
      <c r="L212" s="134" t="s">
        <v>945</v>
      </c>
      <c r="M212" s="370"/>
      <c r="N212" s="137"/>
    </row>
    <row r="213" hidden="1" outlineLevel="1">
      <c r="A213" s="422" t="s">
        <v>944</v>
      </c>
      <c r="B213" s="309">
        <v>46297.0</v>
      </c>
      <c r="C213" s="368" t="str">
        <f t="shared" si="23"/>
        <v>Fri</v>
      </c>
      <c r="D213" s="128">
        <f t="shared" si="24"/>
        <v>0</v>
      </c>
      <c r="E213" s="131" t="s">
        <v>945</v>
      </c>
      <c r="F213" s="134" t="s">
        <v>945</v>
      </c>
      <c r="G213" s="134" t="s">
        <v>945</v>
      </c>
      <c r="H213" s="134" t="s">
        <v>945</v>
      </c>
      <c r="I213" s="134" t="s">
        <v>945</v>
      </c>
      <c r="J213" s="134" t="s">
        <v>945</v>
      </c>
      <c r="K213" s="134" t="s">
        <v>945</v>
      </c>
      <c r="L213" s="134" t="s">
        <v>945</v>
      </c>
      <c r="M213" s="370"/>
      <c r="N213" s="137"/>
    </row>
    <row r="214" hidden="1" outlineLevel="1">
      <c r="A214" s="422" t="s">
        <v>944</v>
      </c>
      <c r="B214" s="309">
        <v>46297.0</v>
      </c>
      <c r="C214" s="368" t="str">
        <f t="shared" si="23"/>
        <v>Fri</v>
      </c>
      <c r="D214" s="143">
        <f t="shared" si="24"/>
        <v>0</v>
      </c>
      <c r="E214" s="144" t="s">
        <v>945</v>
      </c>
      <c r="F214" s="134" t="s">
        <v>945</v>
      </c>
      <c r="G214" s="134" t="s">
        <v>945</v>
      </c>
      <c r="H214" s="134" t="s">
        <v>945</v>
      </c>
      <c r="I214" s="134" t="s">
        <v>945</v>
      </c>
      <c r="J214" s="134" t="s">
        <v>945</v>
      </c>
      <c r="K214" s="134" t="s">
        <v>945</v>
      </c>
      <c r="L214" s="134" t="s">
        <v>945</v>
      </c>
      <c r="M214" s="370"/>
      <c r="N214" s="137"/>
    </row>
    <row r="215" hidden="1" outlineLevel="1">
      <c r="A215" s="422" t="s">
        <v>944</v>
      </c>
      <c r="B215" s="309">
        <v>46297.0</v>
      </c>
      <c r="C215" s="368" t="str">
        <f t="shared" si="23"/>
        <v>Fri</v>
      </c>
      <c r="D215" s="128">
        <f t="shared" si="24"/>
        <v>0</v>
      </c>
      <c r="E215" s="131" t="s">
        <v>945</v>
      </c>
      <c r="F215" s="134" t="s">
        <v>945</v>
      </c>
      <c r="G215" s="134" t="s">
        <v>945</v>
      </c>
      <c r="H215" s="134" t="s">
        <v>945</v>
      </c>
      <c r="I215" s="134" t="s">
        <v>945</v>
      </c>
      <c r="J215" s="134" t="s">
        <v>945</v>
      </c>
      <c r="K215" s="134" t="s">
        <v>945</v>
      </c>
      <c r="L215" s="134" t="s">
        <v>945</v>
      </c>
      <c r="M215" s="370"/>
      <c r="N215" s="137"/>
    </row>
    <row r="216" hidden="1" outlineLevel="1">
      <c r="A216" s="373"/>
      <c r="B216" s="373"/>
      <c r="C216" s="374" t="s">
        <v>199</v>
      </c>
      <c r="D216" s="414">
        <f>AVERAGE(D201:D215)</f>
        <v>0.6</v>
      </c>
      <c r="E216" s="391"/>
      <c r="F216" s="373"/>
      <c r="G216" s="373"/>
      <c r="H216" s="373"/>
      <c r="I216" s="373"/>
      <c r="J216" s="373"/>
      <c r="K216" s="373"/>
      <c r="L216" s="374" t="s">
        <v>199</v>
      </c>
      <c r="M216" s="377">
        <f>SUM(M201:M215)/75*0.1</f>
        <v>0</v>
      </c>
      <c r="N216" s="373"/>
    </row>
    <row r="217">
      <c r="A217" s="85" t="s">
        <v>537</v>
      </c>
      <c r="B217" s="86"/>
      <c r="C217" s="86"/>
      <c r="D217" s="88"/>
      <c r="E217" s="376"/>
      <c r="F217" s="376"/>
      <c r="G217" s="376"/>
      <c r="H217" s="376"/>
      <c r="I217" s="376"/>
      <c r="J217" s="376"/>
      <c r="K217" s="376"/>
      <c r="L217" s="376"/>
      <c r="M217" s="376"/>
      <c r="N217" s="376"/>
    </row>
    <row r="218" outlineLevel="1">
      <c r="A218" s="425" t="s">
        <v>89</v>
      </c>
      <c r="B218" s="392" t="s">
        <v>90</v>
      </c>
      <c r="C218" s="392" t="s">
        <v>91</v>
      </c>
      <c r="D218" s="426" t="s">
        <v>93</v>
      </c>
      <c r="E218" s="427" t="s">
        <v>94</v>
      </c>
      <c r="F218" s="395" t="s">
        <v>95</v>
      </c>
      <c r="G218" s="396" t="s">
        <v>96</v>
      </c>
      <c r="H218" s="396" t="s">
        <v>97</v>
      </c>
      <c r="I218" s="396" t="s">
        <v>104</v>
      </c>
      <c r="J218" s="396" t="s">
        <v>106</v>
      </c>
      <c r="K218" s="396" t="s">
        <v>109</v>
      </c>
      <c r="L218" s="396" t="s">
        <v>111</v>
      </c>
      <c r="M218" s="392" t="s">
        <v>114</v>
      </c>
      <c r="N218" s="392" t="s">
        <v>116</v>
      </c>
    </row>
    <row r="219" outlineLevel="1">
      <c r="A219" s="372" t="s">
        <v>951</v>
      </c>
      <c r="B219" s="309">
        <v>46300.0</v>
      </c>
      <c r="C219" s="368" t="str">
        <f t="shared" ref="C219:C233" si="25">IF(B219="", "", TEXT(B219, "ddd"))</f>
        <v>Mon</v>
      </c>
      <c r="D219" s="128">
        <f t="shared" ref="D219:D233" si="26">IF(E219="Yes",0.05,0)
+IF(F219="Yes",0.1,0)
+IF(G219="Yes",0.15,0)
+IF(H219="Yes",0.15,0)
+IF(I219="Yes",0.05,0)
+IF(J219="Yes",0.05,0)
+IF(K219="Yes",0.15,0)
+IF(L219="Yes",0.3,0)
</f>
        <v>1</v>
      </c>
      <c r="E219" s="370" t="s">
        <v>142</v>
      </c>
      <c r="F219" s="7" t="s">
        <v>142</v>
      </c>
      <c r="G219" s="7" t="s">
        <v>142</v>
      </c>
      <c r="H219" s="7" t="s">
        <v>142</v>
      </c>
      <c r="I219" s="7" t="s">
        <v>142</v>
      </c>
      <c r="J219" s="7" t="s">
        <v>142</v>
      </c>
      <c r="K219" s="7" t="s">
        <v>142</v>
      </c>
      <c r="L219" s="7" t="s">
        <v>142</v>
      </c>
      <c r="M219" s="370"/>
      <c r="N219" s="137"/>
    </row>
    <row r="220" outlineLevel="1">
      <c r="A220" s="372" t="s">
        <v>955</v>
      </c>
      <c r="B220" s="309">
        <v>46300.0</v>
      </c>
      <c r="C220" s="368" t="str">
        <f t="shared" si="25"/>
        <v>Mon</v>
      </c>
      <c r="D220" s="143">
        <f t="shared" si="26"/>
        <v>1</v>
      </c>
      <c r="E220" s="369" t="s">
        <v>142</v>
      </c>
      <c r="F220" s="7" t="s">
        <v>142</v>
      </c>
      <c r="G220" s="7" t="s">
        <v>142</v>
      </c>
      <c r="H220" s="7" t="s">
        <v>142</v>
      </c>
      <c r="I220" s="7" t="s">
        <v>142</v>
      </c>
      <c r="J220" s="7" t="s">
        <v>142</v>
      </c>
      <c r="K220" s="7" t="s">
        <v>142</v>
      </c>
      <c r="L220" s="7" t="s">
        <v>142</v>
      </c>
      <c r="M220" s="370"/>
      <c r="N220" s="137"/>
    </row>
    <row r="221" outlineLevel="1">
      <c r="A221" s="372" t="s">
        <v>959</v>
      </c>
      <c r="B221" s="309">
        <v>46300.0</v>
      </c>
      <c r="C221" s="368" t="str">
        <f t="shared" si="25"/>
        <v>Mon</v>
      </c>
      <c r="D221" s="128">
        <f t="shared" si="26"/>
        <v>1</v>
      </c>
      <c r="E221" s="370" t="s">
        <v>142</v>
      </c>
      <c r="F221" s="7" t="s">
        <v>142</v>
      </c>
      <c r="G221" s="7" t="s">
        <v>142</v>
      </c>
      <c r="H221" s="7" t="s">
        <v>142</v>
      </c>
      <c r="I221" s="7" t="s">
        <v>142</v>
      </c>
      <c r="J221" s="7" t="s">
        <v>142</v>
      </c>
      <c r="K221" s="7" t="s">
        <v>142</v>
      </c>
      <c r="L221" s="7" t="s">
        <v>142</v>
      </c>
      <c r="M221" s="370"/>
      <c r="N221" s="137"/>
    </row>
    <row r="222" outlineLevel="1">
      <c r="A222" s="372" t="s">
        <v>961</v>
      </c>
      <c r="B222" s="309">
        <v>46301.0</v>
      </c>
      <c r="C222" s="368" t="str">
        <f t="shared" si="25"/>
        <v>Tue</v>
      </c>
      <c r="D222" s="143">
        <f t="shared" si="26"/>
        <v>1</v>
      </c>
      <c r="E222" s="369" t="s">
        <v>142</v>
      </c>
      <c r="F222" s="7" t="s">
        <v>142</v>
      </c>
      <c r="G222" s="7" t="s">
        <v>142</v>
      </c>
      <c r="H222" s="7" t="s">
        <v>142</v>
      </c>
      <c r="I222" s="7" t="s">
        <v>142</v>
      </c>
      <c r="J222" s="7" t="s">
        <v>142</v>
      </c>
      <c r="K222" s="7" t="s">
        <v>142</v>
      </c>
      <c r="L222" s="7" t="s">
        <v>142</v>
      </c>
      <c r="M222" s="370"/>
      <c r="N222" s="137"/>
    </row>
    <row r="223" outlineLevel="1">
      <c r="A223" s="372" t="s">
        <v>963</v>
      </c>
      <c r="B223" s="309">
        <v>46301.0</v>
      </c>
      <c r="C223" s="368" t="str">
        <f t="shared" si="25"/>
        <v>Tue</v>
      </c>
      <c r="D223" s="128">
        <f t="shared" si="26"/>
        <v>1</v>
      </c>
      <c r="E223" s="370" t="s">
        <v>142</v>
      </c>
      <c r="F223" s="7" t="s">
        <v>142</v>
      </c>
      <c r="G223" s="7" t="s">
        <v>142</v>
      </c>
      <c r="H223" s="7" t="s">
        <v>142</v>
      </c>
      <c r="I223" s="7" t="s">
        <v>142</v>
      </c>
      <c r="J223" s="7" t="s">
        <v>142</v>
      </c>
      <c r="K223" s="7" t="s">
        <v>142</v>
      </c>
      <c r="L223" s="7" t="s">
        <v>142</v>
      </c>
      <c r="M223" s="370"/>
      <c r="N223" s="137"/>
    </row>
    <row r="224" outlineLevel="1">
      <c r="A224" s="372" t="s">
        <v>964</v>
      </c>
      <c r="B224" s="309">
        <v>46301.0</v>
      </c>
      <c r="C224" s="368" t="str">
        <f t="shared" si="25"/>
        <v>Tue</v>
      </c>
      <c r="D224" s="143">
        <f t="shared" si="26"/>
        <v>1</v>
      </c>
      <c r="E224" s="369" t="s">
        <v>142</v>
      </c>
      <c r="F224" s="7" t="s">
        <v>142</v>
      </c>
      <c r="G224" s="7" t="s">
        <v>142</v>
      </c>
      <c r="H224" s="7" t="s">
        <v>142</v>
      </c>
      <c r="I224" s="7" t="s">
        <v>142</v>
      </c>
      <c r="J224" s="7" t="s">
        <v>142</v>
      </c>
      <c r="K224" s="7" t="s">
        <v>142</v>
      </c>
      <c r="L224" s="7" t="s">
        <v>142</v>
      </c>
      <c r="M224" s="370"/>
      <c r="N224" s="137"/>
    </row>
    <row r="225" outlineLevel="1">
      <c r="A225" s="372" t="s">
        <v>965</v>
      </c>
      <c r="B225" s="309">
        <v>46302.0</v>
      </c>
      <c r="C225" s="368" t="str">
        <f t="shared" si="25"/>
        <v>Wed</v>
      </c>
      <c r="D225" s="128">
        <f t="shared" si="26"/>
        <v>1</v>
      </c>
      <c r="E225" s="370" t="s">
        <v>142</v>
      </c>
      <c r="F225" s="7" t="s">
        <v>142</v>
      </c>
      <c r="G225" s="7" t="s">
        <v>142</v>
      </c>
      <c r="H225" s="7" t="s">
        <v>142</v>
      </c>
      <c r="I225" s="7" t="s">
        <v>142</v>
      </c>
      <c r="J225" s="7" t="s">
        <v>142</v>
      </c>
      <c r="K225" s="7" t="s">
        <v>142</v>
      </c>
      <c r="L225" s="7" t="s">
        <v>142</v>
      </c>
      <c r="M225" s="370"/>
      <c r="N225" s="137"/>
    </row>
    <row r="226" outlineLevel="1">
      <c r="A226" s="372" t="s">
        <v>966</v>
      </c>
      <c r="B226" s="309">
        <v>46302.0</v>
      </c>
      <c r="C226" s="368" t="str">
        <f t="shared" si="25"/>
        <v>Wed</v>
      </c>
      <c r="D226" s="143">
        <f t="shared" si="26"/>
        <v>1</v>
      </c>
      <c r="E226" s="369" t="s">
        <v>142</v>
      </c>
      <c r="F226" s="7" t="s">
        <v>142</v>
      </c>
      <c r="G226" s="7" t="s">
        <v>142</v>
      </c>
      <c r="H226" s="7" t="s">
        <v>142</v>
      </c>
      <c r="I226" s="7" t="s">
        <v>142</v>
      </c>
      <c r="J226" s="7" t="s">
        <v>142</v>
      </c>
      <c r="K226" s="7" t="s">
        <v>142</v>
      </c>
      <c r="L226" s="7" t="s">
        <v>142</v>
      </c>
      <c r="M226" s="370"/>
      <c r="N226" s="137"/>
    </row>
    <row r="227" outlineLevel="1">
      <c r="A227" s="372" t="s">
        <v>967</v>
      </c>
      <c r="B227" s="309">
        <v>46302.0</v>
      </c>
      <c r="C227" s="368" t="str">
        <f t="shared" si="25"/>
        <v>Wed</v>
      </c>
      <c r="D227" s="128">
        <f t="shared" si="26"/>
        <v>1</v>
      </c>
      <c r="E227" s="370" t="s">
        <v>142</v>
      </c>
      <c r="F227" s="7" t="s">
        <v>142</v>
      </c>
      <c r="G227" s="7" t="s">
        <v>142</v>
      </c>
      <c r="H227" s="7" t="s">
        <v>142</v>
      </c>
      <c r="I227" s="7" t="s">
        <v>142</v>
      </c>
      <c r="J227" s="7" t="s">
        <v>142</v>
      </c>
      <c r="K227" s="7" t="s">
        <v>142</v>
      </c>
      <c r="L227" s="7" t="s">
        <v>142</v>
      </c>
      <c r="M227" s="370"/>
      <c r="N227" s="137"/>
    </row>
    <row r="228" outlineLevel="1">
      <c r="A228" s="372" t="s">
        <v>968</v>
      </c>
      <c r="B228" s="309">
        <v>46303.0</v>
      </c>
      <c r="C228" s="368" t="str">
        <f t="shared" si="25"/>
        <v>Thu</v>
      </c>
      <c r="D228" s="143">
        <f t="shared" si="26"/>
        <v>1</v>
      </c>
      <c r="E228" s="369" t="s">
        <v>142</v>
      </c>
      <c r="F228" s="7" t="s">
        <v>142</v>
      </c>
      <c r="G228" s="7" t="s">
        <v>142</v>
      </c>
      <c r="H228" s="7" t="s">
        <v>142</v>
      </c>
      <c r="I228" s="7" t="s">
        <v>142</v>
      </c>
      <c r="J228" s="7" t="s">
        <v>142</v>
      </c>
      <c r="K228" s="7" t="s">
        <v>142</v>
      </c>
      <c r="L228" s="7" t="s">
        <v>142</v>
      </c>
      <c r="M228" s="370"/>
      <c r="N228" s="137"/>
    </row>
    <row r="229" outlineLevel="1">
      <c r="A229" s="372" t="s">
        <v>969</v>
      </c>
      <c r="B229" s="309">
        <v>46303.0</v>
      </c>
      <c r="C229" s="368" t="str">
        <f t="shared" si="25"/>
        <v>Thu</v>
      </c>
      <c r="D229" s="128">
        <f t="shared" si="26"/>
        <v>1</v>
      </c>
      <c r="E229" s="370" t="s">
        <v>142</v>
      </c>
      <c r="F229" s="7" t="s">
        <v>142</v>
      </c>
      <c r="G229" s="7" t="s">
        <v>142</v>
      </c>
      <c r="H229" s="7" t="s">
        <v>142</v>
      </c>
      <c r="I229" s="7" t="s">
        <v>142</v>
      </c>
      <c r="J229" s="7" t="s">
        <v>142</v>
      </c>
      <c r="K229" s="7" t="s">
        <v>142</v>
      </c>
      <c r="L229" s="7" t="s">
        <v>142</v>
      </c>
      <c r="M229" s="370"/>
      <c r="N229" s="137"/>
    </row>
    <row r="230" outlineLevel="1">
      <c r="A230" s="372" t="s">
        <v>970</v>
      </c>
      <c r="B230" s="309">
        <v>46303.0</v>
      </c>
      <c r="C230" s="368" t="str">
        <f t="shared" si="25"/>
        <v>Thu</v>
      </c>
      <c r="D230" s="143">
        <f t="shared" si="26"/>
        <v>1</v>
      </c>
      <c r="E230" s="369" t="s">
        <v>142</v>
      </c>
      <c r="F230" s="7" t="s">
        <v>142</v>
      </c>
      <c r="G230" s="7" t="s">
        <v>142</v>
      </c>
      <c r="H230" s="7" t="s">
        <v>142</v>
      </c>
      <c r="I230" s="7" t="s">
        <v>142</v>
      </c>
      <c r="J230" s="7" t="s">
        <v>142</v>
      </c>
      <c r="K230" s="7" t="s">
        <v>142</v>
      </c>
      <c r="L230" s="7" t="s">
        <v>142</v>
      </c>
      <c r="M230" s="370"/>
      <c r="N230" s="137"/>
    </row>
    <row r="231" outlineLevel="1">
      <c r="A231" s="372" t="s">
        <v>971</v>
      </c>
      <c r="B231" s="309">
        <v>46304.0</v>
      </c>
      <c r="C231" s="368" t="str">
        <f t="shared" si="25"/>
        <v>Fri</v>
      </c>
      <c r="D231" s="128">
        <f t="shared" si="26"/>
        <v>1</v>
      </c>
      <c r="E231" s="370" t="s">
        <v>142</v>
      </c>
      <c r="F231" s="7" t="s">
        <v>142</v>
      </c>
      <c r="G231" s="7" t="s">
        <v>142</v>
      </c>
      <c r="H231" s="7" t="s">
        <v>142</v>
      </c>
      <c r="I231" s="7" t="s">
        <v>142</v>
      </c>
      <c r="J231" s="7" t="s">
        <v>142</v>
      </c>
      <c r="K231" s="7" t="s">
        <v>142</v>
      </c>
      <c r="L231" s="7" t="s">
        <v>142</v>
      </c>
      <c r="M231" s="370"/>
      <c r="N231" s="137"/>
    </row>
    <row r="232" outlineLevel="1">
      <c r="A232" s="372" t="s">
        <v>972</v>
      </c>
      <c r="B232" s="309">
        <v>46304.0</v>
      </c>
      <c r="C232" s="368" t="str">
        <f t="shared" si="25"/>
        <v>Fri</v>
      </c>
      <c r="D232" s="143">
        <f t="shared" si="26"/>
        <v>1</v>
      </c>
      <c r="E232" s="369" t="s">
        <v>142</v>
      </c>
      <c r="F232" s="7" t="s">
        <v>142</v>
      </c>
      <c r="G232" s="7" t="s">
        <v>142</v>
      </c>
      <c r="H232" s="7" t="s">
        <v>142</v>
      </c>
      <c r="I232" s="7" t="s">
        <v>142</v>
      </c>
      <c r="J232" s="7" t="s">
        <v>142</v>
      </c>
      <c r="K232" s="7" t="s">
        <v>142</v>
      </c>
      <c r="L232" s="7" t="s">
        <v>142</v>
      </c>
      <c r="M232" s="370"/>
      <c r="N232" s="137"/>
    </row>
    <row r="233" outlineLevel="1">
      <c r="A233" s="372" t="s">
        <v>973</v>
      </c>
      <c r="B233" s="309">
        <v>46304.0</v>
      </c>
      <c r="C233" s="368" t="str">
        <f t="shared" si="25"/>
        <v>Fri</v>
      </c>
      <c r="D233" s="128">
        <f t="shared" si="26"/>
        <v>1</v>
      </c>
      <c r="E233" s="370" t="s">
        <v>142</v>
      </c>
      <c r="F233" s="7" t="s">
        <v>142</v>
      </c>
      <c r="G233" s="7" t="s">
        <v>142</v>
      </c>
      <c r="H233" s="7" t="s">
        <v>142</v>
      </c>
      <c r="I233" s="7" t="s">
        <v>142</v>
      </c>
      <c r="J233" s="7" t="s">
        <v>142</v>
      </c>
      <c r="K233" s="7" t="s">
        <v>142</v>
      </c>
      <c r="L233" s="7" t="s">
        <v>142</v>
      </c>
      <c r="M233" s="370"/>
      <c r="N233" s="137"/>
    </row>
    <row r="234" outlineLevel="1">
      <c r="A234" s="373"/>
      <c r="B234" s="373"/>
      <c r="C234" s="374" t="s">
        <v>199</v>
      </c>
      <c r="D234" s="414">
        <f>AVERAGE(D219:D233)</f>
        <v>1</v>
      </c>
      <c r="E234" s="391"/>
      <c r="F234" s="373"/>
      <c r="G234" s="373"/>
      <c r="H234" s="373"/>
      <c r="I234" s="373"/>
      <c r="J234" s="373"/>
      <c r="K234" s="373"/>
      <c r="L234" s="374" t="s">
        <v>199</v>
      </c>
      <c r="M234" s="377">
        <f>SUM(M219:M233)/75*0.1</f>
        <v>0</v>
      </c>
      <c r="N234" s="373"/>
    </row>
    <row r="235">
      <c r="B235" s="215"/>
    </row>
    <row r="236">
      <c r="B236" s="215"/>
    </row>
    <row r="237">
      <c r="B237" s="215"/>
    </row>
    <row r="238">
      <c r="B238" s="215"/>
    </row>
    <row r="239">
      <c r="B239" s="215"/>
    </row>
    <row r="240">
      <c r="B240" s="215"/>
    </row>
    <row r="241">
      <c r="B241" s="215"/>
    </row>
    <row r="242">
      <c r="B242" s="215"/>
    </row>
    <row r="243">
      <c r="B243" s="215"/>
    </row>
    <row r="244">
      <c r="B244" s="215"/>
    </row>
    <row r="245">
      <c r="B245" s="215"/>
    </row>
    <row r="246">
      <c r="B246" s="215"/>
    </row>
    <row r="247">
      <c r="B247" s="215"/>
    </row>
    <row r="248">
      <c r="B248" s="215"/>
    </row>
    <row r="249">
      <c r="B249" s="215"/>
    </row>
    <row r="250">
      <c r="B250" s="215"/>
    </row>
    <row r="251">
      <c r="B251" s="215"/>
    </row>
    <row r="252">
      <c r="B252" s="215"/>
    </row>
    <row r="253">
      <c r="B253" s="215"/>
    </row>
    <row r="254">
      <c r="B254" s="215"/>
    </row>
    <row r="255">
      <c r="B255" s="215"/>
    </row>
    <row r="256">
      <c r="B256" s="215"/>
    </row>
    <row r="257">
      <c r="B257" s="215"/>
    </row>
    <row r="258">
      <c r="B258" s="215"/>
    </row>
    <row r="259">
      <c r="B259" s="215"/>
    </row>
    <row r="260">
      <c r="B260" s="215"/>
    </row>
    <row r="261">
      <c r="B261" s="215"/>
    </row>
    <row r="262">
      <c r="B262" s="215"/>
    </row>
    <row r="263">
      <c r="B263" s="215"/>
    </row>
    <row r="264">
      <c r="B264" s="215"/>
    </row>
    <row r="265">
      <c r="B265" s="215"/>
    </row>
    <row r="266">
      <c r="B266" s="215"/>
    </row>
    <row r="267">
      <c r="B267" s="215"/>
    </row>
    <row r="268">
      <c r="B268" s="215"/>
    </row>
    <row r="269">
      <c r="B269" s="215"/>
    </row>
    <row r="270">
      <c r="B270" s="215"/>
    </row>
    <row r="271">
      <c r="B271" s="215"/>
    </row>
    <row r="272">
      <c r="B272" s="215"/>
    </row>
    <row r="273">
      <c r="B273" s="215"/>
    </row>
    <row r="274">
      <c r="B274" s="215"/>
    </row>
    <row r="275">
      <c r="B275" s="215"/>
    </row>
    <row r="276">
      <c r="B276" s="215"/>
    </row>
    <row r="277">
      <c r="B277" s="215"/>
    </row>
    <row r="278">
      <c r="B278" s="215"/>
    </row>
    <row r="279">
      <c r="B279" s="215"/>
    </row>
    <row r="280">
      <c r="B280" s="215"/>
    </row>
    <row r="281">
      <c r="B281" s="215"/>
    </row>
    <row r="282">
      <c r="B282" s="215"/>
    </row>
    <row r="283">
      <c r="B283" s="215"/>
    </row>
    <row r="284">
      <c r="B284" s="215"/>
    </row>
    <row r="285">
      <c r="B285" s="215"/>
    </row>
    <row r="286">
      <c r="B286" s="215"/>
    </row>
    <row r="287">
      <c r="B287" s="215"/>
    </row>
    <row r="288">
      <c r="B288" s="215"/>
    </row>
    <row r="289">
      <c r="B289" s="215"/>
    </row>
    <row r="290">
      <c r="B290" s="215"/>
    </row>
    <row r="291">
      <c r="B291" s="215"/>
    </row>
    <row r="292">
      <c r="B292" s="215"/>
    </row>
    <row r="293">
      <c r="B293" s="215"/>
    </row>
    <row r="294">
      <c r="B294" s="215"/>
    </row>
    <row r="295">
      <c r="B295" s="215"/>
    </row>
    <row r="296">
      <c r="B296" s="215"/>
    </row>
    <row r="297">
      <c r="B297" s="215"/>
    </row>
    <row r="298">
      <c r="B298" s="215"/>
    </row>
    <row r="299">
      <c r="B299" s="215"/>
    </row>
    <row r="300">
      <c r="B300" s="215"/>
    </row>
    <row r="301">
      <c r="B301" s="215"/>
    </row>
    <row r="302">
      <c r="B302" s="215"/>
    </row>
    <row r="303">
      <c r="B303" s="215"/>
    </row>
    <row r="304">
      <c r="B304" s="215"/>
    </row>
    <row r="305">
      <c r="B305" s="215"/>
    </row>
    <row r="306">
      <c r="B306" s="215"/>
    </row>
    <row r="307">
      <c r="B307" s="215"/>
    </row>
    <row r="308">
      <c r="B308" s="215"/>
    </row>
    <row r="309">
      <c r="B309" s="215"/>
    </row>
    <row r="310">
      <c r="B310" s="215"/>
    </row>
    <row r="311">
      <c r="B311" s="215"/>
    </row>
    <row r="312">
      <c r="B312" s="215"/>
    </row>
    <row r="313">
      <c r="B313" s="215"/>
    </row>
    <row r="314">
      <c r="B314" s="215"/>
    </row>
    <row r="315">
      <c r="B315" s="215"/>
    </row>
    <row r="316">
      <c r="B316" s="215"/>
    </row>
    <row r="317">
      <c r="B317" s="215"/>
    </row>
    <row r="318">
      <c r="B318" s="215"/>
    </row>
    <row r="319">
      <c r="B319" s="215"/>
    </row>
    <row r="320">
      <c r="B320" s="215"/>
    </row>
    <row r="321">
      <c r="B321" s="215"/>
    </row>
    <row r="322">
      <c r="B322" s="215"/>
    </row>
    <row r="323">
      <c r="B323" s="215"/>
    </row>
    <row r="324">
      <c r="B324" s="215"/>
    </row>
    <row r="325">
      <c r="B325" s="215"/>
    </row>
    <row r="326">
      <c r="B326" s="215"/>
    </row>
    <row r="327">
      <c r="B327" s="215"/>
    </row>
    <row r="328">
      <c r="B328" s="215"/>
    </row>
    <row r="329">
      <c r="B329" s="215"/>
    </row>
    <row r="330">
      <c r="B330" s="215"/>
    </row>
    <row r="331">
      <c r="B331" s="215"/>
    </row>
    <row r="332">
      <c r="B332" s="215"/>
    </row>
    <row r="333">
      <c r="B333" s="215"/>
    </row>
    <row r="334">
      <c r="B334" s="215"/>
    </row>
    <row r="335">
      <c r="B335" s="215"/>
    </row>
    <row r="336">
      <c r="B336" s="215"/>
    </row>
    <row r="337">
      <c r="B337" s="215"/>
    </row>
    <row r="338">
      <c r="B338" s="215"/>
    </row>
    <row r="339">
      <c r="B339" s="215"/>
    </row>
    <row r="340">
      <c r="B340" s="215"/>
    </row>
    <row r="341">
      <c r="B341" s="215"/>
    </row>
    <row r="342">
      <c r="B342" s="215"/>
    </row>
    <row r="343">
      <c r="B343" s="215"/>
    </row>
    <row r="344">
      <c r="B344" s="215"/>
    </row>
    <row r="345">
      <c r="B345" s="215"/>
    </row>
    <row r="346">
      <c r="B346" s="215"/>
    </row>
    <row r="347">
      <c r="B347" s="215"/>
    </row>
    <row r="348">
      <c r="B348" s="215"/>
    </row>
    <row r="349">
      <c r="B349" s="215"/>
    </row>
    <row r="350">
      <c r="B350" s="215"/>
    </row>
    <row r="351">
      <c r="B351" s="215"/>
    </row>
    <row r="352">
      <c r="B352" s="215"/>
    </row>
    <row r="353">
      <c r="B353" s="215"/>
    </row>
    <row r="354">
      <c r="B354" s="215"/>
    </row>
    <row r="355">
      <c r="B355" s="215"/>
    </row>
    <row r="356">
      <c r="B356" s="215"/>
    </row>
    <row r="357">
      <c r="B357" s="215"/>
    </row>
    <row r="358">
      <c r="B358" s="215"/>
    </row>
    <row r="359">
      <c r="B359" s="215"/>
    </row>
    <row r="360">
      <c r="B360" s="215"/>
    </row>
    <row r="361">
      <c r="B361" s="215"/>
    </row>
    <row r="362">
      <c r="B362" s="215"/>
    </row>
    <row r="363">
      <c r="B363" s="215"/>
    </row>
    <row r="364">
      <c r="B364" s="215"/>
    </row>
    <row r="365">
      <c r="B365" s="215"/>
    </row>
    <row r="366">
      <c r="B366" s="215"/>
    </row>
    <row r="367">
      <c r="B367" s="215"/>
    </row>
    <row r="368">
      <c r="B368" s="215"/>
    </row>
    <row r="369">
      <c r="B369" s="215"/>
    </row>
    <row r="370">
      <c r="B370" s="215"/>
    </row>
  </sheetData>
  <mergeCells count="13">
    <mergeCell ref="A127:D127"/>
    <mergeCell ref="A145:D145"/>
    <mergeCell ref="A163:D163"/>
    <mergeCell ref="A181:D181"/>
    <mergeCell ref="A199:D199"/>
    <mergeCell ref="A217:D217"/>
    <mergeCell ref="A1:D1"/>
    <mergeCell ref="A19:D19"/>
    <mergeCell ref="A37:D37"/>
    <mergeCell ref="A55:D55"/>
    <mergeCell ref="A73:D73"/>
    <mergeCell ref="A91:D91"/>
    <mergeCell ref="A109:D109"/>
  </mergeCells>
  <conditionalFormatting sqref="A1:N234">
    <cfRule type="cellIs" dxfId="10" priority="1" operator="equal">
      <formula>"Absent"</formula>
    </cfRule>
  </conditionalFormatting>
  <conditionalFormatting sqref="A3:B17 C3:D5 E3:L17 C15:D17 A21:B35 C21:D23 E21:L35 C33:D35 A39:B53 C39:D41 E39:L53 C51:D53 A57:B71 C57:D59 E57:L71 C69:D71 A75:B89 C75:D77 E75:L89 C87:D89 A93:B107 C93:D95 E93:L107 C105:D107">
    <cfRule type="cellIs" dxfId="6" priority="2" operator="equal">
      <formula>"LWOP"</formula>
    </cfRule>
  </conditionalFormatting>
  <conditionalFormatting sqref="A1:D1 A19:D19 A37:D37 A55:D55 A73:D73 A91:D91">
    <cfRule type="cellIs" dxfId="7" priority="3" operator="equal">
      <formula>"OFF"</formula>
    </cfRule>
  </conditionalFormatting>
  <conditionalFormatting sqref="A1:D1 A19:D19 A37:D37 A55:D55 A73:D73 A91:D91">
    <cfRule type="cellIs" dxfId="8" priority="4" operator="equal">
      <formula>"A"</formula>
    </cfRule>
  </conditionalFormatting>
  <conditionalFormatting sqref="A1:D1 A19:D19 A37:D37 A55:D55 A73:D73 A91:D91">
    <cfRule type="cellIs" dxfId="9" priority="5" operator="equal">
      <formula>"LWOP"</formula>
    </cfRule>
  </conditionalFormatting>
  <dataValidations>
    <dataValidation type="list" allowBlank="1" showErrorMessage="1" sqref="E3:L17 E21:L35 E39:L53 E57:L71 E75:L89 E93:L107 E111:L125 E129:L143 E147:L161 E165:L179 E183:L197 E201:L215 E219:L233">
      <formula1>"Yes,No"</formula1>
    </dataValidation>
  </dataValidations>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21"/>
    <hyperlink r:id="rId17" ref="A22"/>
    <hyperlink r:id="rId18" ref="A23"/>
    <hyperlink r:id="rId19" ref="A24"/>
    <hyperlink r:id="rId20" ref="A25"/>
    <hyperlink r:id="rId21" ref="A26"/>
    <hyperlink r:id="rId22" ref="A27"/>
    <hyperlink r:id="rId23" ref="A28"/>
    <hyperlink r:id="rId24" ref="A29"/>
    <hyperlink r:id="rId25" ref="A30"/>
    <hyperlink r:id="rId26" ref="A31"/>
    <hyperlink r:id="rId27" ref="A32"/>
    <hyperlink r:id="rId28" ref="A33"/>
    <hyperlink r:id="rId29" ref="A34"/>
    <hyperlink r:id="rId30" ref="A35"/>
    <hyperlink r:id="rId31" ref="A39"/>
    <hyperlink r:id="rId32" ref="A40"/>
    <hyperlink r:id="rId33" ref="A41"/>
    <hyperlink r:id="rId34" ref="A42"/>
    <hyperlink r:id="rId35" ref="A43"/>
    <hyperlink r:id="rId36" ref="A44"/>
    <hyperlink r:id="rId37" ref="A45"/>
    <hyperlink r:id="rId38" ref="A46"/>
    <hyperlink r:id="rId39" ref="A47"/>
    <hyperlink r:id="rId40" ref="A48"/>
    <hyperlink r:id="rId41" ref="A49"/>
    <hyperlink r:id="rId42" ref="A50"/>
    <hyperlink r:id="rId43" ref="A57"/>
    <hyperlink r:id="rId44" ref="A58"/>
    <hyperlink r:id="rId45" ref="A59"/>
    <hyperlink r:id="rId46" ref="A60"/>
    <hyperlink r:id="rId47" ref="A61"/>
    <hyperlink r:id="rId48" ref="A62"/>
    <hyperlink r:id="rId49" ref="A63"/>
    <hyperlink r:id="rId50" ref="A64"/>
    <hyperlink r:id="rId51" ref="A65"/>
    <hyperlink r:id="rId52" ref="A66"/>
    <hyperlink r:id="rId53" ref="A67"/>
    <hyperlink r:id="rId54" ref="A68"/>
    <hyperlink r:id="rId55" ref="A69"/>
    <hyperlink r:id="rId56" ref="A70"/>
    <hyperlink r:id="rId57" ref="A71"/>
    <hyperlink r:id="rId58" ref="A75"/>
    <hyperlink r:id="rId59" ref="A76"/>
    <hyperlink r:id="rId60" ref="A77"/>
    <hyperlink r:id="rId61" ref="A78"/>
    <hyperlink r:id="rId62" ref="A79"/>
    <hyperlink r:id="rId63" ref="A80"/>
    <hyperlink r:id="rId64" ref="A81"/>
    <hyperlink r:id="rId65" ref="A82"/>
    <hyperlink r:id="rId66" ref="A83"/>
    <hyperlink r:id="rId67" ref="A84"/>
    <hyperlink r:id="rId68" ref="A85"/>
    <hyperlink r:id="rId69" ref="A86"/>
    <hyperlink r:id="rId70" ref="A87"/>
    <hyperlink r:id="rId71" ref="A88"/>
    <hyperlink r:id="rId72" ref="A89"/>
    <hyperlink r:id="rId73" ref="A93"/>
    <hyperlink r:id="rId74" ref="A94"/>
    <hyperlink r:id="rId75" ref="A95"/>
    <hyperlink r:id="rId76" ref="A96"/>
    <hyperlink r:id="rId77" ref="A97"/>
    <hyperlink r:id="rId78" ref="A98"/>
    <hyperlink r:id="rId79" ref="A99"/>
    <hyperlink r:id="rId80" ref="A100"/>
    <hyperlink r:id="rId81" ref="A101"/>
    <hyperlink r:id="rId82" ref="A102"/>
    <hyperlink r:id="rId83" ref="A103"/>
    <hyperlink r:id="rId84" ref="A104"/>
    <hyperlink r:id="rId85" ref="A105"/>
    <hyperlink r:id="rId86" ref="A106"/>
    <hyperlink r:id="rId87" ref="A107"/>
    <hyperlink r:id="rId88" ref="A111"/>
    <hyperlink r:id="rId89" ref="A112"/>
    <hyperlink r:id="rId90" ref="A113"/>
    <hyperlink r:id="rId91" ref="A114"/>
    <hyperlink r:id="rId92" ref="A115"/>
    <hyperlink r:id="rId93" ref="A116"/>
    <hyperlink r:id="rId94" ref="A117"/>
    <hyperlink r:id="rId95" ref="A118"/>
    <hyperlink r:id="rId96" ref="A119"/>
    <hyperlink r:id="rId97" ref="A120"/>
    <hyperlink r:id="rId98" ref="A121"/>
    <hyperlink r:id="rId99" ref="A122"/>
    <hyperlink r:id="rId100" ref="A123"/>
    <hyperlink r:id="rId101" ref="A124"/>
    <hyperlink r:id="rId102" ref="A125"/>
    <hyperlink r:id="rId103" ref="A129"/>
    <hyperlink r:id="rId104" ref="A130"/>
    <hyperlink r:id="rId105" ref="A131"/>
    <hyperlink r:id="rId106" ref="A132"/>
    <hyperlink r:id="rId107" ref="A133"/>
    <hyperlink r:id="rId108" ref="A134"/>
    <hyperlink r:id="rId109" ref="A135"/>
    <hyperlink r:id="rId110" ref="A136"/>
    <hyperlink r:id="rId111" ref="A137"/>
    <hyperlink r:id="rId112" ref="A138"/>
    <hyperlink r:id="rId113" ref="A139"/>
    <hyperlink r:id="rId114" ref="A140"/>
    <hyperlink r:id="rId115" ref="A141"/>
    <hyperlink r:id="rId116" ref="A142"/>
    <hyperlink r:id="rId117" ref="A143"/>
    <hyperlink r:id="rId118" ref="A147"/>
    <hyperlink r:id="rId119" ref="A148"/>
    <hyperlink r:id="rId120" ref="A149"/>
    <hyperlink r:id="rId121" ref="A150"/>
    <hyperlink r:id="rId122" ref="A151"/>
    <hyperlink r:id="rId123" ref="A152"/>
    <hyperlink r:id="rId124" ref="A153"/>
    <hyperlink r:id="rId125" ref="A154"/>
    <hyperlink r:id="rId126" ref="A155"/>
    <hyperlink r:id="rId127" ref="A156"/>
    <hyperlink r:id="rId128" ref="A157"/>
    <hyperlink r:id="rId129" ref="A158"/>
    <hyperlink r:id="rId130" ref="A159"/>
    <hyperlink r:id="rId131" ref="A160"/>
    <hyperlink r:id="rId132" ref="A161"/>
    <hyperlink r:id="rId133" ref="A165"/>
    <hyperlink r:id="rId134" ref="A166"/>
    <hyperlink r:id="rId135" ref="A167"/>
    <hyperlink r:id="rId136" ref="A168"/>
    <hyperlink r:id="rId137" ref="A169"/>
    <hyperlink r:id="rId138" ref="A170"/>
    <hyperlink r:id="rId139" ref="A171"/>
    <hyperlink r:id="rId140" ref="A172"/>
    <hyperlink r:id="rId141" ref="A173"/>
    <hyperlink r:id="rId142" ref="A174"/>
    <hyperlink r:id="rId143" ref="A175"/>
    <hyperlink r:id="rId144" ref="A176"/>
    <hyperlink r:id="rId145" ref="A177"/>
    <hyperlink r:id="rId146" ref="A178"/>
    <hyperlink r:id="rId147" ref="A179"/>
    <hyperlink r:id="rId148" ref="A183"/>
    <hyperlink r:id="rId149" ref="A184"/>
    <hyperlink r:id="rId150" ref="A185"/>
    <hyperlink r:id="rId151" ref="A186"/>
    <hyperlink r:id="rId152" ref="A187"/>
    <hyperlink r:id="rId153" ref="A188"/>
    <hyperlink r:id="rId154" ref="A189"/>
    <hyperlink r:id="rId155" ref="A190"/>
    <hyperlink r:id="rId156" ref="A191"/>
    <hyperlink r:id="rId157" ref="A192"/>
    <hyperlink r:id="rId158" ref="A193"/>
    <hyperlink r:id="rId159" ref="A194"/>
    <hyperlink r:id="rId160" ref="A195"/>
    <hyperlink r:id="rId161" ref="A197"/>
    <hyperlink r:id="rId162" ref="A219"/>
    <hyperlink r:id="rId163" ref="A220"/>
    <hyperlink r:id="rId164" ref="A221"/>
    <hyperlink r:id="rId165" ref="A222"/>
    <hyperlink r:id="rId166" ref="A223"/>
    <hyperlink r:id="rId167" ref="A224"/>
    <hyperlink r:id="rId168" ref="A225"/>
    <hyperlink r:id="rId169" ref="A226"/>
    <hyperlink r:id="rId170" ref="A227"/>
    <hyperlink r:id="rId171" ref="A228"/>
    <hyperlink r:id="rId172" ref="A229"/>
    <hyperlink r:id="rId173" ref="A230"/>
    <hyperlink r:id="rId174" ref="A231"/>
    <hyperlink r:id="rId175" ref="A232"/>
    <hyperlink r:id="rId176" ref="A233"/>
  </hyperlinks>
  <drawing r:id="rId17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47.75"/>
    <col hidden="1" min="13" max="13" width="12.63"/>
    <col customWidth="1" min="14" max="14" width="157.13"/>
  </cols>
  <sheetData>
    <row r="1" ht="18.0" hidden="1" customHeight="1" collapsed="1">
      <c r="A1" s="85" t="s">
        <v>210</v>
      </c>
      <c r="B1" s="86"/>
      <c r="C1" s="86"/>
      <c r="D1" s="88"/>
      <c r="E1" s="89"/>
      <c r="F1" s="89"/>
      <c r="G1" s="91"/>
      <c r="H1" s="91"/>
      <c r="I1" s="91"/>
      <c r="J1" s="91"/>
      <c r="K1" s="91"/>
      <c r="L1" s="91"/>
      <c r="M1" s="93"/>
      <c r="N1" s="95"/>
    </row>
    <row r="2" hidden="1" outlineLevel="1">
      <c r="A2" s="96" t="s">
        <v>89</v>
      </c>
      <c r="B2" s="98" t="s">
        <v>90</v>
      </c>
      <c r="C2" s="98" t="s">
        <v>91</v>
      </c>
      <c r="D2" s="101" t="s">
        <v>93</v>
      </c>
      <c r="E2" s="102" t="s">
        <v>94</v>
      </c>
      <c r="F2" s="102" t="s">
        <v>95</v>
      </c>
      <c r="G2" s="105" t="s">
        <v>96</v>
      </c>
      <c r="H2" s="107" t="s">
        <v>97</v>
      </c>
      <c r="I2" s="107" t="s">
        <v>104</v>
      </c>
      <c r="J2" s="105" t="s">
        <v>106</v>
      </c>
      <c r="K2" s="107" t="s">
        <v>109</v>
      </c>
      <c r="L2" s="105" t="s">
        <v>111</v>
      </c>
      <c r="M2" s="98" t="s">
        <v>114</v>
      </c>
      <c r="N2" s="101" t="s">
        <v>116</v>
      </c>
    </row>
    <row r="3" hidden="1" outlineLevel="1">
      <c r="A3" s="397" t="s">
        <v>564</v>
      </c>
      <c r="B3" s="115">
        <v>46216.0</v>
      </c>
      <c r="C3" s="118" t="str">
        <f t="shared" ref="C3:C17" si="1">IF(B3="", "", TEXT(B3, "ddd"))</f>
        <v>Mon</v>
      </c>
      <c r="D3" s="128">
        <f t="shared" ref="D3:D17" si="2">IF(E3="Yes",0.05,0)
+IF(F3="Yes",0.1,0)
+IF(G3="Yes",0.15,0)
+IF(H3="Yes",0.15,0)
+IF(I3="Yes",0.05,0)
+IF(J3="Yes",0.05,0)
+IF(K3="Yes",0.15,0)
+IF(L3="Yes",0.3,0)
</f>
        <v>1</v>
      </c>
      <c r="E3" s="131" t="s">
        <v>142</v>
      </c>
      <c r="F3" s="134" t="s">
        <v>142</v>
      </c>
      <c r="G3" s="134" t="s">
        <v>142</v>
      </c>
      <c r="H3" s="134" t="s">
        <v>142</v>
      </c>
      <c r="I3" s="134" t="s">
        <v>142</v>
      </c>
      <c r="J3" s="134" t="s">
        <v>142</v>
      </c>
      <c r="K3" s="134" t="s">
        <v>142</v>
      </c>
      <c r="L3" s="134" t="s">
        <v>142</v>
      </c>
      <c r="M3" s="136"/>
      <c r="N3" s="137"/>
    </row>
    <row r="4" hidden="1" outlineLevel="1">
      <c r="A4" s="397" t="s">
        <v>567</v>
      </c>
      <c r="B4" s="115">
        <v>46216.0</v>
      </c>
      <c r="C4" s="118" t="str">
        <f t="shared" si="1"/>
        <v>Mon</v>
      </c>
      <c r="D4" s="143">
        <f t="shared" si="2"/>
        <v>1</v>
      </c>
      <c r="E4" s="144" t="s">
        <v>142</v>
      </c>
      <c r="F4" s="134" t="s">
        <v>142</v>
      </c>
      <c r="G4" s="134" t="s">
        <v>142</v>
      </c>
      <c r="H4" s="134" t="s">
        <v>142</v>
      </c>
      <c r="I4" s="134" t="s">
        <v>142</v>
      </c>
      <c r="J4" s="134" t="s">
        <v>142</v>
      </c>
      <c r="K4" s="134" t="s">
        <v>142</v>
      </c>
      <c r="L4" s="134" t="s">
        <v>142</v>
      </c>
      <c r="M4" s="136"/>
      <c r="N4" s="131"/>
    </row>
    <row r="5" hidden="1" outlineLevel="1">
      <c r="A5" s="397" t="s">
        <v>569</v>
      </c>
      <c r="B5" s="115">
        <v>46216.0</v>
      </c>
      <c r="C5" s="118" t="str">
        <f t="shared" si="1"/>
        <v>Mon</v>
      </c>
      <c r="D5" s="128">
        <f t="shared" si="2"/>
        <v>1</v>
      </c>
      <c r="E5" s="131" t="s">
        <v>142</v>
      </c>
      <c r="F5" s="134" t="s">
        <v>142</v>
      </c>
      <c r="G5" s="134" t="s">
        <v>142</v>
      </c>
      <c r="H5" s="134" t="s">
        <v>142</v>
      </c>
      <c r="I5" s="134" t="s">
        <v>142</v>
      </c>
      <c r="J5" s="134" t="s">
        <v>142</v>
      </c>
      <c r="K5" s="134" t="s">
        <v>142</v>
      </c>
      <c r="L5" s="134" t="s">
        <v>142</v>
      </c>
      <c r="M5" s="136"/>
      <c r="N5" s="131"/>
    </row>
    <row r="6" hidden="1" outlineLevel="1">
      <c r="A6" s="397" t="s">
        <v>570</v>
      </c>
      <c r="B6" s="115">
        <v>46217.0</v>
      </c>
      <c r="C6" s="118" t="str">
        <f t="shared" si="1"/>
        <v>Tue</v>
      </c>
      <c r="D6" s="143">
        <f t="shared" si="2"/>
        <v>1</v>
      </c>
      <c r="E6" s="144" t="s">
        <v>142</v>
      </c>
      <c r="F6" s="134" t="s">
        <v>142</v>
      </c>
      <c r="G6" s="134" t="s">
        <v>142</v>
      </c>
      <c r="H6" s="134" t="s">
        <v>142</v>
      </c>
      <c r="I6" s="134" t="s">
        <v>142</v>
      </c>
      <c r="J6" s="134" t="s">
        <v>142</v>
      </c>
      <c r="K6" s="134" t="s">
        <v>142</v>
      </c>
      <c r="L6" s="134" t="s">
        <v>142</v>
      </c>
      <c r="M6" s="136"/>
      <c r="N6" s="137"/>
    </row>
    <row r="7" hidden="1" outlineLevel="1">
      <c r="A7" s="397" t="s">
        <v>572</v>
      </c>
      <c r="B7" s="115">
        <v>46217.0</v>
      </c>
      <c r="C7" s="118" t="str">
        <f t="shared" si="1"/>
        <v>Tue</v>
      </c>
      <c r="D7" s="128">
        <f t="shared" si="2"/>
        <v>1</v>
      </c>
      <c r="E7" s="131" t="s">
        <v>142</v>
      </c>
      <c r="F7" s="134" t="s">
        <v>142</v>
      </c>
      <c r="G7" s="134" t="s">
        <v>142</v>
      </c>
      <c r="H7" s="134" t="s">
        <v>142</v>
      </c>
      <c r="I7" s="134" t="s">
        <v>142</v>
      </c>
      <c r="J7" s="134" t="s">
        <v>142</v>
      </c>
      <c r="K7" s="134" t="s">
        <v>142</v>
      </c>
      <c r="L7" s="134" t="s">
        <v>142</v>
      </c>
      <c r="M7" s="136"/>
      <c r="N7" s="137"/>
    </row>
    <row r="8" hidden="1" outlineLevel="1">
      <c r="A8" s="397" t="s">
        <v>574</v>
      </c>
      <c r="B8" s="115">
        <v>46217.0</v>
      </c>
      <c r="C8" s="118" t="str">
        <f t="shared" si="1"/>
        <v>Tue</v>
      </c>
      <c r="D8" s="143">
        <f t="shared" si="2"/>
        <v>1</v>
      </c>
      <c r="E8" s="144" t="s">
        <v>142</v>
      </c>
      <c r="F8" s="134" t="s">
        <v>142</v>
      </c>
      <c r="G8" s="134" t="s">
        <v>142</v>
      </c>
      <c r="H8" s="134" t="s">
        <v>142</v>
      </c>
      <c r="I8" s="134" t="s">
        <v>142</v>
      </c>
      <c r="J8" s="134" t="s">
        <v>142</v>
      </c>
      <c r="K8" s="134" t="s">
        <v>142</v>
      </c>
      <c r="L8" s="134" t="s">
        <v>142</v>
      </c>
      <c r="M8" s="136"/>
      <c r="N8" s="137"/>
    </row>
    <row r="9" hidden="1" outlineLevel="1">
      <c r="A9" s="397" t="s">
        <v>576</v>
      </c>
      <c r="B9" s="115">
        <v>46219.0</v>
      </c>
      <c r="C9" s="118" t="str">
        <f t="shared" si="1"/>
        <v>Thu</v>
      </c>
      <c r="D9" s="128">
        <f t="shared" si="2"/>
        <v>1</v>
      </c>
      <c r="E9" s="131" t="s">
        <v>142</v>
      </c>
      <c r="F9" s="134" t="s">
        <v>142</v>
      </c>
      <c r="G9" s="134" t="s">
        <v>142</v>
      </c>
      <c r="H9" s="134" t="s">
        <v>142</v>
      </c>
      <c r="I9" s="134" t="s">
        <v>142</v>
      </c>
      <c r="J9" s="134" t="s">
        <v>142</v>
      </c>
      <c r="K9" s="134" t="s">
        <v>142</v>
      </c>
      <c r="L9" s="134" t="s">
        <v>142</v>
      </c>
      <c r="M9" s="136"/>
      <c r="N9" s="137"/>
    </row>
    <row r="10" hidden="1" outlineLevel="1">
      <c r="A10" s="397" t="s">
        <v>577</v>
      </c>
      <c r="B10" s="115">
        <v>46219.0</v>
      </c>
      <c r="C10" s="118" t="str">
        <f t="shared" si="1"/>
        <v>Thu</v>
      </c>
      <c r="D10" s="143">
        <f t="shared" si="2"/>
        <v>1</v>
      </c>
      <c r="E10" s="144" t="s">
        <v>142</v>
      </c>
      <c r="F10" s="134" t="s">
        <v>142</v>
      </c>
      <c r="G10" s="134" t="s">
        <v>142</v>
      </c>
      <c r="H10" s="134" t="s">
        <v>142</v>
      </c>
      <c r="I10" s="134" t="s">
        <v>142</v>
      </c>
      <c r="J10" s="134" t="s">
        <v>142</v>
      </c>
      <c r="K10" s="134" t="s">
        <v>142</v>
      </c>
      <c r="L10" s="134" t="s">
        <v>142</v>
      </c>
      <c r="M10" s="136"/>
      <c r="N10" s="137"/>
    </row>
    <row r="11" hidden="1" outlineLevel="1">
      <c r="A11" s="397" t="s">
        <v>579</v>
      </c>
      <c r="B11" s="115">
        <v>46219.0</v>
      </c>
      <c r="C11" s="118" t="str">
        <f t="shared" si="1"/>
        <v>Thu</v>
      </c>
      <c r="D11" s="128">
        <f t="shared" si="2"/>
        <v>1</v>
      </c>
      <c r="E11" s="131" t="s">
        <v>142</v>
      </c>
      <c r="F11" s="134" t="s">
        <v>142</v>
      </c>
      <c r="G11" s="134" t="s">
        <v>142</v>
      </c>
      <c r="H11" s="134" t="s">
        <v>142</v>
      </c>
      <c r="I11" s="134" t="s">
        <v>142</v>
      </c>
      <c r="J11" s="134" t="s">
        <v>142</v>
      </c>
      <c r="K11" s="134" t="s">
        <v>142</v>
      </c>
      <c r="L11" s="134" t="s">
        <v>142</v>
      </c>
      <c r="M11" s="136"/>
      <c r="N11" s="137"/>
    </row>
    <row r="12" hidden="1" outlineLevel="1">
      <c r="A12" s="397" t="s">
        <v>582</v>
      </c>
      <c r="B12" s="115">
        <v>46220.0</v>
      </c>
      <c r="C12" s="118" t="str">
        <f t="shared" si="1"/>
        <v>Fri</v>
      </c>
      <c r="D12" s="143">
        <f t="shared" si="2"/>
        <v>1</v>
      </c>
      <c r="E12" s="144" t="s">
        <v>142</v>
      </c>
      <c r="F12" s="134" t="s">
        <v>142</v>
      </c>
      <c r="G12" s="134" t="s">
        <v>142</v>
      </c>
      <c r="H12" s="134" t="s">
        <v>142</v>
      </c>
      <c r="I12" s="134" t="s">
        <v>142</v>
      </c>
      <c r="J12" s="134" t="s">
        <v>142</v>
      </c>
      <c r="K12" s="134" t="s">
        <v>142</v>
      </c>
      <c r="L12" s="134" t="s">
        <v>142</v>
      </c>
      <c r="M12" s="136"/>
      <c r="N12" s="131"/>
    </row>
    <row r="13" hidden="1" outlineLevel="1">
      <c r="A13" s="397" t="s">
        <v>584</v>
      </c>
      <c r="B13" s="115">
        <v>46220.0</v>
      </c>
      <c r="C13" s="118" t="str">
        <f t="shared" si="1"/>
        <v>Fri</v>
      </c>
      <c r="D13" s="128">
        <f t="shared" si="2"/>
        <v>1</v>
      </c>
      <c r="E13" s="131" t="s">
        <v>142</v>
      </c>
      <c r="F13" s="134" t="s">
        <v>142</v>
      </c>
      <c r="G13" s="134" t="s">
        <v>142</v>
      </c>
      <c r="H13" s="134" t="s">
        <v>142</v>
      </c>
      <c r="I13" s="134" t="s">
        <v>142</v>
      </c>
      <c r="J13" s="134" t="s">
        <v>142</v>
      </c>
      <c r="K13" s="134" t="s">
        <v>142</v>
      </c>
      <c r="L13" s="134" t="s">
        <v>142</v>
      </c>
      <c r="M13" s="136"/>
      <c r="N13" s="131"/>
    </row>
    <row r="14" hidden="1" outlineLevel="1">
      <c r="A14" s="397" t="s">
        <v>586</v>
      </c>
      <c r="B14" s="115">
        <v>46220.0</v>
      </c>
      <c r="C14" s="118" t="str">
        <f t="shared" si="1"/>
        <v>Fri</v>
      </c>
      <c r="D14" s="143">
        <f t="shared" si="2"/>
        <v>1</v>
      </c>
      <c r="E14" s="144" t="s">
        <v>142</v>
      </c>
      <c r="F14" s="134" t="s">
        <v>142</v>
      </c>
      <c r="G14" s="134" t="s">
        <v>142</v>
      </c>
      <c r="H14" s="134" t="s">
        <v>142</v>
      </c>
      <c r="I14" s="134" t="s">
        <v>142</v>
      </c>
      <c r="J14" s="134" t="s">
        <v>142</v>
      </c>
      <c r="K14" s="134" t="s">
        <v>142</v>
      </c>
      <c r="L14" s="134" t="s">
        <v>142</v>
      </c>
      <c r="M14" s="136"/>
      <c r="N14" s="131"/>
    </row>
    <row r="15" hidden="1" outlineLevel="1">
      <c r="A15" s="398" t="s">
        <v>587</v>
      </c>
      <c r="B15" s="115">
        <v>46221.0</v>
      </c>
      <c r="C15" s="118" t="str">
        <f t="shared" si="1"/>
        <v>Sat</v>
      </c>
      <c r="D15" s="128">
        <f t="shared" si="2"/>
        <v>0</v>
      </c>
      <c r="E15" s="131"/>
      <c r="F15" s="134"/>
      <c r="G15" s="134"/>
      <c r="H15" s="134"/>
      <c r="I15" s="134"/>
      <c r="J15" s="134"/>
      <c r="K15" s="134"/>
      <c r="L15" s="134"/>
      <c r="M15" s="136"/>
      <c r="N15" s="137"/>
    </row>
    <row r="16" hidden="1" outlineLevel="1">
      <c r="A16" s="398" t="s">
        <v>593</v>
      </c>
      <c r="B16" s="115">
        <v>46221.0</v>
      </c>
      <c r="C16" s="118" t="str">
        <f t="shared" si="1"/>
        <v>Sat</v>
      </c>
      <c r="D16" s="143">
        <f t="shared" si="2"/>
        <v>0</v>
      </c>
      <c r="E16" s="144"/>
      <c r="F16" s="134"/>
      <c r="G16" s="134"/>
      <c r="H16" s="134"/>
      <c r="I16" s="134"/>
      <c r="J16" s="134"/>
      <c r="K16" s="134"/>
      <c r="L16" s="134"/>
      <c r="M16" s="136"/>
      <c r="N16" s="137"/>
    </row>
    <row r="17" ht="15.0" hidden="1" customHeight="1" outlineLevel="1">
      <c r="A17" s="398" t="s">
        <v>594</v>
      </c>
      <c r="B17" s="115">
        <v>46221.0</v>
      </c>
      <c r="C17" s="118" t="str">
        <f t="shared" si="1"/>
        <v>Sat</v>
      </c>
      <c r="D17" s="128">
        <f t="shared" si="2"/>
        <v>0</v>
      </c>
      <c r="E17" s="131"/>
      <c r="F17" s="134"/>
      <c r="G17" s="134"/>
      <c r="H17" s="134"/>
      <c r="I17" s="134"/>
      <c r="J17" s="134"/>
      <c r="K17" s="134"/>
      <c r="L17" s="134"/>
      <c r="M17" s="136"/>
      <c r="N17" s="131"/>
    </row>
    <row r="18" hidden="1" outlineLevel="1">
      <c r="B18" s="215"/>
      <c r="C18" s="216" t="s">
        <v>199</v>
      </c>
      <c r="D18" s="217">
        <f>AVERAGE(D3:D17)</f>
        <v>0.8</v>
      </c>
      <c r="E18" s="218"/>
      <c r="L18" s="216" t="s">
        <v>199</v>
      </c>
      <c r="M18" s="217">
        <f>SUM(M3:M17)/75*0.1</f>
        <v>0</v>
      </c>
    </row>
    <row r="19" hidden="1" collapsed="1">
      <c r="A19" s="85" t="s">
        <v>246</v>
      </c>
      <c r="B19" s="86"/>
      <c r="C19" s="86"/>
      <c r="D19" s="88"/>
      <c r="E19" s="89"/>
      <c r="F19" s="89"/>
      <c r="G19" s="91"/>
      <c r="H19" s="91"/>
      <c r="I19" s="91"/>
      <c r="J19" s="91"/>
      <c r="K19" s="91"/>
      <c r="L19" s="91"/>
      <c r="M19" s="93"/>
      <c r="N19" s="95"/>
    </row>
    <row r="20" hidden="1" outlineLevel="1">
      <c r="A20" s="96" t="s">
        <v>89</v>
      </c>
      <c r="B20" s="98" t="s">
        <v>90</v>
      </c>
      <c r="C20" s="98" t="s">
        <v>91</v>
      </c>
      <c r="D20" s="101" t="s">
        <v>93</v>
      </c>
      <c r="E20" s="102" t="s">
        <v>94</v>
      </c>
      <c r="F20" s="102" t="s">
        <v>95</v>
      </c>
      <c r="G20" s="105" t="s">
        <v>96</v>
      </c>
      <c r="H20" s="107" t="s">
        <v>97</v>
      </c>
      <c r="I20" s="107" t="s">
        <v>104</v>
      </c>
      <c r="J20" s="105" t="s">
        <v>106</v>
      </c>
      <c r="K20" s="107" t="s">
        <v>109</v>
      </c>
      <c r="L20" s="105" t="s">
        <v>111</v>
      </c>
      <c r="M20" s="98" t="s">
        <v>114</v>
      </c>
      <c r="N20" s="101" t="s">
        <v>116</v>
      </c>
    </row>
    <row r="21" hidden="1" outlineLevel="1">
      <c r="A21" s="398" t="s">
        <v>598</v>
      </c>
      <c r="B21" s="115">
        <v>46223.0</v>
      </c>
      <c r="C21" s="118" t="str">
        <f t="shared" ref="C21:C35" si="3">IF(B21="", "", TEXT(B21, "ddd"))</f>
        <v>Mon</v>
      </c>
      <c r="D21" s="128">
        <f t="shared" ref="D21:D35" si="4">IF(E21="Yes",0.05,0)
+IF(F21="Yes",0.1,0)
+IF(G21="Yes",0.15,0)
+IF(H21="Yes",0.15,0)
+IF(I21="Yes",0.05,0)
+IF(J21="Yes",0.05,0)
+IF(K21="Yes",0.15,0)
+IF(L21="Yes",0.3,0)
</f>
        <v>1</v>
      </c>
      <c r="E21" s="131" t="s">
        <v>142</v>
      </c>
      <c r="F21" s="134" t="s">
        <v>142</v>
      </c>
      <c r="G21" s="134" t="s">
        <v>142</v>
      </c>
      <c r="H21" s="134" t="s">
        <v>142</v>
      </c>
      <c r="I21" s="134" t="s">
        <v>142</v>
      </c>
      <c r="J21" s="134" t="s">
        <v>142</v>
      </c>
      <c r="K21" s="134" t="s">
        <v>142</v>
      </c>
      <c r="L21" s="134" t="s">
        <v>142</v>
      </c>
      <c r="M21" s="136"/>
      <c r="N21" s="137"/>
    </row>
    <row r="22" hidden="1" outlineLevel="1">
      <c r="A22" s="398" t="s">
        <v>599</v>
      </c>
      <c r="B22" s="115">
        <v>46223.0</v>
      </c>
      <c r="C22" s="118" t="str">
        <f t="shared" si="3"/>
        <v>Mon</v>
      </c>
      <c r="D22" s="143">
        <f t="shared" si="4"/>
        <v>1</v>
      </c>
      <c r="E22" s="144" t="s">
        <v>142</v>
      </c>
      <c r="F22" s="134" t="s">
        <v>142</v>
      </c>
      <c r="G22" s="134" t="s">
        <v>142</v>
      </c>
      <c r="H22" s="134" t="s">
        <v>142</v>
      </c>
      <c r="I22" s="134" t="s">
        <v>142</v>
      </c>
      <c r="J22" s="134" t="s">
        <v>142</v>
      </c>
      <c r="K22" s="134" t="s">
        <v>142</v>
      </c>
      <c r="L22" s="134" t="s">
        <v>142</v>
      </c>
      <c r="M22" s="136"/>
      <c r="N22" s="131"/>
    </row>
    <row r="23" hidden="1" outlineLevel="1">
      <c r="A23" s="398" t="s">
        <v>600</v>
      </c>
      <c r="B23" s="115">
        <v>46223.0</v>
      </c>
      <c r="C23" s="118" t="str">
        <f t="shared" si="3"/>
        <v>Mon</v>
      </c>
      <c r="D23" s="128">
        <f t="shared" si="4"/>
        <v>1</v>
      </c>
      <c r="E23" s="131" t="s">
        <v>142</v>
      </c>
      <c r="F23" s="134" t="s">
        <v>142</v>
      </c>
      <c r="G23" s="134" t="s">
        <v>142</v>
      </c>
      <c r="H23" s="134" t="s">
        <v>142</v>
      </c>
      <c r="I23" s="134" t="s">
        <v>142</v>
      </c>
      <c r="J23" s="134" t="s">
        <v>142</v>
      </c>
      <c r="K23" s="134" t="s">
        <v>142</v>
      </c>
      <c r="L23" s="134" t="s">
        <v>142</v>
      </c>
      <c r="M23" s="136"/>
      <c r="N23" s="131"/>
    </row>
    <row r="24" hidden="1" outlineLevel="1">
      <c r="A24" s="398" t="s">
        <v>602</v>
      </c>
      <c r="B24" s="115">
        <v>46224.0</v>
      </c>
      <c r="C24" s="118" t="str">
        <f t="shared" si="3"/>
        <v>Tue</v>
      </c>
      <c r="D24" s="143">
        <f t="shared" si="4"/>
        <v>1</v>
      </c>
      <c r="E24" s="144" t="s">
        <v>142</v>
      </c>
      <c r="F24" s="134" t="s">
        <v>142</v>
      </c>
      <c r="G24" s="134" t="s">
        <v>142</v>
      </c>
      <c r="H24" s="134" t="s">
        <v>142</v>
      </c>
      <c r="I24" s="134" t="s">
        <v>142</v>
      </c>
      <c r="J24" s="134" t="s">
        <v>142</v>
      </c>
      <c r="K24" s="134" t="s">
        <v>142</v>
      </c>
      <c r="L24" s="134" t="s">
        <v>142</v>
      </c>
      <c r="M24" s="136"/>
      <c r="N24" s="137"/>
    </row>
    <row r="25" hidden="1" outlineLevel="1">
      <c r="A25" s="398" t="s">
        <v>603</v>
      </c>
      <c r="B25" s="115">
        <v>46224.0</v>
      </c>
      <c r="C25" s="118" t="str">
        <f t="shared" si="3"/>
        <v>Tue</v>
      </c>
      <c r="D25" s="128">
        <f t="shared" si="4"/>
        <v>1</v>
      </c>
      <c r="E25" s="131" t="s">
        <v>142</v>
      </c>
      <c r="F25" s="134" t="s">
        <v>142</v>
      </c>
      <c r="G25" s="134" t="s">
        <v>142</v>
      </c>
      <c r="H25" s="134" t="s">
        <v>142</v>
      </c>
      <c r="I25" s="134" t="s">
        <v>142</v>
      </c>
      <c r="J25" s="134" t="s">
        <v>142</v>
      </c>
      <c r="K25" s="134" t="s">
        <v>142</v>
      </c>
      <c r="L25" s="134" t="s">
        <v>142</v>
      </c>
      <c r="M25" s="136"/>
      <c r="N25" s="137"/>
    </row>
    <row r="26" hidden="1" outlineLevel="1">
      <c r="A26" s="398" t="s">
        <v>604</v>
      </c>
      <c r="B26" s="115">
        <v>46224.0</v>
      </c>
      <c r="C26" s="118" t="str">
        <f t="shared" si="3"/>
        <v>Tue</v>
      </c>
      <c r="D26" s="143">
        <f t="shared" si="4"/>
        <v>1</v>
      </c>
      <c r="E26" s="144" t="s">
        <v>142</v>
      </c>
      <c r="F26" s="134" t="s">
        <v>142</v>
      </c>
      <c r="G26" s="134" t="s">
        <v>142</v>
      </c>
      <c r="H26" s="134" t="s">
        <v>142</v>
      </c>
      <c r="I26" s="134" t="s">
        <v>142</v>
      </c>
      <c r="J26" s="134" t="s">
        <v>142</v>
      </c>
      <c r="K26" s="134" t="s">
        <v>142</v>
      </c>
      <c r="L26" s="134" t="s">
        <v>142</v>
      </c>
      <c r="M26" s="136"/>
      <c r="N26" s="137"/>
    </row>
    <row r="27" hidden="1" outlineLevel="1">
      <c r="A27" s="398" t="s">
        <v>606</v>
      </c>
      <c r="B27" s="115">
        <v>46226.0</v>
      </c>
      <c r="C27" s="118" t="str">
        <f t="shared" si="3"/>
        <v>Thu</v>
      </c>
      <c r="D27" s="128">
        <f t="shared" si="4"/>
        <v>1</v>
      </c>
      <c r="E27" s="131" t="s">
        <v>142</v>
      </c>
      <c r="F27" s="134" t="s">
        <v>142</v>
      </c>
      <c r="G27" s="134" t="s">
        <v>142</v>
      </c>
      <c r="H27" s="134" t="s">
        <v>142</v>
      </c>
      <c r="I27" s="134" t="s">
        <v>142</v>
      </c>
      <c r="J27" s="134" t="s">
        <v>142</v>
      </c>
      <c r="K27" s="134" t="s">
        <v>142</v>
      </c>
      <c r="L27" s="134" t="s">
        <v>142</v>
      </c>
      <c r="M27" s="136"/>
      <c r="N27" s="137"/>
    </row>
    <row r="28" hidden="1" outlineLevel="1">
      <c r="A28" s="398" t="s">
        <v>608</v>
      </c>
      <c r="B28" s="115">
        <v>46226.0</v>
      </c>
      <c r="C28" s="118" t="str">
        <f t="shared" si="3"/>
        <v>Thu</v>
      </c>
      <c r="D28" s="143">
        <f t="shared" si="4"/>
        <v>1</v>
      </c>
      <c r="E28" s="144" t="s">
        <v>142</v>
      </c>
      <c r="F28" s="134" t="s">
        <v>142</v>
      </c>
      <c r="G28" s="134" t="s">
        <v>142</v>
      </c>
      <c r="H28" s="134" t="s">
        <v>142</v>
      </c>
      <c r="I28" s="134" t="s">
        <v>142</v>
      </c>
      <c r="J28" s="134" t="s">
        <v>142</v>
      </c>
      <c r="K28" s="134" t="s">
        <v>142</v>
      </c>
      <c r="L28" s="134" t="s">
        <v>142</v>
      </c>
      <c r="M28" s="136"/>
      <c r="N28" s="137"/>
    </row>
    <row r="29" hidden="1" outlineLevel="1">
      <c r="A29" s="398" t="s">
        <v>610</v>
      </c>
      <c r="B29" s="115">
        <v>46226.0</v>
      </c>
      <c r="C29" s="118" t="str">
        <f t="shared" si="3"/>
        <v>Thu</v>
      </c>
      <c r="D29" s="128">
        <f t="shared" si="4"/>
        <v>1</v>
      </c>
      <c r="E29" s="131" t="s">
        <v>142</v>
      </c>
      <c r="F29" s="134" t="s">
        <v>142</v>
      </c>
      <c r="G29" s="134" t="s">
        <v>142</v>
      </c>
      <c r="H29" s="134" t="s">
        <v>142</v>
      </c>
      <c r="I29" s="134" t="s">
        <v>142</v>
      </c>
      <c r="J29" s="134" t="s">
        <v>142</v>
      </c>
      <c r="K29" s="134" t="s">
        <v>142</v>
      </c>
      <c r="L29" s="134" t="s">
        <v>142</v>
      </c>
      <c r="M29" s="136"/>
      <c r="N29" s="137"/>
    </row>
    <row r="30" hidden="1" outlineLevel="1">
      <c r="A30" s="398" t="s">
        <v>611</v>
      </c>
      <c r="B30" s="115">
        <v>46227.0</v>
      </c>
      <c r="C30" s="118" t="str">
        <f t="shared" si="3"/>
        <v>Fri</v>
      </c>
      <c r="D30" s="143">
        <f t="shared" si="4"/>
        <v>1</v>
      </c>
      <c r="E30" s="144" t="s">
        <v>142</v>
      </c>
      <c r="F30" s="134" t="s">
        <v>142</v>
      </c>
      <c r="G30" s="134" t="s">
        <v>142</v>
      </c>
      <c r="H30" s="134" t="s">
        <v>142</v>
      </c>
      <c r="I30" s="134" t="s">
        <v>142</v>
      </c>
      <c r="J30" s="134" t="s">
        <v>142</v>
      </c>
      <c r="K30" s="134" t="s">
        <v>142</v>
      </c>
      <c r="L30" s="134" t="s">
        <v>142</v>
      </c>
      <c r="M30" s="136"/>
      <c r="N30" s="137"/>
    </row>
    <row r="31" hidden="1" outlineLevel="1">
      <c r="A31" s="398" t="s">
        <v>613</v>
      </c>
      <c r="B31" s="115">
        <v>46227.0</v>
      </c>
      <c r="C31" s="118" t="str">
        <f t="shared" si="3"/>
        <v>Fri</v>
      </c>
      <c r="D31" s="128">
        <f t="shared" si="4"/>
        <v>1</v>
      </c>
      <c r="E31" s="131" t="s">
        <v>142</v>
      </c>
      <c r="F31" s="134" t="s">
        <v>142</v>
      </c>
      <c r="G31" s="134" t="s">
        <v>142</v>
      </c>
      <c r="H31" s="134" t="s">
        <v>142</v>
      </c>
      <c r="I31" s="134" t="s">
        <v>142</v>
      </c>
      <c r="J31" s="134" t="s">
        <v>142</v>
      </c>
      <c r="K31" s="134" t="s">
        <v>142</v>
      </c>
      <c r="L31" s="134" t="s">
        <v>142</v>
      </c>
      <c r="M31" s="136"/>
      <c r="N31" s="137"/>
    </row>
    <row r="32" hidden="1" outlineLevel="1">
      <c r="A32" s="398" t="s">
        <v>615</v>
      </c>
      <c r="B32" s="115">
        <v>46227.0</v>
      </c>
      <c r="C32" s="118" t="str">
        <f t="shared" si="3"/>
        <v>Fri</v>
      </c>
      <c r="D32" s="143">
        <f t="shared" si="4"/>
        <v>1</v>
      </c>
      <c r="E32" s="144" t="s">
        <v>142</v>
      </c>
      <c r="F32" s="134" t="s">
        <v>142</v>
      </c>
      <c r="G32" s="134" t="s">
        <v>142</v>
      </c>
      <c r="H32" s="134" t="s">
        <v>142</v>
      </c>
      <c r="I32" s="134" t="s">
        <v>142</v>
      </c>
      <c r="J32" s="134" t="s">
        <v>142</v>
      </c>
      <c r="K32" s="134" t="s">
        <v>142</v>
      </c>
      <c r="L32" s="134" t="s">
        <v>142</v>
      </c>
      <c r="M32" s="136"/>
      <c r="N32" s="137"/>
    </row>
    <row r="33" hidden="1" outlineLevel="1">
      <c r="A33" s="113"/>
      <c r="B33" s="115">
        <v>46228.0</v>
      </c>
      <c r="C33" s="118" t="str">
        <f t="shared" si="3"/>
        <v>Sat</v>
      </c>
      <c r="D33" s="128">
        <f t="shared" si="4"/>
        <v>0</v>
      </c>
      <c r="E33" s="131"/>
      <c r="F33" s="134"/>
      <c r="G33" s="134"/>
      <c r="H33" s="134"/>
      <c r="I33" s="134"/>
      <c r="J33" s="134"/>
      <c r="K33" s="134"/>
      <c r="L33" s="134"/>
      <c r="M33" s="136"/>
      <c r="N33" s="137"/>
    </row>
    <row r="34" hidden="1" outlineLevel="1">
      <c r="A34" s="113"/>
      <c r="B34" s="115">
        <v>46228.0</v>
      </c>
      <c r="C34" s="118" t="str">
        <f t="shared" si="3"/>
        <v>Sat</v>
      </c>
      <c r="D34" s="143">
        <f t="shared" si="4"/>
        <v>0</v>
      </c>
      <c r="E34" s="144"/>
      <c r="F34" s="134"/>
      <c r="G34" s="134"/>
      <c r="H34" s="134"/>
      <c r="I34" s="134"/>
      <c r="J34" s="134"/>
      <c r="K34" s="134"/>
      <c r="L34" s="134"/>
      <c r="M34" s="136"/>
      <c r="N34" s="137"/>
    </row>
    <row r="35" ht="15.0" hidden="1" customHeight="1" outlineLevel="1">
      <c r="A35" s="113"/>
      <c r="B35" s="115">
        <v>46228.0</v>
      </c>
      <c r="C35" s="118" t="str">
        <f t="shared" si="3"/>
        <v>Sat</v>
      </c>
      <c r="D35" s="128">
        <f t="shared" si="4"/>
        <v>0</v>
      </c>
      <c r="E35" s="131"/>
      <c r="F35" s="134"/>
      <c r="G35" s="134"/>
      <c r="H35" s="134"/>
      <c r="I35" s="134"/>
      <c r="J35" s="134"/>
      <c r="K35" s="134"/>
      <c r="L35" s="134"/>
      <c r="M35" s="136"/>
      <c r="N35" s="131"/>
    </row>
    <row r="36" hidden="1" outlineLevel="1">
      <c r="B36" s="215"/>
      <c r="C36" s="216" t="s">
        <v>199</v>
      </c>
      <c r="D36" s="217">
        <f>AVERAGE(D21:D35)</f>
        <v>0.8</v>
      </c>
      <c r="E36" s="218"/>
      <c r="L36" s="216" t="s">
        <v>199</v>
      </c>
      <c r="M36" s="217">
        <f>SUM(M21:M35)/75*0.1</f>
        <v>0</v>
      </c>
    </row>
    <row r="37" hidden="1" collapsed="1">
      <c r="A37" s="85" t="s">
        <v>286</v>
      </c>
      <c r="B37" s="86"/>
      <c r="C37" s="86"/>
      <c r="D37" s="88"/>
      <c r="E37" s="89"/>
      <c r="F37" s="89"/>
      <c r="G37" s="91"/>
      <c r="H37" s="91"/>
      <c r="I37" s="91"/>
      <c r="J37" s="91"/>
      <c r="K37" s="91"/>
      <c r="L37" s="91"/>
      <c r="M37" s="93"/>
      <c r="N37" s="95"/>
    </row>
    <row r="38" hidden="1" outlineLevel="1">
      <c r="A38" s="96" t="s">
        <v>89</v>
      </c>
      <c r="B38" s="98" t="s">
        <v>90</v>
      </c>
      <c r="C38" s="98" t="s">
        <v>91</v>
      </c>
      <c r="D38" s="101" t="s">
        <v>93</v>
      </c>
      <c r="E38" s="102" t="s">
        <v>94</v>
      </c>
      <c r="F38" s="102" t="s">
        <v>95</v>
      </c>
      <c r="G38" s="105" t="s">
        <v>96</v>
      </c>
      <c r="H38" s="107" t="s">
        <v>97</v>
      </c>
      <c r="I38" s="107" t="s">
        <v>104</v>
      </c>
      <c r="J38" s="105" t="s">
        <v>106</v>
      </c>
      <c r="K38" s="107" t="s">
        <v>109</v>
      </c>
      <c r="L38" s="105" t="s">
        <v>111</v>
      </c>
      <c r="M38" s="98" t="s">
        <v>114</v>
      </c>
      <c r="N38" s="101" t="s">
        <v>116</v>
      </c>
    </row>
    <row r="39" hidden="1" outlineLevel="1">
      <c r="A39" s="397" t="s">
        <v>619</v>
      </c>
      <c r="B39" s="309">
        <v>46230.0</v>
      </c>
      <c r="C39" s="118" t="str">
        <f t="shared" ref="C39:C53" si="5">IF(B39="", "", TEXT(B39, "ddd"))</f>
        <v>Mon</v>
      </c>
      <c r="D39" s="128">
        <f t="shared" ref="D39:D53" si="6">IF(E39="Yes",0.05,0)
+IF(F39="Yes",0.1,0)
+IF(G39="Yes",0.15,0)
+IF(H39="Yes",0.15,0)
+IF(I39="Yes",0.05,0)
+IF(J39="Yes",0.05,0)
+IF(K39="Yes",0.15,0)
+IF(L39="Yes",0.3,0)
</f>
        <v>1</v>
      </c>
      <c r="E39" s="131" t="s">
        <v>142</v>
      </c>
      <c r="F39" s="134" t="s">
        <v>142</v>
      </c>
      <c r="G39" s="134" t="s">
        <v>142</v>
      </c>
      <c r="H39" s="134" t="s">
        <v>142</v>
      </c>
      <c r="I39" s="134" t="s">
        <v>142</v>
      </c>
      <c r="J39" s="134" t="s">
        <v>142</v>
      </c>
      <c r="K39" s="134" t="s">
        <v>142</v>
      </c>
      <c r="L39" s="134" t="s">
        <v>142</v>
      </c>
      <c r="M39" s="136"/>
      <c r="N39" s="137"/>
    </row>
    <row r="40" hidden="1" outlineLevel="1">
      <c r="A40" s="113" t="s">
        <v>622</v>
      </c>
      <c r="B40" s="309">
        <v>46230.0</v>
      </c>
      <c r="C40" s="118" t="str">
        <f t="shared" si="5"/>
        <v>Mon</v>
      </c>
      <c r="D40" s="143">
        <f t="shared" si="6"/>
        <v>1</v>
      </c>
      <c r="E40" s="144" t="s">
        <v>142</v>
      </c>
      <c r="F40" s="134" t="s">
        <v>142</v>
      </c>
      <c r="G40" s="134" t="s">
        <v>142</v>
      </c>
      <c r="H40" s="134" t="s">
        <v>142</v>
      </c>
      <c r="I40" s="134" t="s">
        <v>142</v>
      </c>
      <c r="J40" s="134" t="s">
        <v>142</v>
      </c>
      <c r="K40" s="134" t="s">
        <v>142</v>
      </c>
      <c r="L40" s="134" t="s">
        <v>142</v>
      </c>
      <c r="M40" s="136"/>
      <c r="N40" s="131"/>
    </row>
    <row r="41" hidden="1" outlineLevel="1">
      <c r="A41" s="397" t="s">
        <v>624</v>
      </c>
      <c r="B41" s="309">
        <v>46230.0</v>
      </c>
      <c r="C41" s="118" t="str">
        <f t="shared" si="5"/>
        <v>Mon</v>
      </c>
      <c r="D41" s="128">
        <f t="shared" si="6"/>
        <v>1</v>
      </c>
      <c r="E41" s="131" t="s">
        <v>142</v>
      </c>
      <c r="F41" s="134" t="s">
        <v>142</v>
      </c>
      <c r="G41" s="134" t="s">
        <v>142</v>
      </c>
      <c r="H41" s="134" t="s">
        <v>142</v>
      </c>
      <c r="I41" s="134" t="s">
        <v>142</v>
      </c>
      <c r="J41" s="134" t="s">
        <v>142</v>
      </c>
      <c r="K41" s="134" t="s">
        <v>142</v>
      </c>
      <c r="L41" s="134" t="s">
        <v>142</v>
      </c>
      <c r="M41" s="136"/>
      <c r="N41" s="131"/>
    </row>
    <row r="42" hidden="1" outlineLevel="1">
      <c r="A42" s="397" t="s">
        <v>626</v>
      </c>
      <c r="B42" s="309">
        <v>46231.0</v>
      </c>
      <c r="C42" s="118" t="str">
        <f t="shared" si="5"/>
        <v>Tue</v>
      </c>
      <c r="D42" s="143">
        <f t="shared" si="6"/>
        <v>1</v>
      </c>
      <c r="E42" s="144" t="s">
        <v>142</v>
      </c>
      <c r="F42" s="134" t="s">
        <v>142</v>
      </c>
      <c r="G42" s="134" t="s">
        <v>142</v>
      </c>
      <c r="H42" s="134" t="s">
        <v>142</v>
      </c>
      <c r="I42" s="134" t="s">
        <v>142</v>
      </c>
      <c r="J42" s="134" t="s">
        <v>142</v>
      </c>
      <c r="K42" s="134" t="s">
        <v>142</v>
      </c>
      <c r="L42" s="134" t="s">
        <v>142</v>
      </c>
      <c r="M42" s="136"/>
      <c r="N42" s="137"/>
    </row>
    <row r="43" hidden="1" outlineLevel="1">
      <c r="A43" s="397" t="s">
        <v>628</v>
      </c>
      <c r="B43" s="309">
        <v>46231.0</v>
      </c>
      <c r="C43" s="118" t="str">
        <f t="shared" si="5"/>
        <v>Tue</v>
      </c>
      <c r="D43" s="128">
        <f t="shared" si="6"/>
        <v>1</v>
      </c>
      <c r="E43" s="131" t="s">
        <v>142</v>
      </c>
      <c r="F43" s="134" t="s">
        <v>142</v>
      </c>
      <c r="G43" s="134" t="s">
        <v>142</v>
      </c>
      <c r="H43" s="134" t="s">
        <v>142</v>
      </c>
      <c r="I43" s="134" t="s">
        <v>142</v>
      </c>
      <c r="J43" s="134" t="s">
        <v>142</v>
      </c>
      <c r="K43" s="134" t="s">
        <v>142</v>
      </c>
      <c r="L43" s="134" t="s">
        <v>142</v>
      </c>
      <c r="M43" s="136"/>
      <c r="N43" s="137"/>
    </row>
    <row r="44" hidden="1" outlineLevel="1">
      <c r="A44" s="397" t="s">
        <v>630</v>
      </c>
      <c r="B44" s="309">
        <v>46231.0</v>
      </c>
      <c r="C44" s="118" t="str">
        <f t="shared" si="5"/>
        <v>Tue</v>
      </c>
      <c r="D44" s="143">
        <f t="shared" si="6"/>
        <v>1</v>
      </c>
      <c r="E44" s="144" t="s">
        <v>142</v>
      </c>
      <c r="F44" s="134" t="s">
        <v>142</v>
      </c>
      <c r="G44" s="134" t="s">
        <v>142</v>
      </c>
      <c r="H44" s="134" t="s">
        <v>142</v>
      </c>
      <c r="I44" s="134" t="s">
        <v>142</v>
      </c>
      <c r="J44" s="134" t="s">
        <v>142</v>
      </c>
      <c r="K44" s="134" t="s">
        <v>142</v>
      </c>
      <c r="L44" s="134" t="s">
        <v>142</v>
      </c>
      <c r="M44" s="136"/>
      <c r="N44" s="137"/>
    </row>
    <row r="45" hidden="1" outlineLevel="1">
      <c r="A45" s="397" t="s">
        <v>632</v>
      </c>
      <c r="B45" s="309">
        <v>46233.0</v>
      </c>
      <c r="C45" s="118" t="str">
        <f t="shared" si="5"/>
        <v>Thu</v>
      </c>
      <c r="D45" s="128">
        <f t="shared" si="6"/>
        <v>1</v>
      </c>
      <c r="E45" s="131" t="s">
        <v>142</v>
      </c>
      <c r="F45" s="134" t="s">
        <v>142</v>
      </c>
      <c r="G45" s="134" t="s">
        <v>142</v>
      </c>
      <c r="H45" s="134" t="s">
        <v>142</v>
      </c>
      <c r="I45" s="134" t="s">
        <v>142</v>
      </c>
      <c r="J45" s="134" t="s">
        <v>142</v>
      </c>
      <c r="K45" s="134" t="s">
        <v>142</v>
      </c>
      <c r="L45" s="134" t="s">
        <v>142</v>
      </c>
      <c r="M45" s="136"/>
      <c r="N45" s="137"/>
    </row>
    <row r="46" hidden="1" outlineLevel="1">
      <c r="A46" s="397" t="s">
        <v>634</v>
      </c>
      <c r="B46" s="309">
        <v>46233.0</v>
      </c>
      <c r="C46" s="118" t="str">
        <f t="shared" si="5"/>
        <v>Thu</v>
      </c>
      <c r="D46" s="143">
        <f t="shared" si="6"/>
        <v>1</v>
      </c>
      <c r="E46" s="144" t="s">
        <v>142</v>
      </c>
      <c r="F46" s="134" t="s">
        <v>142</v>
      </c>
      <c r="G46" s="134" t="s">
        <v>142</v>
      </c>
      <c r="H46" s="134" t="s">
        <v>142</v>
      </c>
      <c r="I46" s="134" t="s">
        <v>142</v>
      </c>
      <c r="J46" s="134" t="s">
        <v>142</v>
      </c>
      <c r="K46" s="134" t="s">
        <v>142</v>
      </c>
      <c r="L46" s="134" t="s">
        <v>142</v>
      </c>
      <c r="M46" s="136"/>
      <c r="N46" s="131"/>
    </row>
    <row r="47" hidden="1" outlineLevel="1">
      <c r="A47" s="397" t="s">
        <v>635</v>
      </c>
      <c r="B47" s="309">
        <v>46233.0</v>
      </c>
      <c r="C47" s="118" t="str">
        <f t="shared" si="5"/>
        <v>Thu</v>
      </c>
      <c r="D47" s="128">
        <f t="shared" si="6"/>
        <v>1</v>
      </c>
      <c r="E47" s="131" t="s">
        <v>142</v>
      </c>
      <c r="F47" s="134" t="s">
        <v>142</v>
      </c>
      <c r="G47" s="134" t="s">
        <v>142</v>
      </c>
      <c r="H47" s="134" t="s">
        <v>142</v>
      </c>
      <c r="I47" s="134" t="s">
        <v>142</v>
      </c>
      <c r="J47" s="134" t="s">
        <v>142</v>
      </c>
      <c r="K47" s="134" t="s">
        <v>142</v>
      </c>
      <c r="L47" s="134" t="s">
        <v>142</v>
      </c>
      <c r="M47" s="136"/>
      <c r="N47" s="137"/>
    </row>
    <row r="48" hidden="1" outlineLevel="1">
      <c r="A48" s="397" t="s">
        <v>636</v>
      </c>
      <c r="B48" s="309">
        <v>46234.0</v>
      </c>
      <c r="C48" s="118" t="str">
        <f t="shared" si="5"/>
        <v>Fri</v>
      </c>
      <c r="D48" s="143">
        <f t="shared" si="6"/>
        <v>1</v>
      </c>
      <c r="E48" s="144" t="s">
        <v>142</v>
      </c>
      <c r="F48" s="134" t="s">
        <v>142</v>
      </c>
      <c r="G48" s="134" t="s">
        <v>142</v>
      </c>
      <c r="H48" s="134" t="s">
        <v>142</v>
      </c>
      <c r="I48" s="134" t="s">
        <v>142</v>
      </c>
      <c r="J48" s="134" t="s">
        <v>142</v>
      </c>
      <c r="K48" s="134" t="s">
        <v>142</v>
      </c>
      <c r="L48" s="134" t="s">
        <v>142</v>
      </c>
      <c r="M48" s="136"/>
      <c r="N48" s="131"/>
    </row>
    <row r="49" hidden="1" outlineLevel="1">
      <c r="A49" s="397" t="s">
        <v>641</v>
      </c>
      <c r="B49" s="309">
        <v>46234.0</v>
      </c>
      <c r="C49" s="118" t="str">
        <f t="shared" si="5"/>
        <v>Fri</v>
      </c>
      <c r="D49" s="128">
        <f t="shared" si="6"/>
        <v>1</v>
      </c>
      <c r="E49" s="131" t="s">
        <v>142</v>
      </c>
      <c r="F49" s="134" t="s">
        <v>142</v>
      </c>
      <c r="G49" s="134" t="s">
        <v>142</v>
      </c>
      <c r="H49" s="134" t="s">
        <v>142</v>
      </c>
      <c r="I49" s="134" t="s">
        <v>142</v>
      </c>
      <c r="J49" s="134" t="s">
        <v>142</v>
      </c>
      <c r="K49" s="134" t="s">
        <v>142</v>
      </c>
      <c r="L49" s="134" t="s">
        <v>142</v>
      </c>
      <c r="M49" s="136"/>
      <c r="N49" s="131"/>
    </row>
    <row r="50" hidden="1" outlineLevel="1">
      <c r="A50" s="397" t="s">
        <v>642</v>
      </c>
      <c r="B50" s="309">
        <v>46234.0</v>
      </c>
      <c r="C50" s="118" t="str">
        <f t="shared" si="5"/>
        <v>Fri</v>
      </c>
      <c r="D50" s="143">
        <f t="shared" si="6"/>
        <v>1</v>
      </c>
      <c r="E50" s="144" t="s">
        <v>142</v>
      </c>
      <c r="F50" s="134" t="s">
        <v>142</v>
      </c>
      <c r="G50" s="134" t="s">
        <v>142</v>
      </c>
      <c r="H50" s="134" t="s">
        <v>142</v>
      </c>
      <c r="I50" s="134" t="s">
        <v>142</v>
      </c>
      <c r="J50" s="134" t="s">
        <v>142</v>
      </c>
      <c r="K50" s="134" t="s">
        <v>142</v>
      </c>
      <c r="L50" s="134" t="s">
        <v>142</v>
      </c>
      <c r="M50" s="136"/>
      <c r="N50" s="131"/>
    </row>
    <row r="51" hidden="1" outlineLevel="1">
      <c r="A51" s="397" t="s">
        <v>643</v>
      </c>
      <c r="B51" s="309">
        <v>46235.0</v>
      </c>
      <c r="C51" s="118" t="str">
        <f t="shared" si="5"/>
        <v>Sat</v>
      </c>
      <c r="D51" s="128">
        <f t="shared" si="6"/>
        <v>1</v>
      </c>
      <c r="E51" s="131" t="s">
        <v>142</v>
      </c>
      <c r="F51" s="134" t="s">
        <v>142</v>
      </c>
      <c r="G51" s="134" t="s">
        <v>142</v>
      </c>
      <c r="H51" s="134" t="s">
        <v>142</v>
      </c>
      <c r="I51" s="134" t="s">
        <v>142</v>
      </c>
      <c r="J51" s="134" t="s">
        <v>142</v>
      </c>
      <c r="K51" s="134" t="s">
        <v>142</v>
      </c>
      <c r="L51" s="134" t="s">
        <v>142</v>
      </c>
      <c r="M51" s="136"/>
      <c r="N51" s="131"/>
    </row>
    <row r="52" hidden="1" outlineLevel="1">
      <c r="A52" s="397" t="s">
        <v>645</v>
      </c>
      <c r="B52" s="309">
        <v>46235.0</v>
      </c>
      <c r="C52" s="118" t="str">
        <f t="shared" si="5"/>
        <v>Sat</v>
      </c>
      <c r="D52" s="143">
        <f t="shared" si="6"/>
        <v>1</v>
      </c>
      <c r="E52" s="144" t="s">
        <v>142</v>
      </c>
      <c r="F52" s="134" t="s">
        <v>142</v>
      </c>
      <c r="G52" s="134" t="s">
        <v>142</v>
      </c>
      <c r="H52" s="134" t="s">
        <v>142</v>
      </c>
      <c r="I52" s="134" t="s">
        <v>142</v>
      </c>
      <c r="J52" s="134" t="s">
        <v>142</v>
      </c>
      <c r="K52" s="134" t="s">
        <v>142</v>
      </c>
      <c r="L52" s="134" t="s">
        <v>142</v>
      </c>
      <c r="M52" s="136"/>
      <c r="N52" s="131"/>
    </row>
    <row r="53" ht="15.0" hidden="1" customHeight="1" outlineLevel="1">
      <c r="A53" s="397" t="s">
        <v>647</v>
      </c>
      <c r="B53" s="309">
        <v>46235.0</v>
      </c>
      <c r="C53" s="118" t="str">
        <f t="shared" si="5"/>
        <v>Sat</v>
      </c>
      <c r="D53" s="128">
        <f t="shared" si="6"/>
        <v>1</v>
      </c>
      <c r="E53" s="131" t="s">
        <v>142</v>
      </c>
      <c r="F53" s="134" t="s">
        <v>142</v>
      </c>
      <c r="G53" s="134" t="s">
        <v>142</v>
      </c>
      <c r="H53" s="134" t="s">
        <v>142</v>
      </c>
      <c r="I53" s="134" t="s">
        <v>142</v>
      </c>
      <c r="J53" s="134" t="s">
        <v>142</v>
      </c>
      <c r="K53" s="134" t="s">
        <v>142</v>
      </c>
      <c r="L53" s="134" t="s">
        <v>142</v>
      </c>
      <c r="M53" s="136"/>
      <c r="N53" s="131"/>
    </row>
    <row r="54" hidden="1" outlineLevel="1">
      <c r="B54" s="215"/>
      <c r="C54" s="216" t="s">
        <v>199</v>
      </c>
      <c r="D54" s="217">
        <f>AVERAGE(D39:D53)</f>
        <v>1</v>
      </c>
      <c r="E54" s="218"/>
      <c r="L54" s="216" t="s">
        <v>199</v>
      </c>
      <c r="M54" s="217">
        <f>SUM(M39:M53)/75*0.1</f>
        <v>0</v>
      </c>
    </row>
    <row r="55" hidden="1" collapsed="1">
      <c r="A55" s="85" t="s">
        <v>315</v>
      </c>
      <c r="B55" s="86"/>
      <c r="C55" s="86"/>
      <c r="D55" s="88"/>
      <c r="E55" s="89"/>
      <c r="F55" s="89"/>
      <c r="G55" s="91"/>
      <c r="H55" s="91"/>
      <c r="I55" s="91"/>
      <c r="J55" s="91"/>
      <c r="K55" s="91"/>
      <c r="L55" s="91"/>
      <c r="M55" s="93"/>
      <c r="N55" s="95"/>
    </row>
    <row r="56" hidden="1" outlineLevel="1">
      <c r="A56" s="96" t="s">
        <v>89</v>
      </c>
      <c r="B56" s="98" t="s">
        <v>90</v>
      </c>
      <c r="C56" s="98" t="s">
        <v>91</v>
      </c>
      <c r="D56" s="101" t="s">
        <v>93</v>
      </c>
      <c r="E56" s="102" t="s">
        <v>94</v>
      </c>
      <c r="F56" s="102" t="s">
        <v>95</v>
      </c>
      <c r="G56" s="105" t="s">
        <v>96</v>
      </c>
      <c r="H56" s="107" t="s">
        <v>97</v>
      </c>
      <c r="I56" s="107" t="s">
        <v>104</v>
      </c>
      <c r="J56" s="105" t="s">
        <v>106</v>
      </c>
      <c r="K56" s="107" t="s">
        <v>109</v>
      </c>
      <c r="L56" s="105" t="s">
        <v>111</v>
      </c>
      <c r="M56" s="98" t="s">
        <v>114</v>
      </c>
      <c r="N56" s="101" t="s">
        <v>116</v>
      </c>
    </row>
    <row r="57" hidden="1" outlineLevel="1">
      <c r="A57" s="397" t="s">
        <v>649</v>
      </c>
      <c r="B57" s="309">
        <v>46237.0</v>
      </c>
      <c r="C57" s="118" t="str">
        <f t="shared" ref="C57:C71" si="7">IF(B57="", "", TEXT(B57, "ddd"))</f>
        <v>Mon</v>
      </c>
      <c r="D57" s="128">
        <f t="shared" ref="D57:D71" si="8">IF(E57="Yes",0.05,0)
+IF(F57="Yes",0.1,0)
+IF(G57="Yes",0.15,0)
+IF(H57="Yes",0.15,0)
+IF(I57="Yes",0.05,0)
+IF(J57="Yes",0.05,0)
+IF(K57="Yes",0.15,0)
+IF(L57="Yes",0.3,0)
</f>
        <v>1</v>
      </c>
      <c r="E57" s="131" t="s">
        <v>142</v>
      </c>
      <c r="F57" s="134" t="s">
        <v>142</v>
      </c>
      <c r="G57" s="134" t="s">
        <v>142</v>
      </c>
      <c r="H57" s="134" t="s">
        <v>142</v>
      </c>
      <c r="I57" s="134" t="s">
        <v>142</v>
      </c>
      <c r="J57" s="134" t="s">
        <v>142</v>
      </c>
      <c r="K57" s="134" t="s">
        <v>142</v>
      </c>
      <c r="L57" s="134" t="s">
        <v>142</v>
      </c>
      <c r="M57" s="136"/>
      <c r="N57" s="137"/>
    </row>
    <row r="58" hidden="1" outlineLevel="1">
      <c r="A58" s="397" t="s">
        <v>652</v>
      </c>
      <c r="B58" s="309">
        <v>46237.0</v>
      </c>
      <c r="C58" s="118" t="str">
        <f t="shared" si="7"/>
        <v>Mon</v>
      </c>
      <c r="D58" s="143">
        <f t="shared" si="8"/>
        <v>1</v>
      </c>
      <c r="E58" s="144" t="s">
        <v>142</v>
      </c>
      <c r="F58" s="134" t="s">
        <v>142</v>
      </c>
      <c r="G58" s="134" t="s">
        <v>142</v>
      </c>
      <c r="H58" s="134" t="s">
        <v>142</v>
      </c>
      <c r="I58" s="134" t="s">
        <v>142</v>
      </c>
      <c r="J58" s="134" t="s">
        <v>142</v>
      </c>
      <c r="K58" s="134" t="s">
        <v>142</v>
      </c>
      <c r="L58" s="134" t="s">
        <v>142</v>
      </c>
      <c r="M58" s="136"/>
      <c r="N58" s="131"/>
    </row>
    <row r="59" hidden="1" outlineLevel="1">
      <c r="A59" s="397" t="s">
        <v>654</v>
      </c>
      <c r="B59" s="309">
        <v>46237.0</v>
      </c>
      <c r="C59" s="118" t="str">
        <f t="shared" si="7"/>
        <v>Mon</v>
      </c>
      <c r="D59" s="128">
        <f t="shared" si="8"/>
        <v>1</v>
      </c>
      <c r="E59" s="131" t="s">
        <v>142</v>
      </c>
      <c r="F59" s="134" t="s">
        <v>142</v>
      </c>
      <c r="G59" s="134" t="s">
        <v>142</v>
      </c>
      <c r="H59" s="134" t="s">
        <v>142</v>
      </c>
      <c r="I59" s="134" t="s">
        <v>142</v>
      </c>
      <c r="J59" s="134" t="s">
        <v>142</v>
      </c>
      <c r="K59" s="134" t="s">
        <v>142</v>
      </c>
      <c r="L59" s="134" t="s">
        <v>142</v>
      </c>
      <c r="M59" s="136"/>
      <c r="N59" s="131"/>
    </row>
    <row r="60" hidden="1" outlineLevel="1">
      <c r="A60" s="397" t="s">
        <v>656</v>
      </c>
      <c r="B60" s="309">
        <v>46238.0</v>
      </c>
      <c r="C60" s="118" t="str">
        <f t="shared" si="7"/>
        <v>Tue</v>
      </c>
      <c r="D60" s="143">
        <f t="shared" si="8"/>
        <v>1</v>
      </c>
      <c r="E60" s="144" t="s">
        <v>142</v>
      </c>
      <c r="F60" s="134" t="s">
        <v>142</v>
      </c>
      <c r="G60" s="134" t="s">
        <v>142</v>
      </c>
      <c r="H60" s="134" t="s">
        <v>142</v>
      </c>
      <c r="I60" s="134" t="s">
        <v>142</v>
      </c>
      <c r="J60" s="134" t="s">
        <v>142</v>
      </c>
      <c r="K60" s="134" t="s">
        <v>142</v>
      </c>
      <c r="L60" s="134" t="s">
        <v>142</v>
      </c>
      <c r="M60" s="136"/>
      <c r="N60" s="131"/>
    </row>
    <row r="61" hidden="1" outlineLevel="1">
      <c r="A61" s="397" t="s">
        <v>659</v>
      </c>
      <c r="B61" s="309">
        <v>46238.0</v>
      </c>
      <c r="C61" s="118" t="str">
        <f t="shared" si="7"/>
        <v>Tue</v>
      </c>
      <c r="D61" s="128">
        <f t="shared" si="8"/>
        <v>1</v>
      </c>
      <c r="E61" s="131" t="s">
        <v>142</v>
      </c>
      <c r="F61" s="134" t="s">
        <v>142</v>
      </c>
      <c r="G61" s="134" t="s">
        <v>142</v>
      </c>
      <c r="H61" s="134" t="s">
        <v>142</v>
      </c>
      <c r="I61" s="134" t="s">
        <v>142</v>
      </c>
      <c r="J61" s="134" t="s">
        <v>142</v>
      </c>
      <c r="K61" s="134" t="s">
        <v>142</v>
      </c>
      <c r="L61" s="134" t="s">
        <v>142</v>
      </c>
      <c r="M61" s="136"/>
      <c r="N61" s="131"/>
    </row>
    <row r="62" hidden="1" outlineLevel="1">
      <c r="A62" s="397" t="s">
        <v>662</v>
      </c>
      <c r="B62" s="309">
        <v>46238.0</v>
      </c>
      <c r="C62" s="118" t="str">
        <f t="shared" si="7"/>
        <v>Tue</v>
      </c>
      <c r="D62" s="143">
        <f t="shared" si="8"/>
        <v>1</v>
      </c>
      <c r="E62" s="144" t="s">
        <v>142</v>
      </c>
      <c r="F62" s="134" t="s">
        <v>142</v>
      </c>
      <c r="G62" s="134" t="s">
        <v>142</v>
      </c>
      <c r="H62" s="134" t="s">
        <v>142</v>
      </c>
      <c r="I62" s="134" t="s">
        <v>142</v>
      </c>
      <c r="J62" s="134" t="s">
        <v>142</v>
      </c>
      <c r="K62" s="134" t="s">
        <v>142</v>
      </c>
      <c r="L62" s="134" t="s">
        <v>142</v>
      </c>
      <c r="M62" s="136"/>
      <c r="N62" s="131"/>
    </row>
    <row r="63" hidden="1" outlineLevel="1">
      <c r="A63" s="397" t="s">
        <v>665</v>
      </c>
      <c r="B63" s="309">
        <v>46240.0</v>
      </c>
      <c r="C63" s="118" t="str">
        <f t="shared" si="7"/>
        <v>Thu</v>
      </c>
      <c r="D63" s="128">
        <f t="shared" si="8"/>
        <v>1</v>
      </c>
      <c r="E63" s="131" t="s">
        <v>142</v>
      </c>
      <c r="F63" s="134" t="s">
        <v>142</v>
      </c>
      <c r="G63" s="134" t="s">
        <v>142</v>
      </c>
      <c r="H63" s="134" t="s">
        <v>142</v>
      </c>
      <c r="I63" s="134" t="s">
        <v>142</v>
      </c>
      <c r="J63" s="134" t="s">
        <v>142</v>
      </c>
      <c r="K63" s="134" t="s">
        <v>142</v>
      </c>
      <c r="L63" s="134" t="s">
        <v>142</v>
      </c>
      <c r="M63" s="136"/>
      <c r="N63" s="131"/>
    </row>
    <row r="64" hidden="1" outlineLevel="1">
      <c r="A64" s="397" t="s">
        <v>666</v>
      </c>
      <c r="B64" s="309">
        <v>46240.0</v>
      </c>
      <c r="C64" s="118" t="str">
        <f t="shared" si="7"/>
        <v>Thu</v>
      </c>
      <c r="D64" s="143">
        <f t="shared" si="8"/>
        <v>1</v>
      </c>
      <c r="E64" s="144" t="s">
        <v>142</v>
      </c>
      <c r="F64" s="134" t="s">
        <v>142</v>
      </c>
      <c r="G64" s="134" t="s">
        <v>142</v>
      </c>
      <c r="H64" s="134" t="s">
        <v>142</v>
      </c>
      <c r="I64" s="134" t="s">
        <v>142</v>
      </c>
      <c r="J64" s="134" t="s">
        <v>142</v>
      </c>
      <c r="K64" s="134" t="s">
        <v>142</v>
      </c>
      <c r="L64" s="134" t="s">
        <v>142</v>
      </c>
      <c r="M64" s="136"/>
      <c r="N64" s="131"/>
    </row>
    <row r="65" hidden="1" outlineLevel="1">
      <c r="A65" s="397" t="s">
        <v>667</v>
      </c>
      <c r="B65" s="309">
        <v>46240.0</v>
      </c>
      <c r="C65" s="118" t="str">
        <f t="shared" si="7"/>
        <v>Thu</v>
      </c>
      <c r="D65" s="128">
        <f t="shared" si="8"/>
        <v>1</v>
      </c>
      <c r="E65" s="131" t="s">
        <v>142</v>
      </c>
      <c r="F65" s="134" t="s">
        <v>142</v>
      </c>
      <c r="G65" s="134" t="s">
        <v>142</v>
      </c>
      <c r="H65" s="134" t="s">
        <v>142</v>
      </c>
      <c r="I65" s="134" t="s">
        <v>142</v>
      </c>
      <c r="J65" s="134" t="s">
        <v>142</v>
      </c>
      <c r="K65" s="134" t="s">
        <v>142</v>
      </c>
      <c r="L65" s="134" t="s">
        <v>142</v>
      </c>
      <c r="M65" s="136"/>
      <c r="N65" s="131"/>
    </row>
    <row r="66" hidden="1" outlineLevel="1">
      <c r="A66" s="397" t="s">
        <v>668</v>
      </c>
      <c r="B66" s="309">
        <v>46241.0</v>
      </c>
      <c r="C66" s="118" t="str">
        <f t="shared" si="7"/>
        <v>Fri</v>
      </c>
      <c r="D66" s="143">
        <f t="shared" si="8"/>
        <v>1</v>
      </c>
      <c r="E66" s="144" t="s">
        <v>142</v>
      </c>
      <c r="F66" s="134" t="s">
        <v>142</v>
      </c>
      <c r="G66" s="134" t="s">
        <v>142</v>
      </c>
      <c r="H66" s="134" t="s">
        <v>142</v>
      </c>
      <c r="I66" s="134" t="s">
        <v>142</v>
      </c>
      <c r="J66" s="134" t="s">
        <v>142</v>
      </c>
      <c r="K66" s="134" t="s">
        <v>142</v>
      </c>
      <c r="L66" s="134" t="s">
        <v>142</v>
      </c>
      <c r="M66" s="136"/>
      <c r="N66" s="131"/>
    </row>
    <row r="67" hidden="1" outlineLevel="1">
      <c r="A67" s="397" t="s">
        <v>670</v>
      </c>
      <c r="B67" s="309">
        <v>46241.0</v>
      </c>
      <c r="C67" s="118" t="str">
        <f t="shared" si="7"/>
        <v>Fri</v>
      </c>
      <c r="D67" s="128">
        <f t="shared" si="8"/>
        <v>1</v>
      </c>
      <c r="E67" s="131" t="s">
        <v>142</v>
      </c>
      <c r="F67" s="134" t="s">
        <v>142</v>
      </c>
      <c r="G67" s="134" t="s">
        <v>142</v>
      </c>
      <c r="H67" s="134" t="s">
        <v>142</v>
      </c>
      <c r="I67" s="134" t="s">
        <v>142</v>
      </c>
      <c r="J67" s="134" t="s">
        <v>142</v>
      </c>
      <c r="K67" s="134" t="s">
        <v>142</v>
      </c>
      <c r="L67" s="134" t="s">
        <v>142</v>
      </c>
      <c r="M67" s="136"/>
      <c r="N67" s="131"/>
    </row>
    <row r="68" hidden="1" outlineLevel="1">
      <c r="A68" s="397" t="s">
        <v>671</v>
      </c>
      <c r="B68" s="309">
        <v>46241.0</v>
      </c>
      <c r="C68" s="118" t="str">
        <f t="shared" si="7"/>
        <v>Fri</v>
      </c>
      <c r="D68" s="143">
        <f t="shared" si="8"/>
        <v>1</v>
      </c>
      <c r="E68" s="144" t="s">
        <v>142</v>
      </c>
      <c r="F68" s="134" t="s">
        <v>142</v>
      </c>
      <c r="G68" s="134" t="s">
        <v>142</v>
      </c>
      <c r="H68" s="134" t="s">
        <v>142</v>
      </c>
      <c r="I68" s="134" t="s">
        <v>142</v>
      </c>
      <c r="J68" s="134" t="s">
        <v>142</v>
      </c>
      <c r="K68" s="134" t="s">
        <v>142</v>
      </c>
      <c r="L68" s="134" t="s">
        <v>142</v>
      </c>
      <c r="M68" s="136"/>
      <c r="N68" s="131"/>
    </row>
    <row r="69" hidden="1" outlineLevel="1">
      <c r="A69" s="397" t="s">
        <v>673</v>
      </c>
      <c r="B69" s="309">
        <v>46242.0</v>
      </c>
      <c r="C69" s="118" t="str">
        <f t="shared" si="7"/>
        <v>Sat</v>
      </c>
      <c r="D69" s="128">
        <f t="shared" si="8"/>
        <v>1</v>
      </c>
      <c r="E69" s="131" t="s">
        <v>142</v>
      </c>
      <c r="F69" s="134" t="s">
        <v>142</v>
      </c>
      <c r="G69" s="134" t="s">
        <v>142</v>
      </c>
      <c r="H69" s="134" t="s">
        <v>142</v>
      </c>
      <c r="I69" s="134" t="s">
        <v>142</v>
      </c>
      <c r="J69" s="134" t="s">
        <v>142</v>
      </c>
      <c r="K69" s="134" t="s">
        <v>142</v>
      </c>
      <c r="L69" s="134" t="s">
        <v>142</v>
      </c>
      <c r="M69" s="136"/>
      <c r="N69" s="131"/>
    </row>
    <row r="70" hidden="1" outlineLevel="1">
      <c r="A70" s="397" t="s">
        <v>675</v>
      </c>
      <c r="B70" s="309">
        <v>46242.0</v>
      </c>
      <c r="C70" s="118" t="str">
        <f t="shared" si="7"/>
        <v>Sat</v>
      </c>
      <c r="D70" s="143">
        <f t="shared" si="8"/>
        <v>1</v>
      </c>
      <c r="E70" s="144" t="s">
        <v>142</v>
      </c>
      <c r="F70" s="134" t="s">
        <v>142</v>
      </c>
      <c r="G70" s="134" t="s">
        <v>142</v>
      </c>
      <c r="H70" s="134" t="s">
        <v>142</v>
      </c>
      <c r="I70" s="134" t="s">
        <v>142</v>
      </c>
      <c r="J70" s="134" t="s">
        <v>142</v>
      </c>
      <c r="K70" s="134" t="s">
        <v>142</v>
      </c>
      <c r="L70" s="134" t="s">
        <v>142</v>
      </c>
      <c r="M70" s="136"/>
      <c r="N70" s="131"/>
    </row>
    <row r="71" ht="15.0" hidden="1" customHeight="1" outlineLevel="1">
      <c r="A71" s="397" t="s">
        <v>677</v>
      </c>
      <c r="B71" s="309">
        <v>46242.0</v>
      </c>
      <c r="C71" s="118" t="str">
        <f t="shared" si="7"/>
        <v>Sat</v>
      </c>
      <c r="D71" s="128">
        <f t="shared" si="8"/>
        <v>1</v>
      </c>
      <c r="E71" s="131" t="s">
        <v>142</v>
      </c>
      <c r="F71" s="134" t="s">
        <v>142</v>
      </c>
      <c r="G71" s="134" t="s">
        <v>142</v>
      </c>
      <c r="H71" s="134" t="s">
        <v>142</v>
      </c>
      <c r="I71" s="134" t="s">
        <v>142</v>
      </c>
      <c r="J71" s="134" t="s">
        <v>142</v>
      </c>
      <c r="K71" s="134" t="s">
        <v>142</v>
      </c>
      <c r="L71" s="134" t="s">
        <v>142</v>
      </c>
      <c r="M71" s="136"/>
      <c r="N71" s="131"/>
    </row>
    <row r="72" hidden="1" outlineLevel="1">
      <c r="B72" s="215"/>
      <c r="C72" s="216" t="s">
        <v>199</v>
      </c>
      <c r="D72" s="217">
        <f>AVERAGE(D57:D71)</f>
        <v>1</v>
      </c>
      <c r="E72" s="218"/>
      <c r="L72" s="216" t="s">
        <v>199</v>
      </c>
      <c r="M72" s="217">
        <f>SUM(M57:M71)/75*0.1</f>
        <v>0</v>
      </c>
    </row>
    <row r="73" hidden="1" collapsed="1">
      <c r="A73" s="85" t="s">
        <v>347</v>
      </c>
      <c r="B73" s="86"/>
      <c r="C73" s="86"/>
      <c r="D73" s="88"/>
      <c r="E73" s="89"/>
      <c r="F73" s="89"/>
      <c r="G73" s="91"/>
      <c r="H73" s="91"/>
      <c r="I73" s="91"/>
      <c r="J73" s="91"/>
      <c r="K73" s="91"/>
      <c r="L73" s="91"/>
      <c r="M73" s="93"/>
      <c r="N73" s="95"/>
    </row>
    <row r="74" hidden="1" outlineLevel="1">
      <c r="A74" s="96" t="s">
        <v>89</v>
      </c>
      <c r="B74" s="98" t="s">
        <v>90</v>
      </c>
      <c r="C74" s="98" t="s">
        <v>91</v>
      </c>
      <c r="D74" s="101" t="s">
        <v>93</v>
      </c>
      <c r="E74" s="102" t="s">
        <v>94</v>
      </c>
      <c r="F74" s="102" t="s">
        <v>95</v>
      </c>
      <c r="G74" s="105" t="s">
        <v>96</v>
      </c>
      <c r="H74" s="107" t="s">
        <v>97</v>
      </c>
      <c r="I74" s="107" t="s">
        <v>104</v>
      </c>
      <c r="J74" s="105" t="s">
        <v>106</v>
      </c>
      <c r="K74" s="107" t="s">
        <v>109</v>
      </c>
      <c r="L74" s="105" t="s">
        <v>111</v>
      </c>
      <c r="M74" s="98" t="s">
        <v>114</v>
      </c>
      <c r="N74" s="101" t="s">
        <v>116</v>
      </c>
    </row>
    <row r="75" hidden="1" outlineLevel="1">
      <c r="A75" s="397" t="s">
        <v>681</v>
      </c>
      <c r="B75" s="309">
        <v>46244.0</v>
      </c>
      <c r="C75" s="118" t="str">
        <f t="shared" ref="C75:C89" si="9">IF(B75="", "", TEXT(B75, "ddd"))</f>
        <v>Mon</v>
      </c>
      <c r="D75" s="128">
        <f t="shared" ref="D75:D89" si="10">IF(E75="Yes",0.05,0)
+IF(F75="Yes",0.1,0)
+IF(G75="Yes",0.15,0)
+IF(H75="Yes",0.15,0)
+IF(I75="Yes",0.05,0)
+IF(J75="Yes",0.05,0)
+IF(K75="Yes",0.15,0)
+IF(L75="Yes",0.3,0)
</f>
        <v>1</v>
      </c>
      <c r="E75" s="131" t="s">
        <v>142</v>
      </c>
      <c r="F75" s="134" t="s">
        <v>142</v>
      </c>
      <c r="G75" s="134" t="s">
        <v>142</v>
      </c>
      <c r="H75" s="134" t="s">
        <v>142</v>
      </c>
      <c r="I75" s="134" t="s">
        <v>142</v>
      </c>
      <c r="J75" s="134" t="s">
        <v>142</v>
      </c>
      <c r="K75" s="134" t="s">
        <v>142</v>
      </c>
      <c r="L75" s="134" t="s">
        <v>142</v>
      </c>
      <c r="M75" s="136"/>
      <c r="N75" s="137"/>
    </row>
    <row r="76" hidden="1" outlineLevel="1">
      <c r="A76" s="397" t="s">
        <v>683</v>
      </c>
      <c r="B76" s="309">
        <v>46244.0</v>
      </c>
      <c r="C76" s="118" t="str">
        <f t="shared" si="9"/>
        <v>Mon</v>
      </c>
      <c r="D76" s="143">
        <f t="shared" si="10"/>
        <v>1</v>
      </c>
      <c r="E76" s="144" t="s">
        <v>142</v>
      </c>
      <c r="F76" s="134" t="s">
        <v>142</v>
      </c>
      <c r="G76" s="134" t="s">
        <v>142</v>
      </c>
      <c r="H76" s="134" t="s">
        <v>142</v>
      </c>
      <c r="I76" s="134" t="s">
        <v>142</v>
      </c>
      <c r="J76" s="134" t="s">
        <v>142</v>
      </c>
      <c r="K76" s="134" t="s">
        <v>142</v>
      </c>
      <c r="L76" s="134" t="s">
        <v>142</v>
      </c>
      <c r="M76" s="136"/>
      <c r="N76" s="131"/>
    </row>
    <row r="77" hidden="1" outlineLevel="1">
      <c r="A77" s="397" t="s">
        <v>685</v>
      </c>
      <c r="B77" s="309">
        <v>46244.0</v>
      </c>
      <c r="C77" s="118" t="str">
        <f t="shared" si="9"/>
        <v>Mon</v>
      </c>
      <c r="D77" s="128">
        <f t="shared" si="10"/>
        <v>1</v>
      </c>
      <c r="E77" s="131" t="s">
        <v>142</v>
      </c>
      <c r="F77" s="134" t="s">
        <v>142</v>
      </c>
      <c r="G77" s="134" t="s">
        <v>142</v>
      </c>
      <c r="H77" s="134" t="s">
        <v>142</v>
      </c>
      <c r="I77" s="134" t="s">
        <v>142</v>
      </c>
      <c r="J77" s="134" t="s">
        <v>142</v>
      </c>
      <c r="K77" s="134" t="s">
        <v>142</v>
      </c>
      <c r="L77" s="134" t="s">
        <v>142</v>
      </c>
      <c r="M77" s="136"/>
      <c r="N77" s="131"/>
    </row>
    <row r="78" hidden="1" outlineLevel="1">
      <c r="A78" s="397" t="s">
        <v>691</v>
      </c>
      <c r="B78" s="309">
        <v>46245.0</v>
      </c>
      <c r="C78" s="118" t="str">
        <f t="shared" si="9"/>
        <v>Tue</v>
      </c>
      <c r="D78" s="143">
        <f t="shared" si="10"/>
        <v>1</v>
      </c>
      <c r="E78" s="144" t="s">
        <v>142</v>
      </c>
      <c r="F78" s="134" t="s">
        <v>142</v>
      </c>
      <c r="G78" s="134" t="s">
        <v>142</v>
      </c>
      <c r="H78" s="134" t="s">
        <v>142</v>
      </c>
      <c r="I78" s="134" t="s">
        <v>142</v>
      </c>
      <c r="J78" s="134" t="s">
        <v>142</v>
      </c>
      <c r="K78" s="134" t="s">
        <v>142</v>
      </c>
      <c r="L78" s="134" t="s">
        <v>142</v>
      </c>
      <c r="M78" s="136"/>
      <c r="N78" s="131"/>
    </row>
    <row r="79" hidden="1" outlineLevel="1">
      <c r="A79" s="397" t="s">
        <v>693</v>
      </c>
      <c r="B79" s="309">
        <v>46245.0</v>
      </c>
      <c r="C79" s="118" t="str">
        <f t="shared" si="9"/>
        <v>Tue</v>
      </c>
      <c r="D79" s="128">
        <f t="shared" si="10"/>
        <v>1</v>
      </c>
      <c r="E79" s="131" t="s">
        <v>142</v>
      </c>
      <c r="F79" s="134" t="s">
        <v>142</v>
      </c>
      <c r="G79" s="134" t="s">
        <v>142</v>
      </c>
      <c r="H79" s="134" t="s">
        <v>142</v>
      </c>
      <c r="I79" s="134" t="s">
        <v>142</v>
      </c>
      <c r="J79" s="134" t="s">
        <v>142</v>
      </c>
      <c r="K79" s="134" t="s">
        <v>142</v>
      </c>
      <c r="L79" s="134" t="s">
        <v>142</v>
      </c>
      <c r="M79" s="136"/>
      <c r="N79" s="131"/>
    </row>
    <row r="80" hidden="1" outlineLevel="1">
      <c r="A80" s="397" t="s">
        <v>695</v>
      </c>
      <c r="B80" s="309">
        <v>46245.0</v>
      </c>
      <c r="C80" s="118" t="str">
        <f t="shared" si="9"/>
        <v>Tue</v>
      </c>
      <c r="D80" s="143">
        <f t="shared" si="10"/>
        <v>1</v>
      </c>
      <c r="E80" s="144" t="s">
        <v>142</v>
      </c>
      <c r="F80" s="134" t="s">
        <v>142</v>
      </c>
      <c r="G80" s="134" t="s">
        <v>142</v>
      </c>
      <c r="H80" s="134" t="s">
        <v>142</v>
      </c>
      <c r="I80" s="134" t="s">
        <v>142</v>
      </c>
      <c r="J80" s="134" t="s">
        <v>142</v>
      </c>
      <c r="K80" s="134" t="s">
        <v>142</v>
      </c>
      <c r="L80" s="134" t="s">
        <v>142</v>
      </c>
      <c r="M80" s="136"/>
      <c r="N80" s="131"/>
    </row>
    <row r="81" hidden="1" outlineLevel="1">
      <c r="A81" s="397" t="s">
        <v>697</v>
      </c>
      <c r="B81" s="309">
        <v>46247.0</v>
      </c>
      <c r="C81" s="118" t="str">
        <f t="shared" si="9"/>
        <v>Thu</v>
      </c>
      <c r="D81" s="128">
        <f t="shared" si="10"/>
        <v>1</v>
      </c>
      <c r="E81" s="131" t="s">
        <v>142</v>
      </c>
      <c r="F81" s="134" t="s">
        <v>142</v>
      </c>
      <c r="G81" s="134" t="s">
        <v>142</v>
      </c>
      <c r="H81" s="134" t="s">
        <v>142</v>
      </c>
      <c r="I81" s="134" t="s">
        <v>142</v>
      </c>
      <c r="J81" s="134" t="s">
        <v>142</v>
      </c>
      <c r="K81" s="134" t="s">
        <v>142</v>
      </c>
      <c r="L81" s="134" t="s">
        <v>142</v>
      </c>
      <c r="M81" s="136"/>
      <c r="N81" s="131"/>
    </row>
    <row r="82" hidden="1" outlineLevel="1">
      <c r="A82" s="397" t="s">
        <v>700</v>
      </c>
      <c r="B82" s="309">
        <v>46247.0</v>
      </c>
      <c r="C82" s="118" t="str">
        <f t="shared" si="9"/>
        <v>Thu</v>
      </c>
      <c r="D82" s="143">
        <f t="shared" si="10"/>
        <v>1</v>
      </c>
      <c r="E82" s="144" t="s">
        <v>142</v>
      </c>
      <c r="F82" s="134" t="s">
        <v>142</v>
      </c>
      <c r="G82" s="134" t="s">
        <v>142</v>
      </c>
      <c r="H82" s="134" t="s">
        <v>142</v>
      </c>
      <c r="I82" s="134" t="s">
        <v>142</v>
      </c>
      <c r="J82" s="134" t="s">
        <v>142</v>
      </c>
      <c r="K82" s="134" t="s">
        <v>142</v>
      </c>
      <c r="L82" s="134" t="s">
        <v>142</v>
      </c>
      <c r="M82" s="136"/>
      <c r="N82" s="131"/>
    </row>
    <row r="83" hidden="1" outlineLevel="1">
      <c r="A83" s="397" t="s">
        <v>701</v>
      </c>
      <c r="B83" s="309">
        <v>46247.0</v>
      </c>
      <c r="C83" s="118" t="str">
        <f t="shared" si="9"/>
        <v>Thu</v>
      </c>
      <c r="D83" s="128">
        <f t="shared" si="10"/>
        <v>1</v>
      </c>
      <c r="E83" s="131" t="s">
        <v>142</v>
      </c>
      <c r="F83" s="134" t="s">
        <v>142</v>
      </c>
      <c r="G83" s="134" t="s">
        <v>142</v>
      </c>
      <c r="H83" s="134" t="s">
        <v>142</v>
      </c>
      <c r="I83" s="134" t="s">
        <v>142</v>
      </c>
      <c r="J83" s="134" t="s">
        <v>142</v>
      </c>
      <c r="K83" s="134" t="s">
        <v>142</v>
      </c>
      <c r="L83" s="134" t="s">
        <v>142</v>
      </c>
      <c r="M83" s="136"/>
      <c r="N83" s="131"/>
    </row>
    <row r="84" hidden="1" outlineLevel="1">
      <c r="A84" s="397" t="s">
        <v>702</v>
      </c>
      <c r="B84" s="309">
        <v>46248.0</v>
      </c>
      <c r="C84" s="118" t="str">
        <f t="shared" si="9"/>
        <v>Fri</v>
      </c>
      <c r="D84" s="143">
        <f t="shared" si="10"/>
        <v>1</v>
      </c>
      <c r="E84" s="144" t="s">
        <v>142</v>
      </c>
      <c r="F84" s="134" t="s">
        <v>142</v>
      </c>
      <c r="G84" s="134" t="s">
        <v>142</v>
      </c>
      <c r="H84" s="134" t="s">
        <v>142</v>
      </c>
      <c r="I84" s="134" t="s">
        <v>142</v>
      </c>
      <c r="J84" s="134" t="s">
        <v>142</v>
      </c>
      <c r="K84" s="134" t="s">
        <v>142</v>
      </c>
      <c r="L84" s="134" t="s">
        <v>142</v>
      </c>
      <c r="M84" s="136"/>
      <c r="N84" s="131"/>
    </row>
    <row r="85" hidden="1" outlineLevel="1">
      <c r="A85" s="397" t="s">
        <v>704</v>
      </c>
      <c r="B85" s="309">
        <v>46248.0</v>
      </c>
      <c r="C85" s="118" t="str">
        <f t="shared" si="9"/>
        <v>Fri</v>
      </c>
      <c r="D85" s="128">
        <f t="shared" si="10"/>
        <v>1</v>
      </c>
      <c r="E85" s="131" t="s">
        <v>142</v>
      </c>
      <c r="F85" s="134" t="s">
        <v>142</v>
      </c>
      <c r="G85" s="134" t="s">
        <v>142</v>
      </c>
      <c r="H85" s="134" t="s">
        <v>142</v>
      </c>
      <c r="I85" s="134" t="s">
        <v>142</v>
      </c>
      <c r="J85" s="134" t="s">
        <v>142</v>
      </c>
      <c r="K85" s="134" t="s">
        <v>142</v>
      </c>
      <c r="L85" s="134" t="s">
        <v>142</v>
      </c>
      <c r="M85" s="136"/>
      <c r="N85" s="131"/>
    </row>
    <row r="86" hidden="1" outlineLevel="1">
      <c r="A86" s="397" t="s">
        <v>706</v>
      </c>
      <c r="B86" s="309">
        <v>46248.0</v>
      </c>
      <c r="C86" s="118" t="str">
        <f t="shared" si="9"/>
        <v>Fri</v>
      </c>
      <c r="D86" s="143">
        <f t="shared" si="10"/>
        <v>1</v>
      </c>
      <c r="E86" s="144" t="s">
        <v>142</v>
      </c>
      <c r="F86" s="134" t="s">
        <v>142</v>
      </c>
      <c r="G86" s="134" t="s">
        <v>142</v>
      </c>
      <c r="H86" s="134" t="s">
        <v>142</v>
      </c>
      <c r="I86" s="134" t="s">
        <v>142</v>
      </c>
      <c r="J86" s="134" t="s">
        <v>142</v>
      </c>
      <c r="K86" s="134" t="s">
        <v>142</v>
      </c>
      <c r="L86" s="134" t="s">
        <v>142</v>
      </c>
      <c r="M86" s="136"/>
      <c r="N86" s="131"/>
    </row>
    <row r="87" hidden="1" outlineLevel="1">
      <c r="A87" s="397" t="s">
        <v>708</v>
      </c>
      <c r="B87" s="309">
        <v>46249.0</v>
      </c>
      <c r="C87" s="118" t="str">
        <f t="shared" si="9"/>
        <v>Sat</v>
      </c>
      <c r="D87" s="128">
        <f t="shared" si="10"/>
        <v>1</v>
      </c>
      <c r="E87" s="131" t="s">
        <v>142</v>
      </c>
      <c r="F87" s="134" t="s">
        <v>142</v>
      </c>
      <c r="G87" s="134" t="s">
        <v>142</v>
      </c>
      <c r="H87" s="134" t="s">
        <v>142</v>
      </c>
      <c r="I87" s="134" t="s">
        <v>142</v>
      </c>
      <c r="J87" s="134" t="s">
        <v>142</v>
      </c>
      <c r="K87" s="134" t="s">
        <v>142</v>
      </c>
      <c r="L87" s="134" t="s">
        <v>142</v>
      </c>
      <c r="M87" s="136"/>
      <c r="N87" s="131"/>
    </row>
    <row r="88" hidden="1" outlineLevel="1">
      <c r="A88" s="397" t="s">
        <v>710</v>
      </c>
      <c r="B88" s="309">
        <v>46249.0</v>
      </c>
      <c r="C88" s="118" t="str">
        <f t="shared" si="9"/>
        <v>Sat</v>
      </c>
      <c r="D88" s="143">
        <f t="shared" si="10"/>
        <v>1</v>
      </c>
      <c r="E88" s="144" t="s">
        <v>142</v>
      </c>
      <c r="F88" s="134" t="s">
        <v>142</v>
      </c>
      <c r="G88" s="134" t="s">
        <v>142</v>
      </c>
      <c r="H88" s="134" t="s">
        <v>142</v>
      </c>
      <c r="I88" s="134" t="s">
        <v>142</v>
      </c>
      <c r="J88" s="134" t="s">
        <v>142</v>
      </c>
      <c r="K88" s="134" t="s">
        <v>142</v>
      </c>
      <c r="L88" s="134" t="s">
        <v>142</v>
      </c>
      <c r="M88" s="136"/>
      <c r="N88" s="131"/>
    </row>
    <row r="89" ht="15.0" hidden="1" customHeight="1" outlineLevel="1">
      <c r="A89" s="397" t="s">
        <v>712</v>
      </c>
      <c r="B89" s="309">
        <v>46249.0</v>
      </c>
      <c r="C89" s="118" t="str">
        <f t="shared" si="9"/>
        <v>Sat</v>
      </c>
      <c r="D89" s="128">
        <f t="shared" si="10"/>
        <v>1</v>
      </c>
      <c r="E89" s="131" t="s">
        <v>142</v>
      </c>
      <c r="F89" s="134" t="s">
        <v>142</v>
      </c>
      <c r="G89" s="134" t="s">
        <v>142</v>
      </c>
      <c r="H89" s="134" t="s">
        <v>142</v>
      </c>
      <c r="I89" s="134" t="s">
        <v>142</v>
      </c>
      <c r="J89" s="134" t="s">
        <v>142</v>
      </c>
      <c r="K89" s="134" t="s">
        <v>142</v>
      </c>
      <c r="L89" s="134" t="s">
        <v>142</v>
      </c>
      <c r="M89" s="136"/>
      <c r="N89" s="131"/>
    </row>
    <row r="90" hidden="1" outlineLevel="1">
      <c r="B90" s="215"/>
      <c r="C90" s="216" t="s">
        <v>199</v>
      </c>
      <c r="D90" s="217">
        <f>AVERAGE(D75:D89)</f>
        <v>1</v>
      </c>
      <c r="E90" s="218"/>
      <c r="L90" s="216" t="s">
        <v>199</v>
      </c>
      <c r="M90" s="217">
        <f>SUM(M75:M89)/75*0.1</f>
        <v>0</v>
      </c>
    </row>
    <row r="91" collapsed="1">
      <c r="A91" s="85" t="s">
        <v>368</v>
      </c>
      <c r="B91" s="86"/>
      <c r="C91" s="86"/>
      <c r="D91" s="88"/>
      <c r="E91" s="89"/>
      <c r="F91" s="89"/>
      <c r="G91" s="91"/>
      <c r="H91" s="91"/>
      <c r="I91" s="91"/>
      <c r="J91" s="91"/>
      <c r="K91" s="91"/>
      <c r="L91" s="91"/>
      <c r="M91" s="93"/>
      <c r="N91" s="95"/>
    </row>
    <row r="92" hidden="1" outlineLevel="1">
      <c r="A92" s="96" t="s">
        <v>89</v>
      </c>
      <c r="B92" s="98" t="s">
        <v>90</v>
      </c>
      <c r="C92" s="98" t="s">
        <v>91</v>
      </c>
      <c r="D92" s="101" t="s">
        <v>93</v>
      </c>
      <c r="E92" s="102" t="s">
        <v>94</v>
      </c>
      <c r="F92" s="102" t="s">
        <v>95</v>
      </c>
      <c r="G92" s="105" t="s">
        <v>96</v>
      </c>
      <c r="H92" s="107" t="s">
        <v>97</v>
      </c>
      <c r="I92" s="107" t="s">
        <v>104</v>
      </c>
      <c r="J92" s="105" t="s">
        <v>106</v>
      </c>
      <c r="K92" s="107" t="s">
        <v>109</v>
      </c>
      <c r="L92" s="105" t="s">
        <v>111</v>
      </c>
      <c r="M92" s="98" t="s">
        <v>114</v>
      </c>
      <c r="N92" s="101" t="s">
        <v>116</v>
      </c>
    </row>
    <row r="93" hidden="1" outlineLevel="1">
      <c r="A93" s="397" t="s">
        <v>716</v>
      </c>
      <c r="B93" s="309">
        <v>46251.0</v>
      </c>
      <c r="C93" s="118" t="str">
        <f t="shared" ref="C93:C107" si="11">IF(B93="", "", TEXT(B93, "ddd"))</f>
        <v>Mon</v>
      </c>
      <c r="D93" s="128">
        <f t="shared" ref="D93:D107" si="12">IF(E93="Yes",0.05,0)
+IF(F93="Yes",0.1,0)
+IF(G93="Yes",0.15,0)
+IF(H93="Yes",0.15,0)
+IF(I93="Yes",0.05,0)
+IF(J93="Yes",0.05,0)
+IF(K93="Yes",0.15,0)
+IF(L93="Yes",0.3,0)
</f>
        <v>1</v>
      </c>
      <c r="E93" s="131" t="s">
        <v>142</v>
      </c>
      <c r="F93" s="134" t="s">
        <v>142</v>
      </c>
      <c r="G93" s="134" t="s">
        <v>142</v>
      </c>
      <c r="H93" s="134" t="s">
        <v>142</v>
      </c>
      <c r="I93" s="134" t="s">
        <v>142</v>
      </c>
      <c r="J93" s="134" t="s">
        <v>142</v>
      </c>
      <c r="K93" s="134" t="s">
        <v>142</v>
      </c>
      <c r="L93" s="134" t="s">
        <v>142</v>
      </c>
      <c r="M93" s="136"/>
      <c r="N93" s="137"/>
    </row>
    <row r="94" hidden="1" outlineLevel="1">
      <c r="A94" s="397" t="s">
        <v>720</v>
      </c>
      <c r="B94" s="309">
        <v>46251.0</v>
      </c>
      <c r="C94" s="118" t="str">
        <f t="shared" si="11"/>
        <v>Mon</v>
      </c>
      <c r="D94" s="143">
        <f t="shared" si="12"/>
        <v>1</v>
      </c>
      <c r="E94" s="144" t="s">
        <v>142</v>
      </c>
      <c r="F94" s="134" t="s">
        <v>142</v>
      </c>
      <c r="G94" s="134" t="s">
        <v>142</v>
      </c>
      <c r="H94" s="134" t="s">
        <v>142</v>
      </c>
      <c r="I94" s="134" t="s">
        <v>142</v>
      </c>
      <c r="J94" s="134" t="s">
        <v>142</v>
      </c>
      <c r="K94" s="134" t="s">
        <v>142</v>
      </c>
      <c r="L94" s="134" t="s">
        <v>142</v>
      </c>
      <c r="M94" s="136"/>
      <c r="N94" s="137"/>
    </row>
    <row r="95" hidden="1" outlineLevel="1">
      <c r="A95" s="397" t="s">
        <v>722</v>
      </c>
      <c r="B95" s="309">
        <v>46251.0</v>
      </c>
      <c r="C95" s="118" t="str">
        <f t="shared" si="11"/>
        <v>Mon</v>
      </c>
      <c r="D95" s="128">
        <f t="shared" si="12"/>
        <v>1</v>
      </c>
      <c r="E95" s="131" t="s">
        <v>142</v>
      </c>
      <c r="F95" s="134" t="s">
        <v>142</v>
      </c>
      <c r="G95" s="134" t="s">
        <v>142</v>
      </c>
      <c r="H95" s="134" t="s">
        <v>142</v>
      </c>
      <c r="I95" s="134" t="s">
        <v>142</v>
      </c>
      <c r="J95" s="134" t="s">
        <v>142</v>
      </c>
      <c r="K95" s="134" t="s">
        <v>142</v>
      </c>
      <c r="L95" s="134" t="s">
        <v>142</v>
      </c>
      <c r="M95" s="136"/>
      <c r="N95" s="137"/>
    </row>
    <row r="96" hidden="1" outlineLevel="1">
      <c r="A96" s="397" t="s">
        <v>724</v>
      </c>
      <c r="B96" s="309">
        <v>46252.0</v>
      </c>
      <c r="C96" s="118" t="str">
        <f t="shared" si="11"/>
        <v>Tue</v>
      </c>
      <c r="D96" s="143">
        <f t="shared" si="12"/>
        <v>1</v>
      </c>
      <c r="E96" s="144" t="s">
        <v>142</v>
      </c>
      <c r="F96" s="134" t="s">
        <v>142</v>
      </c>
      <c r="G96" s="134" t="s">
        <v>142</v>
      </c>
      <c r="H96" s="134" t="s">
        <v>142</v>
      </c>
      <c r="I96" s="134" t="s">
        <v>142</v>
      </c>
      <c r="J96" s="134" t="s">
        <v>142</v>
      </c>
      <c r="K96" s="134" t="s">
        <v>142</v>
      </c>
      <c r="L96" s="134" t="s">
        <v>142</v>
      </c>
      <c r="M96" s="136"/>
      <c r="N96" s="137"/>
    </row>
    <row r="97" hidden="1" outlineLevel="1">
      <c r="A97" s="397" t="s">
        <v>726</v>
      </c>
      <c r="B97" s="309">
        <v>46252.0</v>
      </c>
      <c r="C97" s="118" t="str">
        <f t="shared" si="11"/>
        <v>Tue</v>
      </c>
      <c r="D97" s="128">
        <f t="shared" si="12"/>
        <v>1</v>
      </c>
      <c r="E97" s="131" t="s">
        <v>142</v>
      </c>
      <c r="F97" s="134" t="s">
        <v>142</v>
      </c>
      <c r="G97" s="134" t="s">
        <v>142</v>
      </c>
      <c r="H97" s="134" t="s">
        <v>142</v>
      </c>
      <c r="I97" s="134" t="s">
        <v>142</v>
      </c>
      <c r="J97" s="134" t="s">
        <v>142</v>
      </c>
      <c r="K97" s="134" t="s">
        <v>142</v>
      </c>
      <c r="L97" s="134" t="s">
        <v>142</v>
      </c>
      <c r="M97" s="136"/>
      <c r="N97" s="137"/>
    </row>
    <row r="98" hidden="1" outlineLevel="1">
      <c r="A98" s="397" t="s">
        <v>728</v>
      </c>
      <c r="B98" s="309">
        <v>46252.0</v>
      </c>
      <c r="C98" s="118" t="str">
        <f t="shared" si="11"/>
        <v>Tue</v>
      </c>
      <c r="D98" s="143">
        <f t="shared" si="12"/>
        <v>1</v>
      </c>
      <c r="E98" s="144" t="s">
        <v>142</v>
      </c>
      <c r="F98" s="134" t="s">
        <v>142</v>
      </c>
      <c r="G98" s="134" t="s">
        <v>142</v>
      </c>
      <c r="H98" s="134" t="s">
        <v>142</v>
      </c>
      <c r="I98" s="134" t="s">
        <v>142</v>
      </c>
      <c r="J98" s="134" t="s">
        <v>142</v>
      </c>
      <c r="K98" s="134" t="s">
        <v>142</v>
      </c>
      <c r="L98" s="134" t="s">
        <v>142</v>
      </c>
      <c r="M98" s="136"/>
      <c r="N98" s="137"/>
    </row>
    <row r="99" hidden="1" outlineLevel="1">
      <c r="A99" s="397" t="s">
        <v>730</v>
      </c>
      <c r="B99" s="309">
        <v>46254.0</v>
      </c>
      <c r="C99" s="118" t="str">
        <f t="shared" si="11"/>
        <v>Thu</v>
      </c>
      <c r="D99" s="128">
        <f t="shared" si="12"/>
        <v>1</v>
      </c>
      <c r="E99" s="131" t="s">
        <v>142</v>
      </c>
      <c r="F99" s="134" t="s">
        <v>142</v>
      </c>
      <c r="G99" s="134" t="s">
        <v>142</v>
      </c>
      <c r="H99" s="134" t="s">
        <v>142</v>
      </c>
      <c r="I99" s="134" t="s">
        <v>142</v>
      </c>
      <c r="J99" s="134" t="s">
        <v>142</v>
      </c>
      <c r="K99" s="134" t="s">
        <v>142</v>
      </c>
      <c r="L99" s="134" t="s">
        <v>142</v>
      </c>
      <c r="M99" s="136"/>
      <c r="N99" s="137"/>
    </row>
    <row r="100" hidden="1" outlineLevel="1">
      <c r="A100" s="397" t="s">
        <v>732</v>
      </c>
      <c r="B100" s="309">
        <v>46254.0</v>
      </c>
      <c r="C100" s="118" t="str">
        <f t="shared" si="11"/>
        <v>Thu</v>
      </c>
      <c r="D100" s="143">
        <f t="shared" si="12"/>
        <v>1</v>
      </c>
      <c r="E100" s="144" t="s">
        <v>142</v>
      </c>
      <c r="F100" s="134" t="s">
        <v>142</v>
      </c>
      <c r="G100" s="134" t="s">
        <v>142</v>
      </c>
      <c r="H100" s="134" t="s">
        <v>142</v>
      </c>
      <c r="I100" s="134" t="s">
        <v>142</v>
      </c>
      <c r="J100" s="134" t="s">
        <v>142</v>
      </c>
      <c r="K100" s="134" t="s">
        <v>142</v>
      </c>
      <c r="L100" s="134" t="s">
        <v>142</v>
      </c>
      <c r="M100" s="136"/>
      <c r="N100" s="137"/>
    </row>
    <row r="101" hidden="1" outlineLevel="1">
      <c r="A101" s="397" t="s">
        <v>733</v>
      </c>
      <c r="B101" s="309">
        <v>46254.0</v>
      </c>
      <c r="C101" s="118" t="str">
        <f t="shared" si="11"/>
        <v>Thu</v>
      </c>
      <c r="D101" s="128">
        <f t="shared" si="12"/>
        <v>1</v>
      </c>
      <c r="E101" s="131" t="s">
        <v>142</v>
      </c>
      <c r="F101" s="134" t="s">
        <v>142</v>
      </c>
      <c r="G101" s="134" t="s">
        <v>142</v>
      </c>
      <c r="H101" s="134" t="s">
        <v>142</v>
      </c>
      <c r="I101" s="134" t="s">
        <v>142</v>
      </c>
      <c r="J101" s="134" t="s">
        <v>142</v>
      </c>
      <c r="K101" s="134" t="s">
        <v>142</v>
      </c>
      <c r="L101" s="134" t="s">
        <v>142</v>
      </c>
      <c r="M101" s="136"/>
      <c r="N101" s="137"/>
    </row>
    <row r="102" hidden="1" outlineLevel="1">
      <c r="A102" s="397" t="s">
        <v>735</v>
      </c>
      <c r="B102" s="309">
        <v>46255.0</v>
      </c>
      <c r="C102" s="118" t="str">
        <f t="shared" si="11"/>
        <v>Fri</v>
      </c>
      <c r="D102" s="143">
        <f t="shared" si="12"/>
        <v>1</v>
      </c>
      <c r="E102" s="144" t="s">
        <v>142</v>
      </c>
      <c r="F102" s="134" t="s">
        <v>142</v>
      </c>
      <c r="G102" s="134" t="s">
        <v>142</v>
      </c>
      <c r="H102" s="134" t="s">
        <v>142</v>
      </c>
      <c r="I102" s="134" t="s">
        <v>142</v>
      </c>
      <c r="J102" s="134" t="s">
        <v>142</v>
      </c>
      <c r="K102" s="134" t="s">
        <v>142</v>
      </c>
      <c r="L102" s="134" t="s">
        <v>142</v>
      </c>
      <c r="M102" s="136"/>
      <c r="N102" s="137"/>
    </row>
    <row r="103" hidden="1" outlineLevel="1">
      <c r="A103" s="397" t="s">
        <v>736</v>
      </c>
      <c r="B103" s="309">
        <v>46255.0</v>
      </c>
      <c r="C103" s="118" t="str">
        <f t="shared" si="11"/>
        <v>Fri</v>
      </c>
      <c r="D103" s="128">
        <f t="shared" si="12"/>
        <v>1</v>
      </c>
      <c r="E103" s="131" t="s">
        <v>142</v>
      </c>
      <c r="F103" s="134" t="s">
        <v>142</v>
      </c>
      <c r="G103" s="134" t="s">
        <v>142</v>
      </c>
      <c r="H103" s="134" t="s">
        <v>142</v>
      </c>
      <c r="I103" s="134" t="s">
        <v>142</v>
      </c>
      <c r="J103" s="134" t="s">
        <v>142</v>
      </c>
      <c r="K103" s="134" t="s">
        <v>142</v>
      </c>
      <c r="L103" s="134" t="s">
        <v>142</v>
      </c>
      <c r="M103" s="136"/>
      <c r="N103" s="137"/>
    </row>
    <row r="104" hidden="1" outlineLevel="1">
      <c r="A104" s="397" t="s">
        <v>738</v>
      </c>
      <c r="B104" s="309">
        <v>46255.0</v>
      </c>
      <c r="C104" s="118" t="str">
        <f t="shared" si="11"/>
        <v>Fri</v>
      </c>
      <c r="D104" s="143">
        <f t="shared" si="12"/>
        <v>1</v>
      </c>
      <c r="E104" s="144" t="s">
        <v>142</v>
      </c>
      <c r="F104" s="134" t="s">
        <v>142</v>
      </c>
      <c r="G104" s="134" t="s">
        <v>142</v>
      </c>
      <c r="H104" s="134" t="s">
        <v>142</v>
      </c>
      <c r="I104" s="134" t="s">
        <v>142</v>
      </c>
      <c r="J104" s="134" t="s">
        <v>142</v>
      </c>
      <c r="K104" s="134" t="s">
        <v>142</v>
      </c>
      <c r="L104" s="134" t="s">
        <v>142</v>
      </c>
      <c r="M104" s="136"/>
      <c r="N104" s="137"/>
    </row>
    <row r="105" hidden="1" outlineLevel="1">
      <c r="A105" s="397" t="s">
        <v>740</v>
      </c>
      <c r="B105" s="309">
        <v>46256.0</v>
      </c>
      <c r="C105" s="118" t="str">
        <f t="shared" si="11"/>
        <v>Sat</v>
      </c>
      <c r="D105" s="128">
        <f t="shared" si="12"/>
        <v>1</v>
      </c>
      <c r="E105" s="131" t="s">
        <v>142</v>
      </c>
      <c r="F105" s="134" t="s">
        <v>142</v>
      </c>
      <c r="G105" s="134" t="s">
        <v>142</v>
      </c>
      <c r="H105" s="134" t="s">
        <v>142</v>
      </c>
      <c r="I105" s="134" t="s">
        <v>142</v>
      </c>
      <c r="J105" s="134" t="s">
        <v>142</v>
      </c>
      <c r="K105" s="134" t="s">
        <v>142</v>
      </c>
      <c r="L105" s="134" t="s">
        <v>142</v>
      </c>
      <c r="M105" s="136"/>
      <c r="N105" s="137"/>
    </row>
    <row r="106" hidden="1" outlineLevel="1">
      <c r="A106" s="397" t="s">
        <v>742</v>
      </c>
      <c r="B106" s="309">
        <v>46256.0</v>
      </c>
      <c r="C106" s="118" t="str">
        <f t="shared" si="11"/>
        <v>Sat</v>
      </c>
      <c r="D106" s="143">
        <f t="shared" si="12"/>
        <v>1</v>
      </c>
      <c r="E106" s="144" t="s">
        <v>142</v>
      </c>
      <c r="F106" s="134" t="s">
        <v>142</v>
      </c>
      <c r="G106" s="134" t="s">
        <v>142</v>
      </c>
      <c r="H106" s="134" t="s">
        <v>142</v>
      </c>
      <c r="I106" s="134" t="s">
        <v>142</v>
      </c>
      <c r="J106" s="134" t="s">
        <v>142</v>
      </c>
      <c r="K106" s="134" t="s">
        <v>142</v>
      </c>
      <c r="L106" s="134" t="s">
        <v>142</v>
      </c>
      <c r="M106" s="136"/>
      <c r="N106" s="137"/>
    </row>
    <row r="107" ht="15.75" hidden="1" customHeight="1" outlineLevel="1">
      <c r="A107" s="397" t="s">
        <v>748</v>
      </c>
      <c r="B107" s="309">
        <v>46256.0</v>
      </c>
      <c r="C107" s="118" t="str">
        <f t="shared" si="11"/>
        <v>Sat</v>
      </c>
      <c r="D107" s="128">
        <f t="shared" si="12"/>
        <v>1</v>
      </c>
      <c r="E107" s="131" t="s">
        <v>142</v>
      </c>
      <c r="F107" s="134" t="s">
        <v>142</v>
      </c>
      <c r="G107" s="134" t="s">
        <v>142</v>
      </c>
      <c r="H107" s="134" t="s">
        <v>142</v>
      </c>
      <c r="I107" s="134" t="s">
        <v>142</v>
      </c>
      <c r="J107" s="134" t="s">
        <v>142</v>
      </c>
      <c r="K107" s="134" t="s">
        <v>142</v>
      </c>
      <c r="L107" s="134" t="s">
        <v>142</v>
      </c>
      <c r="M107" s="136"/>
      <c r="N107" s="137"/>
    </row>
    <row r="108" hidden="1" outlineLevel="1">
      <c r="B108" s="215"/>
      <c r="C108" s="216" t="s">
        <v>199</v>
      </c>
      <c r="D108" s="217">
        <f>AVERAGE(D93:D107)</f>
        <v>1</v>
      </c>
      <c r="E108" s="218"/>
      <c r="L108" s="216" t="s">
        <v>199</v>
      </c>
      <c r="M108" s="217">
        <f>SUM(M93:M107)/75*0.1</f>
        <v>0</v>
      </c>
    </row>
    <row r="109" collapsed="1">
      <c r="A109" s="85" t="s">
        <v>397</v>
      </c>
      <c r="B109" s="86"/>
      <c r="C109" s="86"/>
      <c r="D109" s="88"/>
      <c r="E109" s="361"/>
      <c r="F109" s="361"/>
      <c r="G109" s="361"/>
      <c r="H109" s="361"/>
      <c r="I109" s="361"/>
      <c r="J109" s="361"/>
      <c r="K109" s="361"/>
      <c r="L109" s="361"/>
      <c r="M109" s="361"/>
      <c r="N109" s="361"/>
    </row>
    <row r="110" hidden="1" outlineLevel="1">
      <c r="A110" s="362" t="s">
        <v>89</v>
      </c>
      <c r="B110" s="363" t="s">
        <v>90</v>
      </c>
      <c r="C110" s="363" t="s">
        <v>91</v>
      </c>
      <c r="D110" s="364" t="s">
        <v>93</v>
      </c>
      <c r="E110" s="365" t="s">
        <v>94</v>
      </c>
      <c r="F110" s="365" t="s">
        <v>95</v>
      </c>
      <c r="G110" s="366" t="s">
        <v>96</v>
      </c>
      <c r="H110" s="366" t="s">
        <v>97</v>
      </c>
      <c r="I110" s="366" t="s">
        <v>104</v>
      </c>
      <c r="J110" s="366" t="s">
        <v>106</v>
      </c>
      <c r="K110" s="366" t="s">
        <v>109</v>
      </c>
      <c r="L110" s="366" t="s">
        <v>111</v>
      </c>
      <c r="M110" s="363" t="s">
        <v>114</v>
      </c>
      <c r="N110" s="363" t="s">
        <v>116</v>
      </c>
    </row>
    <row r="111" hidden="1" outlineLevel="1">
      <c r="A111" s="413" t="s">
        <v>752</v>
      </c>
      <c r="B111" s="309">
        <v>46258.0</v>
      </c>
      <c r="C111" s="368" t="str">
        <f t="shared" ref="C111:C125" si="13">IF(B111="", "", TEXT(B111, "ddd"))</f>
        <v>Mon</v>
      </c>
      <c r="D111" s="128">
        <f t="shared" ref="D111:D125" si="14">IF(E111="Yes",0.05,0)
+IF(F111="Yes",0.1,0)
+IF(G111="Yes",0.15,0)
+IF(H111="Yes",0.15,0)
+IF(I111="Yes",0.05,0)
+IF(J111="Yes",0.05,0)
+IF(K111="Yes",0.15,0)
+IF(L111="Yes",0.3,0)
</f>
        <v>1</v>
      </c>
      <c r="E111" s="370" t="s">
        <v>142</v>
      </c>
      <c r="F111" s="7" t="s">
        <v>142</v>
      </c>
      <c r="G111" s="7" t="s">
        <v>142</v>
      </c>
      <c r="H111" s="7" t="s">
        <v>142</v>
      </c>
      <c r="I111" s="7" t="s">
        <v>142</v>
      </c>
      <c r="J111" s="7" t="s">
        <v>142</v>
      </c>
      <c r="K111" s="7" t="s">
        <v>142</v>
      </c>
      <c r="L111" s="7" t="s">
        <v>142</v>
      </c>
      <c r="M111" s="370"/>
      <c r="N111" s="137"/>
    </row>
    <row r="112" hidden="1" outlineLevel="1">
      <c r="A112" s="372" t="s">
        <v>755</v>
      </c>
      <c r="B112" s="309">
        <v>46258.0</v>
      </c>
      <c r="C112" s="368" t="str">
        <f t="shared" si="13"/>
        <v>Mon</v>
      </c>
      <c r="D112" s="143">
        <f t="shared" si="14"/>
        <v>1</v>
      </c>
      <c r="E112" s="369" t="s">
        <v>142</v>
      </c>
      <c r="F112" s="7" t="s">
        <v>142</v>
      </c>
      <c r="G112" s="7" t="s">
        <v>142</v>
      </c>
      <c r="H112" s="7" t="s">
        <v>142</v>
      </c>
      <c r="I112" s="7" t="s">
        <v>142</v>
      </c>
      <c r="J112" s="7" t="s">
        <v>142</v>
      </c>
      <c r="K112" s="7" t="s">
        <v>142</v>
      </c>
      <c r="L112" s="7" t="s">
        <v>142</v>
      </c>
      <c r="M112" s="370"/>
      <c r="N112" s="137"/>
    </row>
    <row r="113" hidden="1" outlineLevel="1">
      <c r="A113" s="413" t="s">
        <v>759</v>
      </c>
      <c r="B113" s="309">
        <v>46258.0</v>
      </c>
      <c r="C113" s="368" t="str">
        <f t="shared" si="13"/>
        <v>Mon</v>
      </c>
      <c r="D113" s="128">
        <f t="shared" si="14"/>
        <v>1</v>
      </c>
      <c r="E113" s="370" t="s">
        <v>142</v>
      </c>
      <c r="F113" s="7" t="s">
        <v>142</v>
      </c>
      <c r="G113" s="7" t="s">
        <v>142</v>
      </c>
      <c r="H113" s="7" t="s">
        <v>142</v>
      </c>
      <c r="I113" s="7" t="s">
        <v>142</v>
      </c>
      <c r="J113" s="7" t="s">
        <v>142</v>
      </c>
      <c r="K113" s="7" t="s">
        <v>142</v>
      </c>
      <c r="L113" s="7" t="s">
        <v>142</v>
      </c>
      <c r="M113" s="370"/>
      <c r="N113" s="137"/>
    </row>
    <row r="114" hidden="1" outlineLevel="1">
      <c r="A114" s="413" t="s">
        <v>762</v>
      </c>
      <c r="B114" s="270">
        <v>46260.0</v>
      </c>
      <c r="C114" s="368" t="str">
        <f t="shared" si="13"/>
        <v>Wed</v>
      </c>
      <c r="D114" s="143">
        <f t="shared" si="14"/>
        <v>1</v>
      </c>
      <c r="E114" s="369" t="s">
        <v>142</v>
      </c>
      <c r="F114" s="7" t="s">
        <v>142</v>
      </c>
      <c r="G114" s="7" t="s">
        <v>142</v>
      </c>
      <c r="H114" s="7" t="s">
        <v>142</v>
      </c>
      <c r="I114" s="7" t="s">
        <v>142</v>
      </c>
      <c r="J114" s="7" t="s">
        <v>142</v>
      </c>
      <c r="K114" s="7" t="s">
        <v>142</v>
      </c>
      <c r="L114" s="7" t="s">
        <v>142</v>
      </c>
      <c r="M114" s="370"/>
      <c r="N114" s="137"/>
    </row>
    <row r="115" hidden="1" outlineLevel="1">
      <c r="A115" s="413" t="s">
        <v>765</v>
      </c>
      <c r="B115" s="270">
        <v>46260.0</v>
      </c>
      <c r="C115" s="368" t="str">
        <f t="shared" si="13"/>
        <v>Wed</v>
      </c>
      <c r="D115" s="128">
        <f t="shared" si="14"/>
        <v>1</v>
      </c>
      <c r="E115" s="370" t="s">
        <v>142</v>
      </c>
      <c r="F115" s="7" t="s">
        <v>142</v>
      </c>
      <c r="G115" s="7" t="s">
        <v>142</v>
      </c>
      <c r="H115" s="7" t="s">
        <v>142</v>
      </c>
      <c r="I115" s="7" t="s">
        <v>142</v>
      </c>
      <c r="J115" s="7" t="s">
        <v>142</v>
      </c>
      <c r="K115" s="7" t="s">
        <v>142</v>
      </c>
      <c r="L115" s="7" t="s">
        <v>142</v>
      </c>
      <c r="M115" s="370"/>
      <c r="N115" s="137"/>
    </row>
    <row r="116" hidden="1" outlineLevel="1">
      <c r="A116" s="413" t="s">
        <v>766</v>
      </c>
      <c r="B116" s="270">
        <v>46260.0</v>
      </c>
      <c r="C116" s="368" t="str">
        <f t="shared" si="13"/>
        <v>Wed</v>
      </c>
      <c r="D116" s="143">
        <f t="shared" si="14"/>
        <v>1</v>
      </c>
      <c r="E116" s="369" t="s">
        <v>142</v>
      </c>
      <c r="F116" s="7" t="s">
        <v>142</v>
      </c>
      <c r="G116" s="7" t="s">
        <v>142</v>
      </c>
      <c r="H116" s="7" t="s">
        <v>142</v>
      </c>
      <c r="I116" s="7" t="s">
        <v>142</v>
      </c>
      <c r="J116" s="7" t="s">
        <v>142</v>
      </c>
      <c r="K116" s="7" t="s">
        <v>142</v>
      </c>
      <c r="L116" s="7" t="s">
        <v>142</v>
      </c>
      <c r="M116" s="370"/>
      <c r="N116" s="137"/>
    </row>
    <row r="117" hidden="1" outlineLevel="1">
      <c r="A117" s="413" t="s">
        <v>767</v>
      </c>
      <c r="B117" s="270">
        <v>46261.0</v>
      </c>
      <c r="C117" s="368" t="str">
        <f t="shared" si="13"/>
        <v>Thu</v>
      </c>
      <c r="D117" s="128">
        <f t="shared" si="14"/>
        <v>1</v>
      </c>
      <c r="E117" s="370" t="s">
        <v>142</v>
      </c>
      <c r="F117" s="7" t="s">
        <v>142</v>
      </c>
      <c r="G117" s="7" t="s">
        <v>142</v>
      </c>
      <c r="H117" s="7" t="s">
        <v>142</v>
      </c>
      <c r="I117" s="7" t="s">
        <v>142</v>
      </c>
      <c r="J117" s="7" t="s">
        <v>142</v>
      </c>
      <c r="K117" s="7" t="s">
        <v>142</v>
      </c>
      <c r="L117" s="7" t="s">
        <v>142</v>
      </c>
      <c r="M117" s="370"/>
      <c r="N117" s="137"/>
    </row>
    <row r="118" hidden="1" outlineLevel="1">
      <c r="A118" s="413" t="s">
        <v>769</v>
      </c>
      <c r="B118" s="270">
        <v>46261.0</v>
      </c>
      <c r="C118" s="368" t="str">
        <f t="shared" si="13"/>
        <v>Thu</v>
      </c>
      <c r="D118" s="143">
        <f t="shared" si="14"/>
        <v>1</v>
      </c>
      <c r="E118" s="369" t="s">
        <v>142</v>
      </c>
      <c r="F118" s="7" t="s">
        <v>142</v>
      </c>
      <c r="G118" s="7" t="s">
        <v>142</v>
      </c>
      <c r="H118" s="7" t="s">
        <v>142</v>
      </c>
      <c r="I118" s="7" t="s">
        <v>142</v>
      </c>
      <c r="J118" s="7" t="s">
        <v>142</v>
      </c>
      <c r="K118" s="7" t="s">
        <v>142</v>
      </c>
      <c r="L118" s="7" t="s">
        <v>142</v>
      </c>
      <c r="M118" s="370"/>
      <c r="N118" s="137"/>
    </row>
    <row r="119" hidden="1" outlineLevel="1">
      <c r="A119" s="413" t="s">
        <v>770</v>
      </c>
      <c r="B119" s="270">
        <v>46261.0</v>
      </c>
      <c r="C119" s="368" t="str">
        <f t="shared" si="13"/>
        <v>Thu</v>
      </c>
      <c r="D119" s="128">
        <f t="shared" si="14"/>
        <v>1</v>
      </c>
      <c r="E119" s="370" t="s">
        <v>142</v>
      </c>
      <c r="F119" s="7" t="s">
        <v>142</v>
      </c>
      <c r="G119" s="7" t="s">
        <v>142</v>
      </c>
      <c r="H119" s="7" t="s">
        <v>142</v>
      </c>
      <c r="I119" s="7" t="s">
        <v>142</v>
      </c>
      <c r="J119" s="7" t="s">
        <v>142</v>
      </c>
      <c r="K119" s="7" t="s">
        <v>142</v>
      </c>
      <c r="L119" s="7" t="s">
        <v>142</v>
      </c>
      <c r="M119" s="370"/>
      <c r="N119" s="137"/>
    </row>
    <row r="120" hidden="1" outlineLevel="1">
      <c r="A120" s="413" t="s">
        <v>781</v>
      </c>
      <c r="B120" s="270">
        <v>46262.0</v>
      </c>
      <c r="C120" s="368" t="str">
        <f t="shared" si="13"/>
        <v>Fri</v>
      </c>
      <c r="D120" s="143">
        <f t="shared" si="14"/>
        <v>1</v>
      </c>
      <c r="E120" s="369" t="s">
        <v>142</v>
      </c>
      <c r="F120" s="7" t="s">
        <v>142</v>
      </c>
      <c r="G120" s="7" t="s">
        <v>142</v>
      </c>
      <c r="H120" s="7" t="s">
        <v>142</v>
      </c>
      <c r="I120" s="7" t="s">
        <v>142</v>
      </c>
      <c r="J120" s="7" t="s">
        <v>142</v>
      </c>
      <c r="K120" s="7" t="s">
        <v>142</v>
      </c>
      <c r="L120" s="7" t="s">
        <v>142</v>
      </c>
      <c r="M120" s="370"/>
      <c r="N120" s="137"/>
    </row>
    <row r="121" hidden="1" outlineLevel="1">
      <c r="A121" s="413" t="s">
        <v>783</v>
      </c>
      <c r="B121" s="270">
        <v>46262.0</v>
      </c>
      <c r="C121" s="368" t="str">
        <f t="shared" si="13"/>
        <v>Fri</v>
      </c>
      <c r="D121" s="128">
        <f t="shared" si="14"/>
        <v>1</v>
      </c>
      <c r="E121" s="370" t="s">
        <v>142</v>
      </c>
      <c r="F121" s="7" t="s">
        <v>142</v>
      </c>
      <c r="G121" s="7" t="s">
        <v>142</v>
      </c>
      <c r="H121" s="7" t="s">
        <v>142</v>
      </c>
      <c r="I121" s="7" t="s">
        <v>142</v>
      </c>
      <c r="J121" s="7" t="s">
        <v>142</v>
      </c>
      <c r="K121" s="7" t="s">
        <v>142</v>
      </c>
      <c r="L121" s="7" t="s">
        <v>142</v>
      </c>
      <c r="M121" s="370"/>
      <c r="N121" s="137"/>
    </row>
    <row r="122" hidden="1" outlineLevel="1">
      <c r="A122" s="413" t="s">
        <v>790</v>
      </c>
      <c r="B122" s="270">
        <v>46262.0</v>
      </c>
      <c r="C122" s="368" t="str">
        <f t="shared" si="13"/>
        <v>Fri</v>
      </c>
      <c r="D122" s="143">
        <f t="shared" si="14"/>
        <v>1</v>
      </c>
      <c r="E122" s="369" t="s">
        <v>142</v>
      </c>
      <c r="F122" s="7" t="s">
        <v>142</v>
      </c>
      <c r="G122" s="7" t="s">
        <v>142</v>
      </c>
      <c r="H122" s="7" t="s">
        <v>142</v>
      </c>
      <c r="I122" s="7" t="s">
        <v>142</v>
      </c>
      <c r="J122" s="7" t="s">
        <v>142</v>
      </c>
      <c r="K122" s="7" t="s">
        <v>142</v>
      </c>
      <c r="L122" s="7" t="s">
        <v>142</v>
      </c>
      <c r="M122" s="370"/>
      <c r="N122" s="137"/>
    </row>
    <row r="123" hidden="1" outlineLevel="1">
      <c r="A123" s="413" t="s">
        <v>792</v>
      </c>
      <c r="B123" s="309"/>
      <c r="C123" s="368" t="str">
        <f t="shared" si="13"/>
        <v/>
      </c>
      <c r="D123" s="128">
        <f t="shared" si="14"/>
        <v>1</v>
      </c>
      <c r="E123" s="370" t="s">
        <v>142</v>
      </c>
      <c r="F123" s="7" t="s">
        <v>142</v>
      </c>
      <c r="G123" s="7" t="s">
        <v>142</v>
      </c>
      <c r="H123" s="7" t="s">
        <v>142</v>
      </c>
      <c r="I123" s="7" t="s">
        <v>142</v>
      </c>
      <c r="J123" s="7" t="s">
        <v>142</v>
      </c>
      <c r="K123" s="7" t="s">
        <v>142</v>
      </c>
      <c r="L123" s="7" t="s">
        <v>142</v>
      </c>
      <c r="M123" s="370"/>
      <c r="N123" s="137"/>
    </row>
    <row r="124" hidden="1" outlineLevel="1">
      <c r="A124" s="413" t="s">
        <v>793</v>
      </c>
      <c r="B124" s="309"/>
      <c r="C124" s="368" t="str">
        <f t="shared" si="13"/>
        <v/>
      </c>
      <c r="D124" s="143">
        <f t="shared" si="14"/>
        <v>1</v>
      </c>
      <c r="E124" s="369" t="s">
        <v>142</v>
      </c>
      <c r="F124" s="7" t="s">
        <v>142</v>
      </c>
      <c r="G124" s="7" t="s">
        <v>142</v>
      </c>
      <c r="H124" s="7" t="s">
        <v>142</v>
      </c>
      <c r="I124" s="7" t="s">
        <v>142</v>
      </c>
      <c r="J124" s="7" t="s">
        <v>142</v>
      </c>
      <c r="K124" s="7" t="s">
        <v>142</v>
      </c>
      <c r="L124" s="7" t="s">
        <v>142</v>
      </c>
      <c r="M124" s="370"/>
      <c r="N124" s="137"/>
    </row>
    <row r="125" hidden="1" outlineLevel="1">
      <c r="A125" s="413" t="s">
        <v>794</v>
      </c>
      <c r="B125" s="309"/>
      <c r="C125" s="368" t="str">
        <f t="shared" si="13"/>
        <v/>
      </c>
      <c r="D125" s="128">
        <f t="shared" si="14"/>
        <v>1</v>
      </c>
      <c r="E125" s="370" t="s">
        <v>142</v>
      </c>
      <c r="F125" s="7" t="s">
        <v>142</v>
      </c>
      <c r="G125" s="7" t="s">
        <v>142</v>
      </c>
      <c r="H125" s="7" t="s">
        <v>142</v>
      </c>
      <c r="I125" s="7" t="s">
        <v>142</v>
      </c>
      <c r="J125" s="7" t="s">
        <v>142</v>
      </c>
      <c r="K125" s="7" t="s">
        <v>142</v>
      </c>
      <c r="L125" s="7" t="s">
        <v>142</v>
      </c>
      <c r="M125" s="370"/>
      <c r="N125" s="137"/>
    </row>
    <row r="126" hidden="1" outlineLevel="1">
      <c r="A126" s="373"/>
      <c r="B126" s="373"/>
      <c r="C126" s="374" t="s">
        <v>199</v>
      </c>
      <c r="D126" s="414">
        <f>AVERAGE(D111:D125)</f>
        <v>1</v>
      </c>
      <c r="E126" s="391"/>
      <c r="F126" s="373"/>
      <c r="G126" s="373"/>
      <c r="H126" s="373"/>
      <c r="I126" s="373"/>
      <c r="J126" s="373"/>
      <c r="K126" s="373"/>
      <c r="L126" s="374" t="s">
        <v>199</v>
      </c>
      <c r="M126" s="377">
        <f>SUM(M111:M125)/75*0.1</f>
        <v>0</v>
      </c>
      <c r="N126" s="373"/>
    </row>
    <row r="127" collapsed="1">
      <c r="A127" s="85" t="s">
        <v>423</v>
      </c>
      <c r="B127" s="86"/>
      <c r="C127" s="86"/>
      <c r="D127" s="88"/>
      <c r="E127" s="361"/>
      <c r="F127" s="361"/>
      <c r="G127" s="361"/>
      <c r="H127" s="361"/>
      <c r="I127" s="361"/>
      <c r="J127" s="361"/>
      <c r="K127" s="361"/>
      <c r="L127" s="361"/>
      <c r="M127" s="361"/>
      <c r="N127" s="361"/>
    </row>
    <row r="128" hidden="1" outlineLevel="1">
      <c r="A128" s="362" t="s">
        <v>89</v>
      </c>
      <c r="B128" s="363" t="s">
        <v>90</v>
      </c>
      <c r="C128" s="363" t="s">
        <v>91</v>
      </c>
      <c r="D128" s="364" t="s">
        <v>93</v>
      </c>
      <c r="E128" s="365" t="s">
        <v>94</v>
      </c>
      <c r="F128" s="365" t="s">
        <v>95</v>
      </c>
      <c r="G128" s="366" t="s">
        <v>96</v>
      </c>
      <c r="H128" s="366" t="s">
        <v>97</v>
      </c>
      <c r="I128" s="366" t="s">
        <v>104</v>
      </c>
      <c r="J128" s="366" t="s">
        <v>106</v>
      </c>
      <c r="K128" s="366" t="s">
        <v>109</v>
      </c>
      <c r="L128" s="366" t="s">
        <v>111</v>
      </c>
      <c r="M128" s="363" t="s">
        <v>114</v>
      </c>
      <c r="N128" s="363" t="s">
        <v>116</v>
      </c>
    </row>
    <row r="129" hidden="1" outlineLevel="1">
      <c r="A129" s="413" t="s">
        <v>796</v>
      </c>
      <c r="B129" s="309">
        <v>46265.0</v>
      </c>
      <c r="C129" s="368" t="str">
        <f t="shared" ref="C129:C143" si="15">IF(B129="", "", TEXT(B129, "ddd"))</f>
        <v>Mon</v>
      </c>
      <c r="D129" s="128">
        <f t="shared" ref="D129:D143" si="16">IF(E129="Yes",0.05,0)
+IF(F129="Yes",0.1,0)
+IF(G129="Yes",0.15,0)
+IF(H129="Yes",0.15,0)
+IF(I129="Yes",0.05,0)
+IF(J129="Yes",0.05,0)
+IF(K129="Yes",0.15,0)
+IF(L129="Yes",0.3,0)
</f>
        <v>1</v>
      </c>
      <c r="E129" s="131" t="s">
        <v>142</v>
      </c>
      <c r="F129" s="134" t="s">
        <v>142</v>
      </c>
      <c r="G129" s="134" t="s">
        <v>142</v>
      </c>
      <c r="H129" s="134" t="s">
        <v>142</v>
      </c>
      <c r="I129" s="134" t="s">
        <v>142</v>
      </c>
      <c r="J129" s="134" t="s">
        <v>142</v>
      </c>
      <c r="K129" s="134" t="s">
        <v>142</v>
      </c>
      <c r="L129" s="134" t="s">
        <v>142</v>
      </c>
      <c r="M129" s="370"/>
      <c r="N129" s="137"/>
    </row>
    <row r="130" hidden="1" outlineLevel="1">
      <c r="A130" s="413" t="s">
        <v>800</v>
      </c>
      <c r="B130" s="309">
        <v>46265.0</v>
      </c>
      <c r="C130" s="368" t="str">
        <f t="shared" si="15"/>
        <v>Mon</v>
      </c>
      <c r="D130" s="143">
        <f t="shared" si="16"/>
        <v>1</v>
      </c>
      <c r="E130" s="144" t="s">
        <v>142</v>
      </c>
      <c r="F130" s="134" t="s">
        <v>142</v>
      </c>
      <c r="G130" s="134" t="s">
        <v>142</v>
      </c>
      <c r="H130" s="134" t="s">
        <v>142</v>
      </c>
      <c r="I130" s="134" t="s">
        <v>142</v>
      </c>
      <c r="J130" s="134" t="s">
        <v>142</v>
      </c>
      <c r="K130" s="134" t="s">
        <v>142</v>
      </c>
      <c r="L130" s="134" t="s">
        <v>142</v>
      </c>
      <c r="M130" s="370"/>
      <c r="N130" s="137"/>
    </row>
    <row r="131" hidden="1" outlineLevel="1">
      <c r="A131" s="413" t="s">
        <v>803</v>
      </c>
      <c r="B131" s="309">
        <v>46265.0</v>
      </c>
      <c r="C131" s="368" t="str">
        <f t="shared" si="15"/>
        <v>Mon</v>
      </c>
      <c r="D131" s="128">
        <f t="shared" si="16"/>
        <v>1</v>
      </c>
      <c r="E131" s="131" t="s">
        <v>142</v>
      </c>
      <c r="F131" s="134" t="s">
        <v>142</v>
      </c>
      <c r="G131" s="134" t="s">
        <v>142</v>
      </c>
      <c r="H131" s="134" t="s">
        <v>142</v>
      </c>
      <c r="I131" s="134" t="s">
        <v>142</v>
      </c>
      <c r="J131" s="134" t="s">
        <v>142</v>
      </c>
      <c r="K131" s="134" t="s">
        <v>142</v>
      </c>
      <c r="L131" s="134" t="s">
        <v>142</v>
      </c>
      <c r="M131" s="370"/>
      <c r="N131" s="137"/>
    </row>
    <row r="132" hidden="1" outlineLevel="1">
      <c r="A132" s="413" t="s">
        <v>805</v>
      </c>
      <c r="B132" s="309">
        <v>46266.0</v>
      </c>
      <c r="C132" s="368" t="str">
        <f t="shared" si="15"/>
        <v>Tue</v>
      </c>
      <c r="D132" s="143">
        <f t="shared" si="16"/>
        <v>1</v>
      </c>
      <c r="E132" s="144" t="s">
        <v>142</v>
      </c>
      <c r="F132" s="134" t="s">
        <v>142</v>
      </c>
      <c r="G132" s="134" t="s">
        <v>142</v>
      </c>
      <c r="H132" s="134" t="s">
        <v>142</v>
      </c>
      <c r="I132" s="134" t="s">
        <v>142</v>
      </c>
      <c r="J132" s="134" t="s">
        <v>142</v>
      </c>
      <c r="K132" s="134" t="s">
        <v>142</v>
      </c>
      <c r="L132" s="134" t="s">
        <v>142</v>
      </c>
      <c r="M132" s="370"/>
      <c r="N132" s="137"/>
    </row>
    <row r="133" hidden="1" outlineLevel="1">
      <c r="A133" s="413" t="s">
        <v>807</v>
      </c>
      <c r="B133" s="309">
        <v>46266.0</v>
      </c>
      <c r="C133" s="368" t="str">
        <f t="shared" si="15"/>
        <v>Tue</v>
      </c>
      <c r="D133" s="128">
        <f t="shared" si="16"/>
        <v>1</v>
      </c>
      <c r="E133" s="131" t="s">
        <v>142</v>
      </c>
      <c r="F133" s="134" t="s">
        <v>142</v>
      </c>
      <c r="G133" s="134" t="s">
        <v>142</v>
      </c>
      <c r="H133" s="134" t="s">
        <v>142</v>
      </c>
      <c r="I133" s="134" t="s">
        <v>142</v>
      </c>
      <c r="J133" s="134" t="s">
        <v>142</v>
      </c>
      <c r="K133" s="134" t="s">
        <v>142</v>
      </c>
      <c r="L133" s="134" t="s">
        <v>142</v>
      </c>
      <c r="M133" s="370"/>
      <c r="N133" s="137"/>
    </row>
    <row r="134" hidden="1" outlineLevel="1">
      <c r="A134" s="413" t="s">
        <v>809</v>
      </c>
      <c r="B134" s="309">
        <v>46266.0</v>
      </c>
      <c r="C134" s="368" t="str">
        <f t="shared" si="15"/>
        <v>Tue</v>
      </c>
      <c r="D134" s="143">
        <f t="shared" si="16"/>
        <v>1</v>
      </c>
      <c r="E134" s="144" t="s">
        <v>142</v>
      </c>
      <c r="F134" s="134" t="s">
        <v>142</v>
      </c>
      <c r="G134" s="134" t="s">
        <v>142</v>
      </c>
      <c r="H134" s="134" t="s">
        <v>142</v>
      </c>
      <c r="I134" s="134" t="s">
        <v>142</v>
      </c>
      <c r="J134" s="134" t="s">
        <v>142</v>
      </c>
      <c r="K134" s="134" t="s">
        <v>142</v>
      </c>
      <c r="L134" s="134" t="s">
        <v>142</v>
      </c>
      <c r="M134" s="370"/>
      <c r="N134" s="137"/>
    </row>
    <row r="135" hidden="1" outlineLevel="1">
      <c r="A135" s="413" t="s">
        <v>811</v>
      </c>
      <c r="B135" s="309">
        <v>46268.0</v>
      </c>
      <c r="C135" s="368" t="str">
        <f t="shared" si="15"/>
        <v>Thu</v>
      </c>
      <c r="D135" s="128">
        <f t="shared" si="16"/>
        <v>1</v>
      </c>
      <c r="E135" s="131" t="s">
        <v>142</v>
      </c>
      <c r="F135" s="134" t="s">
        <v>142</v>
      </c>
      <c r="G135" s="134" t="s">
        <v>142</v>
      </c>
      <c r="H135" s="134" t="s">
        <v>142</v>
      </c>
      <c r="I135" s="134" t="s">
        <v>142</v>
      </c>
      <c r="J135" s="134" t="s">
        <v>142</v>
      </c>
      <c r="K135" s="134" t="s">
        <v>142</v>
      </c>
      <c r="L135" s="134" t="s">
        <v>142</v>
      </c>
      <c r="M135" s="370"/>
      <c r="N135" s="137"/>
    </row>
    <row r="136" hidden="1" outlineLevel="1">
      <c r="A136" s="413" t="s">
        <v>812</v>
      </c>
      <c r="B136" s="309">
        <v>46268.0</v>
      </c>
      <c r="C136" s="368" t="str">
        <f t="shared" si="15"/>
        <v>Thu</v>
      </c>
      <c r="D136" s="143">
        <f t="shared" si="16"/>
        <v>1</v>
      </c>
      <c r="E136" s="144" t="s">
        <v>142</v>
      </c>
      <c r="F136" s="134" t="s">
        <v>142</v>
      </c>
      <c r="G136" s="134" t="s">
        <v>142</v>
      </c>
      <c r="H136" s="134" t="s">
        <v>142</v>
      </c>
      <c r="I136" s="134" t="s">
        <v>142</v>
      </c>
      <c r="J136" s="134" t="s">
        <v>142</v>
      </c>
      <c r="K136" s="134" t="s">
        <v>142</v>
      </c>
      <c r="L136" s="134" t="s">
        <v>142</v>
      </c>
      <c r="M136" s="370"/>
      <c r="N136" s="137"/>
    </row>
    <row r="137" hidden="1" outlineLevel="1">
      <c r="A137" s="413" t="s">
        <v>813</v>
      </c>
      <c r="B137" s="309">
        <v>46268.0</v>
      </c>
      <c r="C137" s="368" t="str">
        <f t="shared" si="15"/>
        <v>Thu</v>
      </c>
      <c r="D137" s="128">
        <f t="shared" si="16"/>
        <v>1</v>
      </c>
      <c r="E137" s="131" t="s">
        <v>142</v>
      </c>
      <c r="F137" s="134" t="s">
        <v>142</v>
      </c>
      <c r="G137" s="134" t="s">
        <v>142</v>
      </c>
      <c r="H137" s="134" t="s">
        <v>142</v>
      </c>
      <c r="I137" s="134" t="s">
        <v>142</v>
      </c>
      <c r="J137" s="134" t="s">
        <v>142</v>
      </c>
      <c r="K137" s="134" t="s">
        <v>142</v>
      </c>
      <c r="L137" s="134" t="s">
        <v>142</v>
      </c>
      <c r="M137" s="370"/>
      <c r="N137" s="137"/>
    </row>
    <row r="138" hidden="1" outlineLevel="1">
      <c r="A138" s="372" t="s">
        <v>816</v>
      </c>
      <c r="B138" s="309">
        <v>46269.0</v>
      </c>
      <c r="C138" s="368" t="str">
        <f t="shared" si="15"/>
        <v>Fri</v>
      </c>
      <c r="D138" s="143">
        <f t="shared" si="16"/>
        <v>1</v>
      </c>
      <c r="E138" s="144" t="s">
        <v>142</v>
      </c>
      <c r="F138" s="134" t="s">
        <v>142</v>
      </c>
      <c r="G138" s="134" t="s">
        <v>142</v>
      </c>
      <c r="H138" s="134" t="s">
        <v>142</v>
      </c>
      <c r="I138" s="134" t="s">
        <v>142</v>
      </c>
      <c r="J138" s="134" t="s">
        <v>142</v>
      </c>
      <c r="K138" s="134" t="s">
        <v>142</v>
      </c>
      <c r="L138" s="134" t="s">
        <v>142</v>
      </c>
      <c r="M138" s="370"/>
      <c r="N138" s="137"/>
    </row>
    <row r="139" hidden="1" outlineLevel="1">
      <c r="A139" s="372" t="s">
        <v>818</v>
      </c>
      <c r="B139" s="309">
        <v>46269.0</v>
      </c>
      <c r="C139" s="368" t="str">
        <f t="shared" si="15"/>
        <v>Fri</v>
      </c>
      <c r="D139" s="128">
        <f t="shared" si="16"/>
        <v>1</v>
      </c>
      <c r="E139" s="131" t="s">
        <v>142</v>
      </c>
      <c r="F139" s="134" t="s">
        <v>142</v>
      </c>
      <c r="G139" s="134" t="s">
        <v>142</v>
      </c>
      <c r="H139" s="134" t="s">
        <v>142</v>
      </c>
      <c r="I139" s="134" t="s">
        <v>142</v>
      </c>
      <c r="J139" s="134" t="s">
        <v>142</v>
      </c>
      <c r="K139" s="134" t="s">
        <v>142</v>
      </c>
      <c r="L139" s="134" t="s">
        <v>142</v>
      </c>
      <c r="M139" s="370"/>
      <c r="N139" s="137"/>
    </row>
    <row r="140" hidden="1" outlineLevel="1">
      <c r="A140" s="372" t="s">
        <v>819</v>
      </c>
      <c r="B140" s="309">
        <v>46269.0</v>
      </c>
      <c r="C140" s="368" t="str">
        <f t="shared" si="15"/>
        <v>Fri</v>
      </c>
      <c r="D140" s="143">
        <f t="shared" si="16"/>
        <v>1</v>
      </c>
      <c r="E140" s="144" t="s">
        <v>142</v>
      </c>
      <c r="F140" s="134" t="s">
        <v>142</v>
      </c>
      <c r="G140" s="134" t="s">
        <v>142</v>
      </c>
      <c r="H140" s="134" t="s">
        <v>142</v>
      </c>
      <c r="I140" s="134" t="s">
        <v>142</v>
      </c>
      <c r="J140" s="134" t="s">
        <v>142</v>
      </c>
      <c r="K140" s="134" t="s">
        <v>142</v>
      </c>
      <c r="L140" s="134" t="s">
        <v>142</v>
      </c>
      <c r="M140" s="370"/>
      <c r="N140" s="137"/>
    </row>
    <row r="141" hidden="1" outlineLevel="1">
      <c r="A141" s="413" t="s">
        <v>820</v>
      </c>
      <c r="B141" s="309">
        <v>46270.0</v>
      </c>
      <c r="C141" s="368" t="str">
        <f t="shared" si="15"/>
        <v>Sat</v>
      </c>
      <c r="D141" s="128">
        <f t="shared" si="16"/>
        <v>1</v>
      </c>
      <c r="E141" s="131" t="s">
        <v>142</v>
      </c>
      <c r="F141" s="134" t="s">
        <v>142</v>
      </c>
      <c r="G141" s="134" t="s">
        <v>142</v>
      </c>
      <c r="H141" s="134" t="s">
        <v>142</v>
      </c>
      <c r="I141" s="134" t="s">
        <v>142</v>
      </c>
      <c r="J141" s="134" t="s">
        <v>142</v>
      </c>
      <c r="K141" s="134" t="s">
        <v>142</v>
      </c>
      <c r="L141" s="134" t="s">
        <v>142</v>
      </c>
      <c r="M141" s="370"/>
      <c r="N141" s="137"/>
    </row>
    <row r="142" hidden="1" outlineLevel="1">
      <c r="A142" s="413" t="s">
        <v>822</v>
      </c>
      <c r="B142" s="309">
        <v>46270.0</v>
      </c>
      <c r="C142" s="368" t="str">
        <f t="shared" si="15"/>
        <v>Sat</v>
      </c>
      <c r="D142" s="143">
        <f t="shared" si="16"/>
        <v>1</v>
      </c>
      <c r="E142" s="144" t="s">
        <v>142</v>
      </c>
      <c r="F142" s="134" t="s">
        <v>142</v>
      </c>
      <c r="G142" s="134" t="s">
        <v>142</v>
      </c>
      <c r="H142" s="134" t="s">
        <v>142</v>
      </c>
      <c r="I142" s="134" t="s">
        <v>142</v>
      </c>
      <c r="J142" s="134" t="s">
        <v>142</v>
      </c>
      <c r="K142" s="134" t="s">
        <v>142</v>
      </c>
      <c r="L142" s="134" t="s">
        <v>142</v>
      </c>
      <c r="M142" s="370"/>
      <c r="N142" s="137"/>
    </row>
    <row r="143" hidden="1" outlineLevel="1">
      <c r="A143" s="413" t="s">
        <v>824</v>
      </c>
      <c r="B143" s="309">
        <v>46270.0</v>
      </c>
      <c r="C143" s="368" t="str">
        <f t="shared" si="15"/>
        <v>Sat</v>
      </c>
      <c r="D143" s="128">
        <f t="shared" si="16"/>
        <v>1</v>
      </c>
      <c r="E143" s="131" t="s">
        <v>142</v>
      </c>
      <c r="F143" s="134" t="s">
        <v>142</v>
      </c>
      <c r="G143" s="134" t="s">
        <v>142</v>
      </c>
      <c r="H143" s="134" t="s">
        <v>142</v>
      </c>
      <c r="I143" s="134" t="s">
        <v>142</v>
      </c>
      <c r="J143" s="134" t="s">
        <v>142</v>
      </c>
      <c r="K143" s="134" t="s">
        <v>142</v>
      </c>
      <c r="L143" s="134" t="s">
        <v>142</v>
      </c>
      <c r="M143" s="370"/>
      <c r="N143" s="137"/>
    </row>
    <row r="144" hidden="1" outlineLevel="1">
      <c r="A144" s="373"/>
      <c r="B144" s="373"/>
      <c r="C144" s="374" t="s">
        <v>199</v>
      </c>
      <c r="D144" s="414">
        <f>AVERAGE(D129:D143)</f>
        <v>1</v>
      </c>
      <c r="E144" s="391"/>
      <c r="F144" s="373"/>
      <c r="G144" s="373"/>
      <c r="H144" s="373"/>
      <c r="I144" s="373"/>
      <c r="J144" s="373"/>
      <c r="K144" s="373"/>
      <c r="L144" s="374" t="s">
        <v>199</v>
      </c>
      <c r="M144" s="377">
        <f>SUM(M129:M143)/75*0.1</f>
        <v>0</v>
      </c>
      <c r="N144" s="373"/>
    </row>
    <row r="145" collapsed="1">
      <c r="A145" s="85" t="s">
        <v>450</v>
      </c>
      <c r="B145" s="86"/>
      <c r="C145" s="86"/>
      <c r="D145" s="88"/>
      <c r="E145" s="361"/>
      <c r="F145" s="361"/>
      <c r="G145" s="361"/>
      <c r="H145" s="361"/>
      <c r="I145" s="361"/>
      <c r="J145" s="361"/>
      <c r="K145" s="361"/>
      <c r="L145" s="361"/>
      <c r="M145" s="361"/>
      <c r="N145" s="361"/>
    </row>
    <row r="146" hidden="1" outlineLevel="1">
      <c r="A146" s="362" t="s">
        <v>89</v>
      </c>
      <c r="B146" s="363" t="s">
        <v>90</v>
      </c>
      <c r="C146" s="363" t="s">
        <v>91</v>
      </c>
      <c r="D146" s="364" t="s">
        <v>93</v>
      </c>
      <c r="E146" s="365" t="s">
        <v>94</v>
      </c>
      <c r="F146" s="365" t="s">
        <v>95</v>
      </c>
      <c r="G146" s="366" t="s">
        <v>96</v>
      </c>
      <c r="H146" s="366" t="s">
        <v>97</v>
      </c>
      <c r="I146" s="366" t="s">
        <v>104</v>
      </c>
      <c r="J146" s="366" t="s">
        <v>106</v>
      </c>
      <c r="K146" s="366" t="s">
        <v>109</v>
      </c>
      <c r="L146" s="366" t="s">
        <v>111</v>
      </c>
      <c r="M146" s="363" t="s">
        <v>114</v>
      </c>
      <c r="N146" s="363" t="s">
        <v>116</v>
      </c>
    </row>
    <row r="147" hidden="1" outlineLevel="1">
      <c r="A147" s="416" t="s">
        <v>827</v>
      </c>
      <c r="B147" s="309">
        <v>46272.0</v>
      </c>
      <c r="C147" s="368" t="str">
        <f t="shared" ref="C147:C161" si="17">IF(B147="", "", TEXT(B147, "ddd"))</f>
        <v>Mon</v>
      </c>
      <c r="D147" s="128">
        <f t="shared" ref="D147:D161" si="18">IF(E147="Yes",0.05,0)
+IF(F147="Yes",0.1,0)
+IF(G147="Yes",0.15,0)
+IF(H147="Yes",0.15,0)
+IF(I147="Yes",0.05,0)
+IF(J147="Yes",0.05,0)
+IF(K147="Yes",0.15,0)
+IF(L147="Yes",0.3,0)
</f>
        <v>1</v>
      </c>
      <c r="E147" s="131" t="s">
        <v>142</v>
      </c>
      <c r="F147" s="134" t="s">
        <v>142</v>
      </c>
      <c r="G147" s="134" t="s">
        <v>142</v>
      </c>
      <c r="H147" s="134" t="s">
        <v>142</v>
      </c>
      <c r="I147" s="134" t="s">
        <v>142</v>
      </c>
      <c r="J147" s="134" t="s">
        <v>142</v>
      </c>
      <c r="K147" s="134" t="s">
        <v>142</v>
      </c>
      <c r="L147" s="134" t="s">
        <v>142</v>
      </c>
      <c r="M147" s="370"/>
      <c r="N147" s="137"/>
    </row>
    <row r="148" hidden="1" outlineLevel="1">
      <c r="A148" s="416" t="s">
        <v>830</v>
      </c>
      <c r="B148" s="309">
        <v>46272.0</v>
      </c>
      <c r="C148" s="368" t="str">
        <f t="shared" si="17"/>
        <v>Mon</v>
      </c>
      <c r="D148" s="143">
        <f t="shared" si="18"/>
        <v>1</v>
      </c>
      <c r="E148" s="144" t="s">
        <v>142</v>
      </c>
      <c r="F148" s="134" t="s">
        <v>142</v>
      </c>
      <c r="G148" s="134" t="s">
        <v>142</v>
      </c>
      <c r="H148" s="134" t="s">
        <v>142</v>
      </c>
      <c r="I148" s="134" t="s">
        <v>142</v>
      </c>
      <c r="J148" s="134" t="s">
        <v>142</v>
      </c>
      <c r="K148" s="134" t="s">
        <v>142</v>
      </c>
      <c r="L148" s="134" t="s">
        <v>142</v>
      </c>
      <c r="M148" s="370"/>
      <c r="N148" s="137"/>
    </row>
    <row r="149" hidden="1" outlineLevel="1">
      <c r="A149" s="416" t="s">
        <v>831</v>
      </c>
      <c r="B149" s="309">
        <v>46272.0</v>
      </c>
      <c r="C149" s="368" t="str">
        <f t="shared" si="17"/>
        <v>Mon</v>
      </c>
      <c r="D149" s="128">
        <f t="shared" si="18"/>
        <v>1</v>
      </c>
      <c r="E149" s="131" t="s">
        <v>142</v>
      </c>
      <c r="F149" s="134" t="s">
        <v>142</v>
      </c>
      <c r="G149" s="134" t="s">
        <v>142</v>
      </c>
      <c r="H149" s="134" t="s">
        <v>142</v>
      </c>
      <c r="I149" s="134" t="s">
        <v>142</v>
      </c>
      <c r="J149" s="134" t="s">
        <v>142</v>
      </c>
      <c r="K149" s="134" t="s">
        <v>142</v>
      </c>
      <c r="L149" s="134" t="s">
        <v>142</v>
      </c>
      <c r="M149" s="370"/>
      <c r="N149" s="137"/>
    </row>
    <row r="150" hidden="1" outlineLevel="1">
      <c r="A150" s="416" t="s">
        <v>833</v>
      </c>
      <c r="B150" s="309">
        <v>46273.0</v>
      </c>
      <c r="C150" s="368" t="str">
        <f t="shared" si="17"/>
        <v>Tue</v>
      </c>
      <c r="D150" s="143">
        <f t="shared" si="18"/>
        <v>1</v>
      </c>
      <c r="E150" s="144" t="s">
        <v>142</v>
      </c>
      <c r="F150" s="134" t="s">
        <v>142</v>
      </c>
      <c r="G150" s="134" t="s">
        <v>142</v>
      </c>
      <c r="H150" s="134" t="s">
        <v>142</v>
      </c>
      <c r="I150" s="134" t="s">
        <v>142</v>
      </c>
      <c r="J150" s="134" t="s">
        <v>142</v>
      </c>
      <c r="K150" s="134" t="s">
        <v>142</v>
      </c>
      <c r="L150" s="134" t="s">
        <v>142</v>
      </c>
      <c r="M150" s="370"/>
      <c r="N150" s="137"/>
    </row>
    <row r="151" hidden="1" outlineLevel="1">
      <c r="A151" s="416" t="s">
        <v>835</v>
      </c>
      <c r="B151" s="309">
        <v>46273.0</v>
      </c>
      <c r="C151" s="368" t="str">
        <f t="shared" si="17"/>
        <v>Tue</v>
      </c>
      <c r="D151" s="128">
        <f t="shared" si="18"/>
        <v>1</v>
      </c>
      <c r="E151" s="131" t="s">
        <v>142</v>
      </c>
      <c r="F151" s="134" t="s">
        <v>142</v>
      </c>
      <c r="G151" s="134" t="s">
        <v>142</v>
      </c>
      <c r="H151" s="134" t="s">
        <v>142</v>
      </c>
      <c r="I151" s="134" t="s">
        <v>142</v>
      </c>
      <c r="J151" s="134" t="s">
        <v>142</v>
      </c>
      <c r="K151" s="134" t="s">
        <v>142</v>
      </c>
      <c r="L151" s="134" t="s">
        <v>142</v>
      </c>
      <c r="M151" s="370"/>
      <c r="N151" s="137"/>
    </row>
    <row r="152" hidden="1" outlineLevel="1">
      <c r="A152" s="416" t="s">
        <v>836</v>
      </c>
      <c r="B152" s="309">
        <v>46273.0</v>
      </c>
      <c r="C152" s="368" t="str">
        <f t="shared" si="17"/>
        <v>Tue</v>
      </c>
      <c r="D152" s="143">
        <f t="shared" si="18"/>
        <v>1</v>
      </c>
      <c r="E152" s="144" t="s">
        <v>142</v>
      </c>
      <c r="F152" s="134" t="s">
        <v>142</v>
      </c>
      <c r="G152" s="134" t="s">
        <v>142</v>
      </c>
      <c r="H152" s="134" t="s">
        <v>142</v>
      </c>
      <c r="I152" s="134" t="s">
        <v>142</v>
      </c>
      <c r="J152" s="134" t="s">
        <v>142</v>
      </c>
      <c r="K152" s="134" t="s">
        <v>142</v>
      </c>
      <c r="L152" s="134" t="s">
        <v>142</v>
      </c>
      <c r="M152" s="370"/>
      <c r="N152" s="137"/>
    </row>
    <row r="153" hidden="1" outlineLevel="1">
      <c r="A153" s="416" t="s">
        <v>837</v>
      </c>
      <c r="B153" s="309">
        <v>46275.0</v>
      </c>
      <c r="C153" s="368" t="str">
        <f t="shared" si="17"/>
        <v>Thu</v>
      </c>
      <c r="D153" s="128">
        <f t="shared" si="18"/>
        <v>1</v>
      </c>
      <c r="E153" s="131" t="s">
        <v>142</v>
      </c>
      <c r="F153" s="134" t="s">
        <v>142</v>
      </c>
      <c r="G153" s="134" t="s">
        <v>142</v>
      </c>
      <c r="H153" s="134" t="s">
        <v>142</v>
      </c>
      <c r="I153" s="134" t="s">
        <v>142</v>
      </c>
      <c r="J153" s="134" t="s">
        <v>142</v>
      </c>
      <c r="K153" s="134" t="s">
        <v>142</v>
      </c>
      <c r="L153" s="134" t="s">
        <v>142</v>
      </c>
      <c r="M153" s="370"/>
      <c r="N153" s="137"/>
    </row>
    <row r="154" hidden="1" outlineLevel="1">
      <c r="A154" s="416" t="s">
        <v>839</v>
      </c>
      <c r="B154" s="309">
        <v>46275.0</v>
      </c>
      <c r="C154" s="368" t="str">
        <f t="shared" si="17"/>
        <v>Thu</v>
      </c>
      <c r="D154" s="143">
        <f t="shared" si="18"/>
        <v>1</v>
      </c>
      <c r="E154" s="144" t="s">
        <v>142</v>
      </c>
      <c r="F154" s="134" t="s">
        <v>142</v>
      </c>
      <c r="G154" s="134" t="s">
        <v>142</v>
      </c>
      <c r="H154" s="134" t="s">
        <v>142</v>
      </c>
      <c r="I154" s="134" t="s">
        <v>142</v>
      </c>
      <c r="J154" s="134" t="s">
        <v>142</v>
      </c>
      <c r="K154" s="134" t="s">
        <v>142</v>
      </c>
      <c r="L154" s="134" t="s">
        <v>142</v>
      </c>
      <c r="M154" s="370"/>
      <c r="N154" s="137"/>
    </row>
    <row r="155" hidden="1" outlineLevel="1">
      <c r="A155" s="416" t="s">
        <v>840</v>
      </c>
      <c r="B155" s="309">
        <v>46275.0</v>
      </c>
      <c r="C155" s="368" t="str">
        <f t="shared" si="17"/>
        <v>Thu</v>
      </c>
      <c r="D155" s="128">
        <f t="shared" si="18"/>
        <v>1</v>
      </c>
      <c r="E155" s="131" t="s">
        <v>142</v>
      </c>
      <c r="F155" s="134" t="s">
        <v>142</v>
      </c>
      <c r="G155" s="134" t="s">
        <v>142</v>
      </c>
      <c r="H155" s="134" t="s">
        <v>142</v>
      </c>
      <c r="I155" s="134" t="s">
        <v>142</v>
      </c>
      <c r="J155" s="134" t="s">
        <v>142</v>
      </c>
      <c r="K155" s="134" t="s">
        <v>142</v>
      </c>
      <c r="L155" s="134" t="s">
        <v>142</v>
      </c>
      <c r="M155" s="370"/>
      <c r="N155" s="137"/>
    </row>
    <row r="156" hidden="1" outlineLevel="1">
      <c r="A156" s="416" t="s">
        <v>842</v>
      </c>
      <c r="B156" s="309">
        <v>46276.0</v>
      </c>
      <c r="C156" s="368" t="str">
        <f t="shared" si="17"/>
        <v>Fri</v>
      </c>
      <c r="D156" s="143">
        <f t="shared" si="18"/>
        <v>1</v>
      </c>
      <c r="E156" s="144" t="s">
        <v>142</v>
      </c>
      <c r="F156" s="134" t="s">
        <v>142</v>
      </c>
      <c r="G156" s="134" t="s">
        <v>142</v>
      </c>
      <c r="H156" s="134" t="s">
        <v>142</v>
      </c>
      <c r="I156" s="134" t="s">
        <v>142</v>
      </c>
      <c r="J156" s="134" t="s">
        <v>142</v>
      </c>
      <c r="K156" s="134" t="s">
        <v>142</v>
      </c>
      <c r="L156" s="134" t="s">
        <v>142</v>
      </c>
      <c r="M156" s="370"/>
      <c r="N156" s="137"/>
    </row>
    <row r="157" hidden="1" outlineLevel="1">
      <c r="A157" s="416" t="s">
        <v>844</v>
      </c>
      <c r="B157" s="309">
        <v>46276.0</v>
      </c>
      <c r="C157" s="368" t="str">
        <f t="shared" si="17"/>
        <v>Fri</v>
      </c>
      <c r="D157" s="128">
        <f t="shared" si="18"/>
        <v>1</v>
      </c>
      <c r="E157" s="131" t="s">
        <v>142</v>
      </c>
      <c r="F157" s="134" t="s">
        <v>142</v>
      </c>
      <c r="G157" s="134" t="s">
        <v>142</v>
      </c>
      <c r="H157" s="134" t="s">
        <v>142</v>
      </c>
      <c r="I157" s="134" t="s">
        <v>142</v>
      </c>
      <c r="J157" s="134" t="s">
        <v>142</v>
      </c>
      <c r="K157" s="134" t="s">
        <v>142</v>
      </c>
      <c r="L157" s="134" t="s">
        <v>142</v>
      </c>
      <c r="M157" s="370"/>
      <c r="N157" s="137"/>
    </row>
    <row r="158" hidden="1" outlineLevel="1">
      <c r="A158" s="416" t="s">
        <v>846</v>
      </c>
      <c r="B158" s="309">
        <v>46276.0</v>
      </c>
      <c r="C158" s="368" t="str">
        <f t="shared" si="17"/>
        <v>Fri</v>
      </c>
      <c r="D158" s="143">
        <f t="shared" si="18"/>
        <v>1</v>
      </c>
      <c r="E158" s="144" t="s">
        <v>142</v>
      </c>
      <c r="F158" s="134" t="s">
        <v>142</v>
      </c>
      <c r="G158" s="134" t="s">
        <v>142</v>
      </c>
      <c r="H158" s="134" t="s">
        <v>142</v>
      </c>
      <c r="I158" s="134" t="s">
        <v>142</v>
      </c>
      <c r="J158" s="134" t="s">
        <v>142</v>
      </c>
      <c r="K158" s="134" t="s">
        <v>142</v>
      </c>
      <c r="L158" s="134" t="s">
        <v>142</v>
      </c>
      <c r="M158" s="370"/>
      <c r="N158" s="137"/>
    </row>
    <row r="159" hidden="1" outlineLevel="1">
      <c r="A159" s="416" t="s">
        <v>848</v>
      </c>
      <c r="B159" s="309">
        <v>46277.0</v>
      </c>
      <c r="C159" s="368" t="str">
        <f t="shared" si="17"/>
        <v>Sat</v>
      </c>
      <c r="D159" s="128">
        <f t="shared" si="18"/>
        <v>1</v>
      </c>
      <c r="E159" s="131" t="s">
        <v>142</v>
      </c>
      <c r="F159" s="134" t="s">
        <v>142</v>
      </c>
      <c r="G159" s="134" t="s">
        <v>142</v>
      </c>
      <c r="H159" s="134" t="s">
        <v>142</v>
      </c>
      <c r="I159" s="134" t="s">
        <v>142</v>
      </c>
      <c r="J159" s="134" t="s">
        <v>142</v>
      </c>
      <c r="K159" s="134" t="s">
        <v>142</v>
      </c>
      <c r="L159" s="134" t="s">
        <v>142</v>
      </c>
      <c r="M159" s="370"/>
      <c r="N159" s="137"/>
    </row>
    <row r="160" hidden="1" outlineLevel="1">
      <c r="A160" s="416" t="s">
        <v>849</v>
      </c>
      <c r="B160" s="309">
        <v>46277.0</v>
      </c>
      <c r="C160" s="368" t="str">
        <f t="shared" si="17"/>
        <v>Sat</v>
      </c>
      <c r="D160" s="143">
        <f t="shared" si="18"/>
        <v>1</v>
      </c>
      <c r="E160" s="144" t="s">
        <v>142</v>
      </c>
      <c r="F160" s="134" t="s">
        <v>142</v>
      </c>
      <c r="G160" s="134" t="s">
        <v>142</v>
      </c>
      <c r="H160" s="134" t="s">
        <v>142</v>
      </c>
      <c r="I160" s="134" t="s">
        <v>142</v>
      </c>
      <c r="J160" s="134" t="s">
        <v>142</v>
      </c>
      <c r="K160" s="134" t="s">
        <v>142</v>
      </c>
      <c r="L160" s="134" t="s">
        <v>142</v>
      </c>
      <c r="M160" s="370"/>
      <c r="N160" s="137"/>
    </row>
    <row r="161" hidden="1" outlineLevel="1">
      <c r="A161" s="416" t="s">
        <v>851</v>
      </c>
      <c r="B161" s="309">
        <v>46277.0</v>
      </c>
      <c r="C161" s="368" t="str">
        <f t="shared" si="17"/>
        <v>Sat</v>
      </c>
      <c r="D161" s="128">
        <f t="shared" si="18"/>
        <v>1</v>
      </c>
      <c r="E161" s="131" t="s">
        <v>142</v>
      </c>
      <c r="F161" s="134" t="s">
        <v>142</v>
      </c>
      <c r="G161" s="134" t="s">
        <v>142</v>
      </c>
      <c r="H161" s="134" t="s">
        <v>142</v>
      </c>
      <c r="I161" s="134" t="s">
        <v>142</v>
      </c>
      <c r="J161" s="134" t="s">
        <v>142</v>
      </c>
      <c r="K161" s="134" t="s">
        <v>142</v>
      </c>
      <c r="L161" s="134" t="s">
        <v>142</v>
      </c>
      <c r="M161" s="370"/>
      <c r="N161" s="137"/>
    </row>
    <row r="162" hidden="1" outlineLevel="1">
      <c r="A162" s="373"/>
      <c r="B162" s="373"/>
      <c r="C162" s="374" t="s">
        <v>199</v>
      </c>
      <c r="D162" s="414">
        <f>AVERAGE(D147:D161)</f>
        <v>1</v>
      </c>
      <c r="E162" s="391"/>
      <c r="F162" s="373"/>
      <c r="G162" s="373"/>
      <c r="H162" s="373"/>
      <c r="I162" s="373"/>
      <c r="J162" s="373"/>
      <c r="K162" s="373"/>
      <c r="L162" s="374" t="s">
        <v>199</v>
      </c>
      <c r="M162" s="377">
        <f>SUM(M147:M161)/75*0.1</f>
        <v>0</v>
      </c>
      <c r="N162" s="373"/>
    </row>
    <row r="163" collapsed="1">
      <c r="A163" s="85" t="s">
        <v>471</v>
      </c>
      <c r="B163" s="86"/>
      <c r="C163" s="86"/>
      <c r="D163" s="88"/>
      <c r="E163" s="361"/>
      <c r="F163" s="361"/>
      <c r="G163" s="361"/>
      <c r="H163" s="361"/>
      <c r="I163" s="361"/>
      <c r="J163" s="361"/>
      <c r="K163" s="361"/>
      <c r="L163" s="361"/>
      <c r="M163" s="361"/>
      <c r="N163" s="361"/>
    </row>
    <row r="164" hidden="1" outlineLevel="1">
      <c r="A164" s="362" t="s">
        <v>89</v>
      </c>
      <c r="B164" s="363" t="s">
        <v>90</v>
      </c>
      <c r="C164" s="363" t="s">
        <v>91</v>
      </c>
      <c r="D164" s="364" t="s">
        <v>93</v>
      </c>
      <c r="E164" s="365" t="s">
        <v>94</v>
      </c>
      <c r="F164" s="365" t="s">
        <v>95</v>
      </c>
      <c r="G164" s="366" t="s">
        <v>96</v>
      </c>
      <c r="H164" s="366" t="s">
        <v>97</v>
      </c>
      <c r="I164" s="366" t="s">
        <v>104</v>
      </c>
      <c r="J164" s="366" t="s">
        <v>106</v>
      </c>
      <c r="K164" s="366" t="s">
        <v>109</v>
      </c>
      <c r="L164" s="366" t="s">
        <v>111</v>
      </c>
      <c r="M164" s="363" t="s">
        <v>114</v>
      </c>
      <c r="N164" s="363" t="s">
        <v>116</v>
      </c>
    </row>
    <row r="165" hidden="1" outlineLevel="1">
      <c r="A165" s="416" t="s">
        <v>857</v>
      </c>
      <c r="B165" s="309">
        <v>46279.0</v>
      </c>
      <c r="C165" s="368" t="str">
        <f t="shared" ref="C165:C179" si="19">IF(B165="", "", TEXT(B165, "ddd"))</f>
        <v>Mon</v>
      </c>
      <c r="D165" s="128">
        <f t="shared" ref="D165:D179" si="20">IF(E165="Yes",0.05,0)
+IF(F165="Yes",0.1,0)
+IF(G165="Yes",0.15,0)
+IF(H165="Yes",0.15,0)
+IF(I165="Yes",0.05,0)
+IF(J165="Yes",0.05,0)
+IF(K165="Yes",0.15,0)
+IF(L165="Yes",0.3,0)
</f>
        <v>1</v>
      </c>
      <c r="E165" s="131" t="s">
        <v>142</v>
      </c>
      <c r="F165" s="134" t="s">
        <v>142</v>
      </c>
      <c r="G165" s="134" t="s">
        <v>142</v>
      </c>
      <c r="H165" s="134" t="s">
        <v>142</v>
      </c>
      <c r="I165" s="134" t="s">
        <v>142</v>
      </c>
      <c r="J165" s="134" t="s">
        <v>142</v>
      </c>
      <c r="K165" s="134" t="s">
        <v>142</v>
      </c>
      <c r="L165" s="134" t="s">
        <v>142</v>
      </c>
      <c r="M165" s="370"/>
      <c r="N165" s="137"/>
    </row>
    <row r="166" hidden="1" outlineLevel="1">
      <c r="A166" s="416" t="s">
        <v>860</v>
      </c>
      <c r="B166" s="309">
        <v>46279.0</v>
      </c>
      <c r="C166" s="368" t="str">
        <f t="shared" si="19"/>
        <v>Mon</v>
      </c>
      <c r="D166" s="143">
        <f t="shared" si="20"/>
        <v>1</v>
      </c>
      <c r="E166" s="144" t="s">
        <v>142</v>
      </c>
      <c r="F166" s="134" t="s">
        <v>142</v>
      </c>
      <c r="G166" s="134" t="s">
        <v>142</v>
      </c>
      <c r="H166" s="134" t="s">
        <v>142</v>
      </c>
      <c r="I166" s="134" t="s">
        <v>142</v>
      </c>
      <c r="J166" s="134" t="s">
        <v>142</v>
      </c>
      <c r="K166" s="134" t="s">
        <v>142</v>
      </c>
      <c r="L166" s="134" t="s">
        <v>142</v>
      </c>
      <c r="M166" s="370"/>
      <c r="N166" s="137"/>
    </row>
    <row r="167" hidden="1" outlineLevel="1">
      <c r="A167" s="416" t="s">
        <v>861</v>
      </c>
      <c r="B167" s="309">
        <v>46279.0</v>
      </c>
      <c r="C167" s="368" t="str">
        <f t="shared" si="19"/>
        <v>Mon</v>
      </c>
      <c r="D167" s="128">
        <f t="shared" si="20"/>
        <v>1</v>
      </c>
      <c r="E167" s="131" t="s">
        <v>142</v>
      </c>
      <c r="F167" s="134" t="s">
        <v>142</v>
      </c>
      <c r="G167" s="134" t="s">
        <v>142</v>
      </c>
      <c r="H167" s="134" t="s">
        <v>142</v>
      </c>
      <c r="I167" s="134" t="s">
        <v>142</v>
      </c>
      <c r="J167" s="134" t="s">
        <v>142</v>
      </c>
      <c r="K167" s="134" t="s">
        <v>142</v>
      </c>
      <c r="L167" s="134" t="s">
        <v>142</v>
      </c>
      <c r="M167" s="370"/>
      <c r="N167" s="137"/>
    </row>
    <row r="168" hidden="1" outlineLevel="1">
      <c r="A168" s="416" t="s">
        <v>864</v>
      </c>
      <c r="B168" s="309">
        <v>46280.0</v>
      </c>
      <c r="C168" s="368" t="str">
        <f t="shared" si="19"/>
        <v>Tue</v>
      </c>
      <c r="D168" s="143">
        <f t="shared" si="20"/>
        <v>1</v>
      </c>
      <c r="E168" s="144" t="s">
        <v>142</v>
      </c>
      <c r="F168" s="134" t="s">
        <v>142</v>
      </c>
      <c r="G168" s="134" t="s">
        <v>142</v>
      </c>
      <c r="H168" s="134" t="s">
        <v>142</v>
      </c>
      <c r="I168" s="134" t="s">
        <v>142</v>
      </c>
      <c r="J168" s="134" t="s">
        <v>142</v>
      </c>
      <c r="K168" s="134" t="s">
        <v>142</v>
      </c>
      <c r="L168" s="134" t="s">
        <v>142</v>
      </c>
      <c r="M168" s="370"/>
      <c r="N168" s="137"/>
    </row>
    <row r="169" hidden="1" outlineLevel="1">
      <c r="A169" s="416" t="s">
        <v>870</v>
      </c>
      <c r="B169" s="309">
        <v>46280.0</v>
      </c>
      <c r="C169" s="368" t="str">
        <f t="shared" si="19"/>
        <v>Tue</v>
      </c>
      <c r="D169" s="128">
        <f t="shared" si="20"/>
        <v>1</v>
      </c>
      <c r="E169" s="131" t="s">
        <v>142</v>
      </c>
      <c r="F169" s="134" t="s">
        <v>142</v>
      </c>
      <c r="G169" s="134" t="s">
        <v>142</v>
      </c>
      <c r="H169" s="134" t="s">
        <v>142</v>
      </c>
      <c r="I169" s="134" t="s">
        <v>142</v>
      </c>
      <c r="J169" s="134" t="s">
        <v>142</v>
      </c>
      <c r="K169" s="134" t="s">
        <v>142</v>
      </c>
      <c r="L169" s="134" t="s">
        <v>142</v>
      </c>
      <c r="M169" s="370"/>
      <c r="N169" s="137"/>
    </row>
    <row r="170" hidden="1" outlineLevel="1">
      <c r="A170" s="416" t="s">
        <v>871</v>
      </c>
      <c r="B170" s="309">
        <v>46280.0</v>
      </c>
      <c r="C170" s="368" t="str">
        <f t="shared" si="19"/>
        <v>Tue</v>
      </c>
      <c r="D170" s="143">
        <f t="shared" si="20"/>
        <v>1</v>
      </c>
      <c r="E170" s="144" t="s">
        <v>142</v>
      </c>
      <c r="F170" s="134" t="s">
        <v>142</v>
      </c>
      <c r="G170" s="134" t="s">
        <v>142</v>
      </c>
      <c r="H170" s="134" t="s">
        <v>142</v>
      </c>
      <c r="I170" s="134" t="s">
        <v>142</v>
      </c>
      <c r="J170" s="134" t="s">
        <v>142</v>
      </c>
      <c r="K170" s="134" t="s">
        <v>142</v>
      </c>
      <c r="L170" s="134" t="s">
        <v>142</v>
      </c>
      <c r="M170" s="370"/>
      <c r="N170" s="137"/>
    </row>
    <row r="171" hidden="1" outlineLevel="1">
      <c r="A171" s="416" t="s">
        <v>872</v>
      </c>
      <c r="B171" s="309">
        <v>46282.0</v>
      </c>
      <c r="C171" s="368" t="str">
        <f t="shared" si="19"/>
        <v>Thu</v>
      </c>
      <c r="D171" s="128">
        <f t="shared" si="20"/>
        <v>1</v>
      </c>
      <c r="E171" s="131" t="s">
        <v>142</v>
      </c>
      <c r="F171" s="134" t="s">
        <v>142</v>
      </c>
      <c r="G171" s="134" t="s">
        <v>142</v>
      </c>
      <c r="H171" s="134" t="s">
        <v>142</v>
      </c>
      <c r="I171" s="134" t="s">
        <v>142</v>
      </c>
      <c r="J171" s="134" t="s">
        <v>142</v>
      </c>
      <c r="K171" s="134" t="s">
        <v>142</v>
      </c>
      <c r="L171" s="134" t="s">
        <v>142</v>
      </c>
      <c r="M171" s="370"/>
      <c r="N171" s="137"/>
    </row>
    <row r="172" hidden="1" outlineLevel="1">
      <c r="A172" s="416" t="s">
        <v>874</v>
      </c>
      <c r="B172" s="309">
        <v>46282.0</v>
      </c>
      <c r="C172" s="368" t="str">
        <f t="shared" si="19"/>
        <v>Thu</v>
      </c>
      <c r="D172" s="143">
        <f t="shared" si="20"/>
        <v>1</v>
      </c>
      <c r="E172" s="144" t="s">
        <v>142</v>
      </c>
      <c r="F172" s="134" t="s">
        <v>142</v>
      </c>
      <c r="G172" s="134" t="s">
        <v>142</v>
      </c>
      <c r="H172" s="134" t="s">
        <v>142</v>
      </c>
      <c r="I172" s="134" t="s">
        <v>142</v>
      </c>
      <c r="J172" s="134" t="s">
        <v>142</v>
      </c>
      <c r="K172" s="134" t="s">
        <v>142</v>
      </c>
      <c r="L172" s="134" t="s">
        <v>142</v>
      </c>
      <c r="M172" s="370"/>
      <c r="N172" s="137"/>
    </row>
    <row r="173" hidden="1" outlineLevel="1">
      <c r="A173" s="416" t="s">
        <v>875</v>
      </c>
      <c r="B173" s="309">
        <v>46282.0</v>
      </c>
      <c r="C173" s="368" t="str">
        <f t="shared" si="19"/>
        <v>Thu</v>
      </c>
      <c r="D173" s="128">
        <f t="shared" si="20"/>
        <v>1</v>
      </c>
      <c r="E173" s="131" t="s">
        <v>142</v>
      </c>
      <c r="F173" s="134" t="s">
        <v>142</v>
      </c>
      <c r="G173" s="134" t="s">
        <v>142</v>
      </c>
      <c r="H173" s="134" t="s">
        <v>142</v>
      </c>
      <c r="I173" s="134" t="s">
        <v>142</v>
      </c>
      <c r="J173" s="134" t="s">
        <v>142</v>
      </c>
      <c r="K173" s="134" t="s">
        <v>142</v>
      </c>
      <c r="L173" s="134" t="s">
        <v>142</v>
      </c>
      <c r="M173" s="370"/>
      <c r="N173" s="137"/>
    </row>
    <row r="174" hidden="1" outlineLevel="1">
      <c r="A174" s="416" t="s">
        <v>876</v>
      </c>
      <c r="B174" s="309">
        <v>46283.0</v>
      </c>
      <c r="C174" s="368" t="str">
        <f t="shared" si="19"/>
        <v>Fri</v>
      </c>
      <c r="D174" s="143">
        <f t="shared" si="20"/>
        <v>1</v>
      </c>
      <c r="E174" s="144" t="s">
        <v>142</v>
      </c>
      <c r="F174" s="134" t="s">
        <v>142</v>
      </c>
      <c r="G174" s="134" t="s">
        <v>142</v>
      </c>
      <c r="H174" s="134" t="s">
        <v>142</v>
      </c>
      <c r="I174" s="134" t="s">
        <v>142</v>
      </c>
      <c r="J174" s="134" t="s">
        <v>142</v>
      </c>
      <c r="K174" s="134" t="s">
        <v>142</v>
      </c>
      <c r="L174" s="134" t="s">
        <v>142</v>
      </c>
      <c r="M174" s="370"/>
      <c r="N174" s="137"/>
    </row>
    <row r="175" hidden="1" outlineLevel="1">
      <c r="A175" s="416" t="s">
        <v>878</v>
      </c>
      <c r="B175" s="309">
        <v>46283.0</v>
      </c>
      <c r="C175" s="368" t="str">
        <f t="shared" si="19"/>
        <v>Fri</v>
      </c>
      <c r="D175" s="128">
        <f t="shared" si="20"/>
        <v>1</v>
      </c>
      <c r="E175" s="131" t="s">
        <v>142</v>
      </c>
      <c r="F175" s="134" t="s">
        <v>142</v>
      </c>
      <c r="G175" s="134" t="s">
        <v>142</v>
      </c>
      <c r="H175" s="134" t="s">
        <v>142</v>
      </c>
      <c r="I175" s="134" t="s">
        <v>142</v>
      </c>
      <c r="J175" s="134" t="s">
        <v>142</v>
      </c>
      <c r="K175" s="134" t="s">
        <v>142</v>
      </c>
      <c r="L175" s="134" t="s">
        <v>142</v>
      </c>
      <c r="M175" s="370"/>
      <c r="N175" s="137"/>
    </row>
    <row r="176" hidden="1" outlineLevel="1">
      <c r="A176" s="416" t="s">
        <v>880</v>
      </c>
      <c r="B176" s="309">
        <v>46283.0</v>
      </c>
      <c r="C176" s="368" t="str">
        <f t="shared" si="19"/>
        <v>Fri</v>
      </c>
      <c r="D176" s="143">
        <f t="shared" si="20"/>
        <v>1</v>
      </c>
      <c r="E176" s="144" t="s">
        <v>142</v>
      </c>
      <c r="F176" s="134" t="s">
        <v>142</v>
      </c>
      <c r="G176" s="134" t="s">
        <v>142</v>
      </c>
      <c r="H176" s="134" t="s">
        <v>142</v>
      </c>
      <c r="I176" s="134" t="s">
        <v>142</v>
      </c>
      <c r="J176" s="134" t="s">
        <v>142</v>
      </c>
      <c r="K176" s="134" t="s">
        <v>142</v>
      </c>
      <c r="L176" s="134" t="s">
        <v>142</v>
      </c>
      <c r="M176" s="370"/>
      <c r="N176" s="137"/>
    </row>
    <row r="177" hidden="1" outlineLevel="1">
      <c r="A177" s="416" t="s">
        <v>882</v>
      </c>
      <c r="B177" s="309">
        <v>46284.0</v>
      </c>
      <c r="C177" s="368" t="str">
        <f t="shared" si="19"/>
        <v>Sat</v>
      </c>
      <c r="D177" s="128">
        <f t="shared" si="20"/>
        <v>1</v>
      </c>
      <c r="E177" s="131" t="s">
        <v>142</v>
      </c>
      <c r="F177" s="134" t="s">
        <v>142</v>
      </c>
      <c r="G177" s="134" t="s">
        <v>142</v>
      </c>
      <c r="H177" s="134" t="s">
        <v>142</v>
      </c>
      <c r="I177" s="134" t="s">
        <v>142</v>
      </c>
      <c r="J177" s="134" t="s">
        <v>142</v>
      </c>
      <c r="K177" s="134" t="s">
        <v>142</v>
      </c>
      <c r="L177" s="134" t="s">
        <v>142</v>
      </c>
      <c r="M177" s="370"/>
      <c r="N177" s="137"/>
    </row>
    <row r="178" hidden="1" outlineLevel="1">
      <c r="A178" s="416" t="s">
        <v>884</v>
      </c>
      <c r="B178" s="309">
        <v>46284.0</v>
      </c>
      <c r="C178" s="368" t="str">
        <f t="shared" si="19"/>
        <v>Sat</v>
      </c>
      <c r="D178" s="143">
        <f t="shared" si="20"/>
        <v>1</v>
      </c>
      <c r="E178" s="144" t="s">
        <v>142</v>
      </c>
      <c r="F178" s="134" t="s">
        <v>142</v>
      </c>
      <c r="G178" s="134" t="s">
        <v>142</v>
      </c>
      <c r="H178" s="134" t="s">
        <v>142</v>
      </c>
      <c r="I178" s="134" t="s">
        <v>142</v>
      </c>
      <c r="J178" s="134" t="s">
        <v>142</v>
      </c>
      <c r="K178" s="134" t="s">
        <v>142</v>
      </c>
      <c r="L178" s="134" t="s">
        <v>142</v>
      </c>
      <c r="M178" s="370"/>
      <c r="N178" s="137"/>
    </row>
    <row r="179" hidden="1" outlineLevel="1">
      <c r="A179" s="416" t="s">
        <v>885</v>
      </c>
      <c r="B179" s="309">
        <v>46284.0</v>
      </c>
      <c r="C179" s="368" t="str">
        <f t="shared" si="19"/>
        <v>Sat</v>
      </c>
      <c r="D179" s="128">
        <f t="shared" si="20"/>
        <v>1</v>
      </c>
      <c r="E179" s="131" t="s">
        <v>142</v>
      </c>
      <c r="F179" s="134" t="s">
        <v>142</v>
      </c>
      <c r="G179" s="134" t="s">
        <v>142</v>
      </c>
      <c r="H179" s="134" t="s">
        <v>142</v>
      </c>
      <c r="I179" s="134" t="s">
        <v>142</v>
      </c>
      <c r="J179" s="134" t="s">
        <v>142</v>
      </c>
      <c r="K179" s="134" t="s">
        <v>142</v>
      </c>
      <c r="L179" s="134" t="s">
        <v>142</v>
      </c>
      <c r="M179" s="370"/>
      <c r="N179" s="137"/>
    </row>
    <row r="180" hidden="1" outlineLevel="1">
      <c r="A180" s="373"/>
      <c r="B180" s="373"/>
      <c r="C180" s="374" t="s">
        <v>199</v>
      </c>
      <c r="D180" s="414">
        <f>AVERAGE(D165:D179)</f>
        <v>1</v>
      </c>
      <c r="E180" s="391"/>
      <c r="F180" s="373"/>
      <c r="G180" s="373"/>
      <c r="H180" s="373"/>
      <c r="I180" s="373"/>
      <c r="J180" s="373"/>
      <c r="K180" s="373"/>
      <c r="L180" s="374" t="s">
        <v>199</v>
      </c>
      <c r="M180" s="377">
        <f>SUM(M165:M179)/75*0.1</f>
        <v>0</v>
      </c>
      <c r="N180" s="373"/>
    </row>
    <row r="181" collapsed="1">
      <c r="A181" s="85" t="s">
        <v>493</v>
      </c>
      <c r="B181" s="86"/>
      <c r="C181" s="86"/>
      <c r="D181" s="88"/>
      <c r="E181" s="361"/>
      <c r="F181" s="361"/>
      <c r="G181" s="361"/>
      <c r="H181" s="361"/>
      <c r="I181" s="361"/>
      <c r="J181" s="361"/>
      <c r="K181" s="361"/>
      <c r="L181" s="361"/>
      <c r="M181" s="361"/>
      <c r="N181" s="361"/>
    </row>
    <row r="182" hidden="1" outlineLevel="1">
      <c r="A182" s="362" t="s">
        <v>89</v>
      </c>
      <c r="B182" s="363" t="s">
        <v>90</v>
      </c>
      <c r="C182" s="363" t="s">
        <v>91</v>
      </c>
      <c r="D182" s="364" t="s">
        <v>93</v>
      </c>
      <c r="E182" s="365" t="s">
        <v>94</v>
      </c>
      <c r="F182" s="365" t="s">
        <v>95</v>
      </c>
      <c r="G182" s="366" t="s">
        <v>96</v>
      </c>
      <c r="H182" s="366" t="s">
        <v>97</v>
      </c>
      <c r="I182" s="366" t="s">
        <v>104</v>
      </c>
      <c r="J182" s="366" t="s">
        <v>106</v>
      </c>
      <c r="K182" s="366" t="s">
        <v>109</v>
      </c>
      <c r="L182" s="366" t="s">
        <v>111</v>
      </c>
      <c r="M182" s="363" t="s">
        <v>114</v>
      </c>
      <c r="N182" s="363" t="s">
        <v>116</v>
      </c>
    </row>
    <row r="183" hidden="1" outlineLevel="1">
      <c r="A183" s="416" t="s">
        <v>888</v>
      </c>
      <c r="B183" s="309">
        <v>46286.0</v>
      </c>
      <c r="C183" s="368" t="str">
        <f t="shared" ref="C183:C197" si="21">IF(B183="", "", TEXT(B183, "ddd"))</f>
        <v>Mon</v>
      </c>
      <c r="D183" s="128">
        <f t="shared" ref="D183:D197" si="22">IF(E183="Yes",0.05,0)
+IF(F183="Yes",0.1,0)
+IF(G183="Yes",0.15,0)
+IF(H183="Yes",0.15,0)
+IF(I183="Yes",0.05,0)
+IF(J183="Yes",0.05,0)
+IF(K183="Yes",0.15,0)
+IF(L183="Yes",0.3,0)
</f>
        <v>1</v>
      </c>
      <c r="E183" s="131" t="s">
        <v>142</v>
      </c>
      <c r="F183" s="134" t="s">
        <v>142</v>
      </c>
      <c r="G183" s="134" t="s">
        <v>142</v>
      </c>
      <c r="H183" s="134" t="s">
        <v>142</v>
      </c>
      <c r="I183" s="134" t="s">
        <v>142</v>
      </c>
      <c r="J183" s="134" t="s">
        <v>142</v>
      </c>
      <c r="K183" s="134" t="s">
        <v>142</v>
      </c>
      <c r="L183" s="134" t="s">
        <v>142</v>
      </c>
      <c r="M183" s="370"/>
      <c r="N183" s="137"/>
    </row>
    <row r="184" hidden="1" outlineLevel="1">
      <c r="A184" s="416" t="s">
        <v>893</v>
      </c>
      <c r="B184" s="309">
        <v>46286.0</v>
      </c>
      <c r="C184" s="368" t="str">
        <f t="shared" si="21"/>
        <v>Mon</v>
      </c>
      <c r="D184" s="143">
        <f t="shared" si="22"/>
        <v>1</v>
      </c>
      <c r="E184" s="144" t="s">
        <v>142</v>
      </c>
      <c r="F184" s="134" t="s">
        <v>142</v>
      </c>
      <c r="G184" s="134" t="s">
        <v>142</v>
      </c>
      <c r="H184" s="134" t="s">
        <v>142</v>
      </c>
      <c r="I184" s="134" t="s">
        <v>142</v>
      </c>
      <c r="J184" s="134" t="s">
        <v>142</v>
      </c>
      <c r="K184" s="134" t="s">
        <v>142</v>
      </c>
      <c r="L184" s="134" t="s">
        <v>142</v>
      </c>
      <c r="M184" s="370"/>
      <c r="N184" s="137"/>
    </row>
    <row r="185" hidden="1" outlineLevel="1">
      <c r="A185" s="416" t="s">
        <v>895</v>
      </c>
      <c r="B185" s="309">
        <v>46286.0</v>
      </c>
      <c r="C185" s="368" t="str">
        <f t="shared" si="21"/>
        <v>Mon</v>
      </c>
      <c r="D185" s="128">
        <f t="shared" si="22"/>
        <v>1</v>
      </c>
      <c r="E185" s="131" t="s">
        <v>142</v>
      </c>
      <c r="F185" s="134" t="s">
        <v>142</v>
      </c>
      <c r="G185" s="134" t="s">
        <v>142</v>
      </c>
      <c r="H185" s="134" t="s">
        <v>142</v>
      </c>
      <c r="I185" s="134" t="s">
        <v>142</v>
      </c>
      <c r="J185" s="134" t="s">
        <v>142</v>
      </c>
      <c r="K185" s="134" t="s">
        <v>142</v>
      </c>
      <c r="L185" s="134" t="s">
        <v>142</v>
      </c>
      <c r="M185" s="370"/>
      <c r="N185" s="137"/>
    </row>
    <row r="186" hidden="1" outlineLevel="1">
      <c r="A186" s="416" t="s">
        <v>896</v>
      </c>
      <c r="B186" s="309">
        <v>46287.0</v>
      </c>
      <c r="C186" s="368" t="str">
        <f t="shared" si="21"/>
        <v>Tue</v>
      </c>
      <c r="D186" s="143">
        <f t="shared" si="22"/>
        <v>1</v>
      </c>
      <c r="E186" s="144" t="s">
        <v>142</v>
      </c>
      <c r="F186" s="134" t="s">
        <v>142</v>
      </c>
      <c r="G186" s="134" t="s">
        <v>142</v>
      </c>
      <c r="H186" s="134" t="s">
        <v>142</v>
      </c>
      <c r="I186" s="134" t="s">
        <v>142</v>
      </c>
      <c r="J186" s="134" t="s">
        <v>142</v>
      </c>
      <c r="K186" s="134" t="s">
        <v>142</v>
      </c>
      <c r="L186" s="134" t="s">
        <v>142</v>
      </c>
      <c r="M186" s="370"/>
      <c r="N186" s="137"/>
    </row>
    <row r="187" hidden="1" outlineLevel="1">
      <c r="A187" s="416" t="s">
        <v>898</v>
      </c>
      <c r="B187" s="309">
        <v>46287.0</v>
      </c>
      <c r="C187" s="368" t="str">
        <f t="shared" si="21"/>
        <v>Tue</v>
      </c>
      <c r="D187" s="128">
        <f t="shared" si="22"/>
        <v>1</v>
      </c>
      <c r="E187" s="131" t="s">
        <v>142</v>
      </c>
      <c r="F187" s="134" t="s">
        <v>142</v>
      </c>
      <c r="G187" s="134" t="s">
        <v>142</v>
      </c>
      <c r="H187" s="134" t="s">
        <v>142</v>
      </c>
      <c r="I187" s="134" t="s">
        <v>142</v>
      </c>
      <c r="J187" s="134" t="s">
        <v>142</v>
      </c>
      <c r="K187" s="134" t="s">
        <v>142</v>
      </c>
      <c r="L187" s="134" t="s">
        <v>142</v>
      </c>
      <c r="M187" s="370"/>
      <c r="N187" s="137"/>
    </row>
    <row r="188" hidden="1" outlineLevel="1">
      <c r="A188" s="416" t="s">
        <v>900</v>
      </c>
      <c r="B188" s="309">
        <v>46287.0</v>
      </c>
      <c r="C188" s="368" t="str">
        <f t="shared" si="21"/>
        <v>Tue</v>
      </c>
      <c r="D188" s="143">
        <f t="shared" si="22"/>
        <v>1</v>
      </c>
      <c r="E188" s="144" t="s">
        <v>142</v>
      </c>
      <c r="F188" s="134" t="s">
        <v>142</v>
      </c>
      <c r="G188" s="134" t="s">
        <v>142</v>
      </c>
      <c r="H188" s="134" t="s">
        <v>142</v>
      </c>
      <c r="I188" s="134" t="s">
        <v>142</v>
      </c>
      <c r="J188" s="134" t="s">
        <v>142</v>
      </c>
      <c r="K188" s="134" t="s">
        <v>142</v>
      </c>
      <c r="L188" s="134" t="s">
        <v>142</v>
      </c>
      <c r="M188" s="370"/>
      <c r="N188" s="137"/>
    </row>
    <row r="189" hidden="1" outlineLevel="1">
      <c r="A189" s="416" t="s">
        <v>902</v>
      </c>
      <c r="B189" s="309">
        <v>46288.0</v>
      </c>
      <c r="C189" s="368" t="str">
        <f t="shared" si="21"/>
        <v>Wed</v>
      </c>
      <c r="D189" s="128">
        <f t="shared" si="22"/>
        <v>1</v>
      </c>
      <c r="E189" s="131" t="s">
        <v>142</v>
      </c>
      <c r="F189" s="134" t="s">
        <v>142</v>
      </c>
      <c r="G189" s="134" t="s">
        <v>142</v>
      </c>
      <c r="H189" s="134" t="s">
        <v>142</v>
      </c>
      <c r="I189" s="134" t="s">
        <v>142</v>
      </c>
      <c r="J189" s="134" t="s">
        <v>142</v>
      </c>
      <c r="K189" s="134" t="s">
        <v>142</v>
      </c>
      <c r="L189" s="134" t="s">
        <v>142</v>
      </c>
      <c r="M189" s="370"/>
      <c r="N189" s="137"/>
    </row>
    <row r="190" hidden="1" outlineLevel="1">
      <c r="A190" s="416" t="s">
        <v>904</v>
      </c>
      <c r="B190" s="309">
        <v>46288.0</v>
      </c>
      <c r="C190" s="368" t="str">
        <f t="shared" si="21"/>
        <v>Wed</v>
      </c>
      <c r="D190" s="143">
        <f t="shared" si="22"/>
        <v>1</v>
      </c>
      <c r="E190" s="144" t="s">
        <v>142</v>
      </c>
      <c r="F190" s="134" t="s">
        <v>142</v>
      </c>
      <c r="G190" s="134" t="s">
        <v>142</v>
      </c>
      <c r="H190" s="134" t="s">
        <v>142</v>
      </c>
      <c r="I190" s="134" t="s">
        <v>142</v>
      </c>
      <c r="J190" s="134" t="s">
        <v>142</v>
      </c>
      <c r="K190" s="134" t="s">
        <v>142</v>
      </c>
      <c r="L190" s="134" t="s">
        <v>142</v>
      </c>
      <c r="M190" s="370"/>
      <c r="N190" s="137"/>
    </row>
    <row r="191" hidden="1" outlineLevel="1">
      <c r="A191" s="416" t="s">
        <v>905</v>
      </c>
      <c r="B191" s="309">
        <v>46288.0</v>
      </c>
      <c r="C191" s="368" t="str">
        <f t="shared" si="21"/>
        <v>Wed</v>
      </c>
      <c r="D191" s="128">
        <f t="shared" si="22"/>
        <v>1</v>
      </c>
      <c r="E191" s="131" t="s">
        <v>142</v>
      </c>
      <c r="F191" s="134" t="s">
        <v>142</v>
      </c>
      <c r="G191" s="134" t="s">
        <v>142</v>
      </c>
      <c r="H191" s="134" t="s">
        <v>142</v>
      </c>
      <c r="I191" s="134" t="s">
        <v>142</v>
      </c>
      <c r="J191" s="134" t="s">
        <v>142</v>
      </c>
      <c r="K191" s="134" t="s">
        <v>142</v>
      </c>
      <c r="L191" s="134" t="s">
        <v>142</v>
      </c>
      <c r="M191" s="370"/>
      <c r="N191" s="137"/>
    </row>
    <row r="192" hidden="1" outlineLevel="1">
      <c r="A192" s="416" t="s">
        <v>906</v>
      </c>
      <c r="B192" s="309">
        <v>46289.0</v>
      </c>
      <c r="C192" s="368" t="str">
        <f t="shared" si="21"/>
        <v>Thu</v>
      </c>
      <c r="D192" s="143">
        <f t="shared" si="22"/>
        <v>1</v>
      </c>
      <c r="E192" s="144" t="s">
        <v>142</v>
      </c>
      <c r="F192" s="134" t="s">
        <v>142</v>
      </c>
      <c r="G192" s="134" t="s">
        <v>142</v>
      </c>
      <c r="H192" s="134" t="s">
        <v>142</v>
      </c>
      <c r="I192" s="134" t="s">
        <v>142</v>
      </c>
      <c r="J192" s="134" t="s">
        <v>142</v>
      </c>
      <c r="K192" s="134" t="s">
        <v>142</v>
      </c>
      <c r="L192" s="134" t="s">
        <v>142</v>
      </c>
      <c r="M192" s="370"/>
      <c r="N192" s="137"/>
    </row>
    <row r="193" hidden="1" outlineLevel="1">
      <c r="A193" s="416" t="s">
        <v>908</v>
      </c>
      <c r="B193" s="309">
        <v>46289.0</v>
      </c>
      <c r="C193" s="368" t="str">
        <f t="shared" si="21"/>
        <v>Thu</v>
      </c>
      <c r="D193" s="128">
        <f t="shared" si="22"/>
        <v>1</v>
      </c>
      <c r="E193" s="131" t="s">
        <v>142</v>
      </c>
      <c r="F193" s="134" t="s">
        <v>142</v>
      </c>
      <c r="G193" s="134" t="s">
        <v>142</v>
      </c>
      <c r="H193" s="134" t="s">
        <v>142</v>
      </c>
      <c r="I193" s="134" t="s">
        <v>142</v>
      </c>
      <c r="J193" s="134" t="s">
        <v>142</v>
      </c>
      <c r="K193" s="134" t="s">
        <v>142</v>
      </c>
      <c r="L193" s="134" t="s">
        <v>142</v>
      </c>
      <c r="M193" s="370"/>
      <c r="N193" s="137"/>
    </row>
    <row r="194" hidden="1" outlineLevel="1">
      <c r="A194" s="416" t="s">
        <v>909</v>
      </c>
      <c r="B194" s="309">
        <v>46289.0</v>
      </c>
      <c r="C194" s="368" t="str">
        <f t="shared" si="21"/>
        <v>Thu</v>
      </c>
      <c r="D194" s="143">
        <f t="shared" si="22"/>
        <v>1</v>
      </c>
      <c r="E194" s="144" t="s">
        <v>142</v>
      </c>
      <c r="F194" s="134" t="s">
        <v>142</v>
      </c>
      <c r="G194" s="134" t="s">
        <v>142</v>
      </c>
      <c r="H194" s="134" t="s">
        <v>142</v>
      </c>
      <c r="I194" s="134" t="s">
        <v>142</v>
      </c>
      <c r="J194" s="134" t="s">
        <v>142</v>
      </c>
      <c r="K194" s="134" t="s">
        <v>142</v>
      </c>
      <c r="L194" s="134" t="s">
        <v>142</v>
      </c>
      <c r="M194" s="370"/>
      <c r="N194" s="137"/>
    </row>
    <row r="195" hidden="1" outlineLevel="1">
      <c r="A195" s="416" t="s">
        <v>910</v>
      </c>
      <c r="B195" s="309">
        <v>46290.0</v>
      </c>
      <c r="C195" s="368" t="str">
        <f t="shared" si="21"/>
        <v>Fri</v>
      </c>
      <c r="D195" s="128">
        <f t="shared" si="22"/>
        <v>1</v>
      </c>
      <c r="E195" s="131" t="s">
        <v>142</v>
      </c>
      <c r="F195" s="134" t="s">
        <v>142</v>
      </c>
      <c r="G195" s="134" t="s">
        <v>142</v>
      </c>
      <c r="H195" s="134" t="s">
        <v>142</v>
      </c>
      <c r="I195" s="134" t="s">
        <v>142</v>
      </c>
      <c r="J195" s="134" t="s">
        <v>142</v>
      </c>
      <c r="K195" s="134" t="s">
        <v>142</v>
      </c>
      <c r="L195" s="134" t="s">
        <v>142</v>
      </c>
      <c r="M195" s="370"/>
      <c r="N195" s="137"/>
    </row>
    <row r="196" hidden="1" outlineLevel="1">
      <c r="A196" s="416" t="s">
        <v>914</v>
      </c>
      <c r="B196" s="309">
        <v>46290.0</v>
      </c>
      <c r="C196" s="368" t="str">
        <f t="shared" si="21"/>
        <v>Fri</v>
      </c>
      <c r="D196" s="143">
        <f t="shared" si="22"/>
        <v>1</v>
      </c>
      <c r="E196" s="144" t="s">
        <v>142</v>
      </c>
      <c r="F196" s="134" t="s">
        <v>142</v>
      </c>
      <c r="G196" s="134" t="s">
        <v>142</v>
      </c>
      <c r="H196" s="134" t="s">
        <v>142</v>
      </c>
      <c r="I196" s="134" t="s">
        <v>142</v>
      </c>
      <c r="J196" s="134" t="s">
        <v>142</v>
      </c>
      <c r="K196" s="134" t="s">
        <v>142</v>
      </c>
      <c r="L196" s="134" t="s">
        <v>142</v>
      </c>
      <c r="M196" s="370"/>
      <c r="N196" s="137"/>
    </row>
    <row r="197" hidden="1" outlineLevel="1">
      <c r="A197" s="416" t="s">
        <v>917</v>
      </c>
      <c r="B197" s="309">
        <v>46290.0</v>
      </c>
      <c r="C197" s="368" t="str">
        <f t="shared" si="21"/>
        <v>Fri</v>
      </c>
      <c r="D197" s="128">
        <f t="shared" si="22"/>
        <v>1</v>
      </c>
      <c r="E197" s="131" t="s">
        <v>142</v>
      </c>
      <c r="F197" s="134" t="s">
        <v>142</v>
      </c>
      <c r="G197" s="134" t="s">
        <v>142</v>
      </c>
      <c r="H197" s="134" t="s">
        <v>142</v>
      </c>
      <c r="I197" s="134" t="s">
        <v>142</v>
      </c>
      <c r="J197" s="134" t="s">
        <v>142</v>
      </c>
      <c r="K197" s="134" t="s">
        <v>142</v>
      </c>
      <c r="L197" s="134" t="s">
        <v>142</v>
      </c>
      <c r="M197" s="370"/>
      <c r="N197" s="137"/>
    </row>
    <row r="198" hidden="1" outlineLevel="1">
      <c r="A198" s="373"/>
      <c r="B198" s="373"/>
      <c r="C198" s="374" t="s">
        <v>199</v>
      </c>
      <c r="D198" s="414">
        <f>AVERAGE(D183:D197)</f>
        <v>1</v>
      </c>
      <c r="E198" s="391"/>
      <c r="F198" s="373"/>
      <c r="G198" s="373"/>
      <c r="H198" s="373"/>
      <c r="I198" s="373"/>
      <c r="J198" s="373"/>
      <c r="K198" s="373"/>
      <c r="L198" s="374" t="s">
        <v>199</v>
      </c>
      <c r="M198" s="377">
        <f>SUM(M183:M197)/75*0.1</f>
        <v>0</v>
      </c>
      <c r="N198" s="373"/>
    </row>
    <row r="199" collapsed="1">
      <c r="A199" s="85" t="s">
        <v>514</v>
      </c>
      <c r="B199" s="86"/>
      <c r="C199" s="86"/>
      <c r="D199" s="88"/>
      <c r="E199" s="361"/>
      <c r="F199" s="361"/>
      <c r="G199" s="361"/>
      <c r="H199" s="361"/>
      <c r="I199" s="361"/>
      <c r="J199" s="361"/>
      <c r="K199" s="361"/>
      <c r="L199" s="361"/>
      <c r="M199" s="361"/>
      <c r="N199" s="361"/>
    </row>
    <row r="200" hidden="1" outlineLevel="1">
      <c r="A200" s="362" t="s">
        <v>89</v>
      </c>
      <c r="B200" s="363" t="s">
        <v>90</v>
      </c>
      <c r="C200" s="363" t="s">
        <v>91</v>
      </c>
      <c r="D200" s="364" t="s">
        <v>93</v>
      </c>
      <c r="E200" s="365" t="s">
        <v>94</v>
      </c>
      <c r="F200" s="365" t="s">
        <v>95</v>
      </c>
      <c r="G200" s="366" t="s">
        <v>96</v>
      </c>
      <c r="H200" s="366" t="s">
        <v>97</v>
      </c>
      <c r="I200" s="366" t="s">
        <v>104</v>
      </c>
      <c r="J200" s="366" t="s">
        <v>106</v>
      </c>
      <c r="K200" s="366" t="s">
        <v>109</v>
      </c>
      <c r="L200" s="366" t="s">
        <v>111</v>
      </c>
      <c r="M200" s="363" t="s">
        <v>114</v>
      </c>
      <c r="N200" s="363" t="s">
        <v>116</v>
      </c>
    </row>
    <row r="201" hidden="1" outlineLevel="1">
      <c r="A201" s="413" t="s">
        <v>921</v>
      </c>
      <c r="B201" s="309">
        <v>46293.0</v>
      </c>
      <c r="C201" s="368" t="str">
        <f t="shared" ref="C201:C215" si="23">IF(B201="", "", TEXT(B201, "ddd"))</f>
        <v>Mon</v>
      </c>
      <c r="D201" s="128">
        <f t="shared" ref="D201:D215" si="24">IF(E201="Yes",0.05,0)
+IF(F201="Yes",0.1,0)
+IF(G201="Yes",0.15,0)
+IF(H201="Yes",0.15,0)
+IF(I201="Yes",0.05,0)
+IF(J201="Yes",0.05,0)
+IF(K201="Yes",0.15,0)
+IF(L201="Yes",0.3,0)
</f>
        <v>1</v>
      </c>
      <c r="E201" s="131" t="s">
        <v>142</v>
      </c>
      <c r="F201" s="134" t="s">
        <v>142</v>
      </c>
      <c r="G201" s="134" t="s">
        <v>142</v>
      </c>
      <c r="H201" s="134" t="s">
        <v>142</v>
      </c>
      <c r="I201" s="134" t="s">
        <v>142</v>
      </c>
      <c r="J201" s="134" t="s">
        <v>142</v>
      </c>
      <c r="K201" s="134" t="s">
        <v>142</v>
      </c>
      <c r="L201" s="134" t="s">
        <v>142</v>
      </c>
      <c r="M201" s="370"/>
      <c r="N201" s="137"/>
    </row>
    <row r="202" hidden="1" outlineLevel="1">
      <c r="A202" s="413" t="s">
        <v>924</v>
      </c>
      <c r="B202" s="309">
        <v>46293.0</v>
      </c>
      <c r="C202" s="368" t="str">
        <f t="shared" si="23"/>
        <v>Mon</v>
      </c>
      <c r="D202" s="143">
        <f t="shared" si="24"/>
        <v>1</v>
      </c>
      <c r="E202" s="144" t="s">
        <v>142</v>
      </c>
      <c r="F202" s="134" t="s">
        <v>142</v>
      </c>
      <c r="G202" s="134" t="s">
        <v>142</v>
      </c>
      <c r="H202" s="134" t="s">
        <v>142</v>
      </c>
      <c r="I202" s="134" t="s">
        <v>142</v>
      </c>
      <c r="J202" s="134" t="s">
        <v>142</v>
      </c>
      <c r="K202" s="134" t="s">
        <v>142</v>
      </c>
      <c r="L202" s="134" t="s">
        <v>142</v>
      </c>
      <c r="M202" s="370"/>
      <c r="N202" s="137"/>
    </row>
    <row r="203" hidden="1" outlineLevel="1">
      <c r="A203" s="413" t="s">
        <v>926</v>
      </c>
      <c r="B203" s="309">
        <v>46293.0</v>
      </c>
      <c r="C203" s="368" t="str">
        <f t="shared" si="23"/>
        <v>Mon</v>
      </c>
      <c r="D203" s="128">
        <f t="shared" si="24"/>
        <v>1</v>
      </c>
      <c r="E203" s="131" t="s">
        <v>142</v>
      </c>
      <c r="F203" s="134" t="s">
        <v>142</v>
      </c>
      <c r="G203" s="134" t="s">
        <v>142</v>
      </c>
      <c r="H203" s="134" t="s">
        <v>142</v>
      </c>
      <c r="I203" s="134" t="s">
        <v>142</v>
      </c>
      <c r="J203" s="134" t="s">
        <v>142</v>
      </c>
      <c r="K203" s="134" t="s">
        <v>142</v>
      </c>
      <c r="L203" s="134" t="s">
        <v>142</v>
      </c>
      <c r="M203" s="370"/>
      <c r="N203" s="137"/>
    </row>
    <row r="204" hidden="1" outlineLevel="1">
      <c r="A204" s="413" t="s">
        <v>928</v>
      </c>
      <c r="B204" s="309">
        <v>46294.0</v>
      </c>
      <c r="C204" s="368" t="str">
        <f t="shared" si="23"/>
        <v>Tue</v>
      </c>
      <c r="D204" s="143">
        <f t="shared" si="24"/>
        <v>1</v>
      </c>
      <c r="E204" s="144" t="s">
        <v>142</v>
      </c>
      <c r="F204" s="134" t="s">
        <v>142</v>
      </c>
      <c r="G204" s="134" t="s">
        <v>142</v>
      </c>
      <c r="H204" s="134" t="s">
        <v>142</v>
      </c>
      <c r="I204" s="134" t="s">
        <v>142</v>
      </c>
      <c r="J204" s="134" t="s">
        <v>142</v>
      </c>
      <c r="K204" s="134" t="s">
        <v>142</v>
      </c>
      <c r="L204" s="134" t="s">
        <v>142</v>
      </c>
      <c r="M204" s="370"/>
      <c r="N204" s="137"/>
    </row>
    <row r="205" hidden="1" outlineLevel="1">
      <c r="A205" s="413" t="s">
        <v>931</v>
      </c>
      <c r="B205" s="309">
        <v>46294.0</v>
      </c>
      <c r="C205" s="368" t="str">
        <f t="shared" si="23"/>
        <v>Tue</v>
      </c>
      <c r="D205" s="128">
        <f t="shared" si="24"/>
        <v>1</v>
      </c>
      <c r="E205" s="131" t="s">
        <v>142</v>
      </c>
      <c r="F205" s="134" t="s">
        <v>142</v>
      </c>
      <c r="G205" s="134" t="s">
        <v>142</v>
      </c>
      <c r="H205" s="134" t="s">
        <v>142</v>
      </c>
      <c r="I205" s="134" t="s">
        <v>142</v>
      </c>
      <c r="J205" s="134" t="s">
        <v>142</v>
      </c>
      <c r="K205" s="134" t="s">
        <v>142</v>
      </c>
      <c r="L205" s="134" t="s">
        <v>142</v>
      </c>
      <c r="M205" s="370"/>
      <c r="N205" s="137"/>
    </row>
    <row r="206" hidden="1" outlineLevel="1">
      <c r="A206" s="413" t="s">
        <v>933</v>
      </c>
      <c r="B206" s="309">
        <v>46294.0</v>
      </c>
      <c r="C206" s="368" t="str">
        <f t="shared" si="23"/>
        <v>Tue</v>
      </c>
      <c r="D206" s="143">
        <f t="shared" si="24"/>
        <v>1</v>
      </c>
      <c r="E206" s="144" t="s">
        <v>142</v>
      </c>
      <c r="F206" s="134" t="s">
        <v>142</v>
      </c>
      <c r="G206" s="134" t="s">
        <v>142</v>
      </c>
      <c r="H206" s="134" t="s">
        <v>142</v>
      </c>
      <c r="I206" s="134" t="s">
        <v>142</v>
      </c>
      <c r="J206" s="134" t="s">
        <v>142</v>
      </c>
      <c r="K206" s="134" t="s">
        <v>142</v>
      </c>
      <c r="L206" s="134" t="s">
        <v>142</v>
      </c>
      <c r="M206" s="370"/>
      <c r="N206" s="137"/>
    </row>
    <row r="207" hidden="1" outlineLevel="1">
      <c r="A207" s="372" t="s">
        <v>935</v>
      </c>
      <c r="B207" s="309">
        <v>46296.0</v>
      </c>
      <c r="C207" s="368" t="str">
        <f t="shared" si="23"/>
        <v>Thu</v>
      </c>
      <c r="D207" s="128">
        <f t="shared" si="24"/>
        <v>1</v>
      </c>
      <c r="E207" s="131" t="s">
        <v>142</v>
      </c>
      <c r="F207" s="134" t="s">
        <v>142</v>
      </c>
      <c r="G207" s="134" t="s">
        <v>142</v>
      </c>
      <c r="H207" s="134" t="s">
        <v>142</v>
      </c>
      <c r="I207" s="134" t="s">
        <v>142</v>
      </c>
      <c r="J207" s="134" t="s">
        <v>142</v>
      </c>
      <c r="K207" s="134" t="s">
        <v>142</v>
      </c>
      <c r="L207" s="134" t="s">
        <v>142</v>
      </c>
      <c r="M207" s="370"/>
      <c r="N207" s="137"/>
    </row>
    <row r="208" hidden="1" outlineLevel="1">
      <c r="A208" s="372" t="s">
        <v>936</v>
      </c>
      <c r="B208" s="309">
        <v>46296.0</v>
      </c>
      <c r="C208" s="368" t="str">
        <f t="shared" si="23"/>
        <v>Thu</v>
      </c>
      <c r="D208" s="143">
        <f t="shared" si="24"/>
        <v>1</v>
      </c>
      <c r="E208" s="144" t="s">
        <v>142</v>
      </c>
      <c r="F208" s="134" t="s">
        <v>142</v>
      </c>
      <c r="G208" s="134" t="s">
        <v>142</v>
      </c>
      <c r="H208" s="134" t="s">
        <v>142</v>
      </c>
      <c r="I208" s="134" t="s">
        <v>142</v>
      </c>
      <c r="J208" s="134" t="s">
        <v>142</v>
      </c>
      <c r="K208" s="134" t="s">
        <v>142</v>
      </c>
      <c r="L208" s="134" t="s">
        <v>142</v>
      </c>
      <c r="M208" s="370"/>
      <c r="N208" s="137"/>
    </row>
    <row r="209" hidden="1" outlineLevel="1">
      <c r="A209" s="372" t="s">
        <v>939</v>
      </c>
      <c r="B209" s="309">
        <v>46296.0</v>
      </c>
      <c r="C209" s="368" t="str">
        <f t="shared" si="23"/>
        <v>Thu</v>
      </c>
      <c r="D209" s="128">
        <f t="shared" si="24"/>
        <v>1</v>
      </c>
      <c r="E209" s="131" t="s">
        <v>142</v>
      </c>
      <c r="F209" s="134" t="s">
        <v>142</v>
      </c>
      <c r="G209" s="134" t="s">
        <v>142</v>
      </c>
      <c r="H209" s="134" t="s">
        <v>142</v>
      </c>
      <c r="I209" s="134" t="s">
        <v>142</v>
      </c>
      <c r="J209" s="134" t="s">
        <v>142</v>
      </c>
      <c r="K209" s="134" t="s">
        <v>142</v>
      </c>
      <c r="L209" s="134" t="s">
        <v>142</v>
      </c>
      <c r="M209" s="370"/>
      <c r="N209" s="137"/>
    </row>
    <row r="210" hidden="1" outlineLevel="1">
      <c r="A210" s="413" t="s">
        <v>940</v>
      </c>
      <c r="B210" s="309">
        <v>46297.0</v>
      </c>
      <c r="C210" s="368" t="str">
        <f t="shared" si="23"/>
        <v>Fri</v>
      </c>
      <c r="D210" s="143">
        <f t="shared" si="24"/>
        <v>1</v>
      </c>
      <c r="E210" s="144" t="s">
        <v>142</v>
      </c>
      <c r="F210" s="134" t="s">
        <v>142</v>
      </c>
      <c r="G210" s="134" t="s">
        <v>142</v>
      </c>
      <c r="H210" s="134" t="s">
        <v>142</v>
      </c>
      <c r="I210" s="134" t="s">
        <v>142</v>
      </c>
      <c r="J210" s="134" t="s">
        <v>142</v>
      </c>
      <c r="K210" s="134" t="s">
        <v>142</v>
      </c>
      <c r="L210" s="134" t="s">
        <v>142</v>
      </c>
      <c r="M210" s="370"/>
      <c r="N210" s="137"/>
    </row>
    <row r="211" hidden="1" outlineLevel="1">
      <c r="A211" s="413" t="s">
        <v>941</v>
      </c>
      <c r="B211" s="309">
        <v>46297.0</v>
      </c>
      <c r="C211" s="368" t="str">
        <f t="shared" si="23"/>
        <v>Fri</v>
      </c>
      <c r="D211" s="128">
        <f t="shared" si="24"/>
        <v>1</v>
      </c>
      <c r="E211" s="131" t="s">
        <v>142</v>
      </c>
      <c r="F211" s="134" t="s">
        <v>142</v>
      </c>
      <c r="G211" s="134" t="s">
        <v>142</v>
      </c>
      <c r="H211" s="134" t="s">
        <v>142</v>
      </c>
      <c r="I211" s="134" t="s">
        <v>142</v>
      </c>
      <c r="J211" s="134" t="s">
        <v>142</v>
      </c>
      <c r="K211" s="134" t="s">
        <v>142</v>
      </c>
      <c r="L211" s="134" t="s">
        <v>142</v>
      </c>
      <c r="M211" s="370"/>
      <c r="N211" s="137"/>
    </row>
    <row r="212" hidden="1" outlineLevel="1">
      <c r="A212" s="413" t="s">
        <v>942</v>
      </c>
      <c r="B212" s="309">
        <v>46297.0</v>
      </c>
      <c r="C212" s="368" t="str">
        <f t="shared" si="23"/>
        <v>Fri</v>
      </c>
      <c r="D212" s="143">
        <f t="shared" si="24"/>
        <v>1</v>
      </c>
      <c r="E212" s="144" t="s">
        <v>142</v>
      </c>
      <c r="F212" s="134" t="s">
        <v>142</v>
      </c>
      <c r="G212" s="134" t="s">
        <v>142</v>
      </c>
      <c r="H212" s="134" t="s">
        <v>142</v>
      </c>
      <c r="I212" s="134" t="s">
        <v>142</v>
      </c>
      <c r="J212" s="134" t="s">
        <v>142</v>
      </c>
      <c r="K212" s="134" t="s">
        <v>142</v>
      </c>
      <c r="L212" s="134" t="s">
        <v>142</v>
      </c>
      <c r="M212" s="370"/>
      <c r="N212" s="137"/>
    </row>
    <row r="213" hidden="1" outlineLevel="1">
      <c r="A213" s="367"/>
      <c r="B213" s="309">
        <v>46298.0</v>
      </c>
      <c r="C213" s="368" t="str">
        <f t="shared" si="23"/>
        <v>Sat</v>
      </c>
      <c r="D213" s="128">
        <f t="shared" si="24"/>
        <v>1</v>
      </c>
      <c r="E213" s="131" t="s">
        <v>142</v>
      </c>
      <c r="F213" s="134" t="s">
        <v>142</v>
      </c>
      <c r="G213" s="134" t="s">
        <v>142</v>
      </c>
      <c r="H213" s="134" t="s">
        <v>142</v>
      </c>
      <c r="I213" s="134" t="s">
        <v>142</v>
      </c>
      <c r="J213" s="134" t="s">
        <v>142</v>
      </c>
      <c r="K213" s="134" t="s">
        <v>142</v>
      </c>
      <c r="L213" s="134" t="s">
        <v>142</v>
      </c>
      <c r="M213" s="370"/>
      <c r="N213" s="137"/>
    </row>
    <row r="214" hidden="1" outlineLevel="1">
      <c r="A214" s="367"/>
      <c r="B214" s="309">
        <v>46298.0</v>
      </c>
      <c r="C214" s="368" t="str">
        <f t="shared" si="23"/>
        <v>Sat</v>
      </c>
      <c r="D214" s="143">
        <f t="shared" si="24"/>
        <v>1</v>
      </c>
      <c r="E214" s="144" t="s">
        <v>142</v>
      </c>
      <c r="F214" s="134" t="s">
        <v>142</v>
      </c>
      <c r="G214" s="134" t="s">
        <v>142</v>
      </c>
      <c r="H214" s="134" t="s">
        <v>142</v>
      </c>
      <c r="I214" s="134" t="s">
        <v>142</v>
      </c>
      <c r="J214" s="134" t="s">
        <v>142</v>
      </c>
      <c r="K214" s="134" t="s">
        <v>142</v>
      </c>
      <c r="L214" s="134" t="s">
        <v>142</v>
      </c>
      <c r="M214" s="370"/>
      <c r="N214" s="137"/>
    </row>
    <row r="215" hidden="1" outlineLevel="1">
      <c r="A215" s="367"/>
      <c r="B215" s="309">
        <v>46298.0</v>
      </c>
      <c r="C215" s="368" t="str">
        <f t="shared" si="23"/>
        <v>Sat</v>
      </c>
      <c r="D215" s="128">
        <f t="shared" si="24"/>
        <v>1</v>
      </c>
      <c r="E215" s="131" t="s">
        <v>142</v>
      </c>
      <c r="F215" s="134" t="s">
        <v>142</v>
      </c>
      <c r="G215" s="134" t="s">
        <v>142</v>
      </c>
      <c r="H215" s="134" t="s">
        <v>142</v>
      </c>
      <c r="I215" s="134" t="s">
        <v>142</v>
      </c>
      <c r="J215" s="134" t="s">
        <v>142</v>
      </c>
      <c r="K215" s="134" t="s">
        <v>142</v>
      </c>
      <c r="L215" s="134" t="s">
        <v>142</v>
      </c>
      <c r="M215" s="370"/>
      <c r="N215" s="137"/>
    </row>
    <row r="216" hidden="1" outlineLevel="1">
      <c r="A216" s="373"/>
      <c r="B216" s="373"/>
      <c r="C216" s="374" t="s">
        <v>199</v>
      </c>
      <c r="D216" s="414">
        <f>AVERAGE(D201:D215)</f>
        <v>1</v>
      </c>
      <c r="E216" s="391"/>
      <c r="F216" s="373"/>
      <c r="G216" s="373"/>
      <c r="H216" s="373"/>
      <c r="I216" s="373"/>
      <c r="J216" s="373"/>
      <c r="K216" s="373"/>
      <c r="L216" s="374" t="s">
        <v>199</v>
      </c>
      <c r="M216" s="377">
        <f>SUM(M201:M215)/75*0.1</f>
        <v>0</v>
      </c>
      <c r="N216" s="373"/>
    </row>
    <row r="217">
      <c r="A217" s="85" t="s">
        <v>537</v>
      </c>
      <c r="B217" s="86"/>
      <c r="C217" s="86"/>
      <c r="D217" s="88"/>
      <c r="E217" s="376"/>
      <c r="F217" s="376"/>
      <c r="G217" s="376"/>
      <c r="H217" s="376"/>
      <c r="I217" s="376"/>
      <c r="J217" s="376"/>
      <c r="K217" s="376"/>
      <c r="L217" s="376"/>
      <c r="M217" s="376"/>
      <c r="N217" s="376"/>
    </row>
    <row r="218" outlineLevel="1">
      <c r="A218" s="425" t="s">
        <v>89</v>
      </c>
      <c r="B218" s="392" t="s">
        <v>90</v>
      </c>
      <c r="C218" s="392" t="s">
        <v>91</v>
      </c>
      <c r="D218" s="426" t="s">
        <v>93</v>
      </c>
      <c r="E218" s="427" t="s">
        <v>94</v>
      </c>
      <c r="F218" s="395" t="s">
        <v>95</v>
      </c>
      <c r="G218" s="396" t="s">
        <v>96</v>
      </c>
      <c r="H218" s="396" t="s">
        <v>97</v>
      </c>
      <c r="I218" s="396" t="s">
        <v>104</v>
      </c>
      <c r="J218" s="396" t="s">
        <v>106</v>
      </c>
      <c r="K218" s="396" t="s">
        <v>109</v>
      </c>
      <c r="L218" s="396" t="s">
        <v>111</v>
      </c>
      <c r="M218" s="392" t="s">
        <v>114</v>
      </c>
      <c r="N218" s="392" t="s">
        <v>116</v>
      </c>
    </row>
    <row r="219" outlineLevel="1">
      <c r="A219" s="413" t="s">
        <v>943</v>
      </c>
      <c r="B219" s="309">
        <v>46300.0</v>
      </c>
      <c r="C219" s="368" t="str">
        <f t="shared" ref="C219:C233" si="25">IF(B219="", "", TEXT(B219, "ddd"))</f>
        <v>Mon</v>
      </c>
      <c r="D219" s="128">
        <f t="shared" ref="D219:D233" si="26">IF(E219="Yes",0.05,0)
+IF(F219="Yes",0.1,0)
+IF(G219="Yes",0.15,0)
+IF(H219="Yes",0.15,0)
+IF(I219="Yes",0.05,0)
+IF(J219="Yes",0.05,0)
+IF(K219="Yes",0.15,0)
+IF(L219="Yes",0.3,0)
</f>
        <v>1</v>
      </c>
      <c r="E219" s="370" t="s">
        <v>142</v>
      </c>
      <c r="F219" s="7" t="s">
        <v>142</v>
      </c>
      <c r="G219" s="7" t="s">
        <v>142</v>
      </c>
      <c r="H219" s="7" t="s">
        <v>142</v>
      </c>
      <c r="I219" s="7" t="s">
        <v>142</v>
      </c>
      <c r="J219" s="7" t="s">
        <v>142</v>
      </c>
      <c r="K219" s="7" t="s">
        <v>142</v>
      </c>
      <c r="L219" s="7" t="s">
        <v>142</v>
      </c>
      <c r="M219" s="370"/>
      <c r="N219" s="137"/>
    </row>
    <row r="220" outlineLevel="1">
      <c r="A220" s="413" t="s">
        <v>946</v>
      </c>
      <c r="B220" s="309">
        <v>46300.0</v>
      </c>
      <c r="C220" s="368" t="str">
        <f t="shared" si="25"/>
        <v>Mon</v>
      </c>
      <c r="D220" s="143">
        <f t="shared" si="26"/>
        <v>1</v>
      </c>
      <c r="E220" s="369" t="s">
        <v>142</v>
      </c>
      <c r="F220" s="7" t="s">
        <v>142</v>
      </c>
      <c r="G220" s="7" t="s">
        <v>142</v>
      </c>
      <c r="H220" s="7" t="s">
        <v>142</v>
      </c>
      <c r="I220" s="7" t="s">
        <v>142</v>
      </c>
      <c r="J220" s="7" t="s">
        <v>142</v>
      </c>
      <c r="K220" s="7" t="s">
        <v>142</v>
      </c>
      <c r="L220" s="7" t="s">
        <v>142</v>
      </c>
      <c r="M220" s="370"/>
      <c r="N220" s="137"/>
    </row>
    <row r="221" outlineLevel="1">
      <c r="A221" s="413" t="s">
        <v>947</v>
      </c>
      <c r="B221" s="309">
        <v>46300.0</v>
      </c>
      <c r="C221" s="368" t="str">
        <f t="shared" si="25"/>
        <v>Mon</v>
      </c>
      <c r="D221" s="128">
        <f t="shared" si="26"/>
        <v>1</v>
      </c>
      <c r="E221" s="370" t="s">
        <v>142</v>
      </c>
      <c r="F221" s="7" t="s">
        <v>142</v>
      </c>
      <c r="G221" s="7" t="s">
        <v>142</v>
      </c>
      <c r="H221" s="7" t="s">
        <v>142</v>
      </c>
      <c r="I221" s="7" t="s">
        <v>142</v>
      </c>
      <c r="J221" s="7" t="s">
        <v>142</v>
      </c>
      <c r="K221" s="7" t="s">
        <v>142</v>
      </c>
      <c r="L221" s="7" t="s">
        <v>142</v>
      </c>
      <c r="M221" s="370"/>
      <c r="N221" s="137"/>
    </row>
    <row r="222" outlineLevel="1">
      <c r="A222" s="430" t="s">
        <v>948</v>
      </c>
      <c r="B222" s="309">
        <v>46301.0</v>
      </c>
      <c r="C222" s="368" t="str">
        <f t="shared" si="25"/>
        <v>Tue</v>
      </c>
      <c r="D222" s="143">
        <f t="shared" si="26"/>
        <v>1</v>
      </c>
      <c r="E222" s="369" t="s">
        <v>142</v>
      </c>
      <c r="F222" s="7" t="s">
        <v>142</v>
      </c>
      <c r="G222" s="7" t="s">
        <v>142</v>
      </c>
      <c r="H222" s="7" t="s">
        <v>142</v>
      </c>
      <c r="I222" s="7" t="s">
        <v>142</v>
      </c>
      <c r="J222" s="7" t="s">
        <v>142</v>
      </c>
      <c r="K222" s="7" t="s">
        <v>142</v>
      </c>
      <c r="L222" s="7" t="s">
        <v>142</v>
      </c>
      <c r="M222" s="370"/>
      <c r="N222" s="137"/>
    </row>
    <row r="223" outlineLevel="1">
      <c r="A223" s="430" t="s">
        <v>949</v>
      </c>
      <c r="B223" s="309">
        <v>46301.0</v>
      </c>
      <c r="C223" s="368" t="str">
        <f t="shared" si="25"/>
        <v>Tue</v>
      </c>
      <c r="D223" s="128">
        <f t="shared" si="26"/>
        <v>1</v>
      </c>
      <c r="E223" s="370" t="s">
        <v>142</v>
      </c>
      <c r="F223" s="7" t="s">
        <v>142</v>
      </c>
      <c r="G223" s="7" t="s">
        <v>142</v>
      </c>
      <c r="H223" s="7" t="s">
        <v>142</v>
      </c>
      <c r="I223" s="7" t="s">
        <v>142</v>
      </c>
      <c r="J223" s="7" t="s">
        <v>142</v>
      </c>
      <c r="K223" s="7" t="s">
        <v>142</v>
      </c>
      <c r="L223" s="7" t="s">
        <v>142</v>
      </c>
      <c r="M223" s="370"/>
      <c r="N223" s="137"/>
    </row>
    <row r="224" outlineLevel="1">
      <c r="A224" s="430" t="s">
        <v>950</v>
      </c>
      <c r="B224" s="309">
        <v>46301.0</v>
      </c>
      <c r="C224" s="368" t="str">
        <f t="shared" si="25"/>
        <v>Tue</v>
      </c>
      <c r="D224" s="143">
        <f t="shared" si="26"/>
        <v>1</v>
      </c>
      <c r="E224" s="369" t="s">
        <v>142</v>
      </c>
      <c r="F224" s="7" t="s">
        <v>142</v>
      </c>
      <c r="G224" s="7" t="s">
        <v>142</v>
      </c>
      <c r="H224" s="7" t="s">
        <v>142</v>
      </c>
      <c r="I224" s="7" t="s">
        <v>142</v>
      </c>
      <c r="J224" s="7" t="s">
        <v>142</v>
      </c>
      <c r="K224" s="7" t="s">
        <v>142</v>
      </c>
      <c r="L224" s="7" t="s">
        <v>142</v>
      </c>
      <c r="M224" s="370"/>
      <c r="N224" s="137"/>
    </row>
    <row r="225" outlineLevel="1">
      <c r="A225" s="430" t="s">
        <v>952</v>
      </c>
      <c r="B225" s="309">
        <v>46303.0</v>
      </c>
      <c r="C225" s="368" t="str">
        <f t="shared" si="25"/>
        <v>Thu</v>
      </c>
      <c r="D225" s="128">
        <f t="shared" si="26"/>
        <v>1</v>
      </c>
      <c r="E225" s="370" t="s">
        <v>142</v>
      </c>
      <c r="F225" s="7" t="s">
        <v>142</v>
      </c>
      <c r="G225" s="7" t="s">
        <v>142</v>
      </c>
      <c r="H225" s="7" t="s">
        <v>142</v>
      </c>
      <c r="I225" s="7" t="s">
        <v>142</v>
      </c>
      <c r="J225" s="7" t="s">
        <v>142</v>
      </c>
      <c r="K225" s="7" t="s">
        <v>142</v>
      </c>
      <c r="L225" s="7" t="s">
        <v>142</v>
      </c>
      <c r="M225" s="370"/>
      <c r="N225" s="137"/>
    </row>
    <row r="226" outlineLevel="1">
      <c r="A226" s="430" t="s">
        <v>953</v>
      </c>
      <c r="B226" s="309">
        <v>46303.0</v>
      </c>
      <c r="C226" s="368" t="str">
        <f t="shared" si="25"/>
        <v>Thu</v>
      </c>
      <c r="D226" s="143">
        <f t="shared" si="26"/>
        <v>1</v>
      </c>
      <c r="E226" s="369" t="s">
        <v>142</v>
      </c>
      <c r="F226" s="7" t="s">
        <v>142</v>
      </c>
      <c r="G226" s="7" t="s">
        <v>142</v>
      </c>
      <c r="H226" s="7" t="s">
        <v>142</v>
      </c>
      <c r="I226" s="7" t="s">
        <v>142</v>
      </c>
      <c r="J226" s="7" t="s">
        <v>142</v>
      </c>
      <c r="K226" s="7" t="s">
        <v>142</v>
      </c>
      <c r="L226" s="7" t="s">
        <v>142</v>
      </c>
      <c r="M226" s="370"/>
      <c r="N226" s="137"/>
    </row>
    <row r="227" outlineLevel="1">
      <c r="A227" s="430" t="s">
        <v>954</v>
      </c>
      <c r="B227" s="309">
        <v>46303.0</v>
      </c>
      <c r="C227" s="368" t="str">
        <f t="shared" si="25"/>
        <v>Thu</v>
      </c>
      <c r="D227" s="128">
        <f t="shared" si="26"/>
        <v>1</v>
      </c>
      <c r="E227" s="370" t="s">
        <v>142</v>
      </c>
      <c r="F227" s="7" t="s">
        <v>142</v>
      </c>
      <c r="G227" s="7" t="s">
        <v>142</v>
      </c>
      <c r="H227" s="7" t="s">
        <v>142</v>
      </c>
      <c r="I227" s="7" t="s">
        <v>142</v>
      </c>
      <c r="J227" s="7" t="s">
        <v>142</v>
      </c>
      <c r="K227" s="7" t="s">
        <v>142</v>
      </c>
      <c r="L227" s="7" t="s">
        <v>142</v>
      </c>
      <c r="M227" s="370"/>
      <c r="N227" s="137"/>
    </row>
    <row r="228" outlineLevel="1">
      <c r="A228" s="430" t="s">
        <v>956</v>
      </c>
      <c r="B228" s="309">
        <v>46305.0</v>
      </c>
      <c r="C228" s="368" t="str">
        <f t="shared" si="25"/>
        <v>Sat</v>
      </c>
      <c r="D228" s="143">
        <f t="shared" si="26"/>
        <v>1</v>
      </c>
      <c r="E228" s="369" t="s">
        <v>142</v>
      </c>
      <c r="F228" s="7" t="s">
        <v>142</v>
      </c>
      <c r="G228" s="7" t="s">
        <v>142</v>
      </c>
      <c r="H228" s="7" t="s">
        <v>142</v>
      </c>
      <c r="I228" s="7" t="s">
        <v>142</v>
      </c>
      <c r="J228" s="7" t="s">
        <v>142</v>
      </c>
      <c r="K228" s="7" t="s">
        <v>142</v>
      </c>
      <c r="L228" s="7" t="s">
        <v>142</v>
      </c>
      <c r="M228" s="370"/>
      <c r="N228" s="137"/>
    </row>
    <row r="229" outlineLevel="1">
      <c r="A229" s="430" t="s">
        <v>960</v>
      </c>
      <c r="B229" s="309">
        <v>46305.0</v>
      </c>
      <c r="C229" s="368" t="str">
        <f t="shared" si="25"/>
        <v>Sat</v>
      </c>
      <c r="D229" s="128">
        <f t="shared" si="26"/>
        <v>1</v>
      </c>
      <c r="E229" s="370" t="s">
        <v>142</v>
      </c>
      <c r="F229" s="7" t="s">
        <v>142</v>
      </c>
      <c r="G229" s="7" t="s">
        <v>142</v>
      </c>
      <c r="H229" s="7" t="s">
        <v>142</v>
      </c>
      <c r="I229" s="7" t="s">
        <v>142</v>
      </c>
      <c r="J229" s="7" t="s">
        <v>142</v>
      </c>
      <c r="K229" s="7" t="s">
        <v>142</v>
      </c>
      <c r="L229" s="7" t="s">
        <v>142</v>
      </c>
      <c r="M229" s="370"/>
      <c r="N229" s="137"/>
    </row>
    <row r="230" outlineLevel="1">
      <c r="A230" s="430" t="s">
        <v>962</v>
      </c>
      <c r="B230" s="309">
        <v>46305.0</v>
      </c>
      <c r="C230" s="368" t="str">
        <f t="shared" si="25"/>
        <v>Sat</v>
      </c>
      <c r="D230" s="143">
        <f t="shared" si="26"/>
        <v>1</v>
      </c>
      <c r="E230" s="369" t="s">
        <v>142</v>
      </c>
      <c r="F230" s="7" t="s">
        <v>142</v>
      </c>
      <c r="G230" s="7" t="s">
        <v>142</v>
      </c>
      <c r="H230" s="7" t="s">
        <v>142</v>
      </c>
      <c r="I230" s="7" t="s">
        <v>142</v>
      </c>
      <c r="J230" s="7" t="s">
        <v>142</v>
      </c>
      <c r="K230" s="7" t="s">
        <v>142</v>
      </c>
      <c r="L230" s="7" t="s">
        <v>142</v>
      </c>
      <c r="M230" s="370"/>
      <c r="N230" s="137"/>
    </row>
    <row r="231" outlineLevel="1">
      <c r="A231" s="367"/>
      <c r="B231" s="270"/>
      <c r="C231" s="368" t="str">
        <f t="shared" si="25"/>
        <v/>
      </c>
      <c r="D231" s="128">
        <f t="shared" si="26"/>
        <v>0</v>
      </c>
      <c r="E231" s="370"/>
      <c r="F231" s="7"/>
      <c r="G231" s="7"/>
      <c r="H231" s="7"/>
      <c r="I231" s="7"/>
      <c r="J231" s="7"/>
      <c r="K231" s="7"/>
      <c r="L231" s="7"/>
      <c r="M231" s="370"/>
      <c r="N231" s="137"/>
    </row>
    <row r="232" outlineLevel="1">
      <c r="A232" s="367"/>
      <c r="B232" s="270"/>
      <c r="C232" s="368" t="str">
        <f t="shared" si="25"/>
        <v/>
      </c>
      <c r="D232" s="143">
        <f t="shared" si="26"/>
        <v>0</v>
      </c>
      <c r="E232" s="369"/>
      <c r="F232" s="7"/>
      <c r="G232" s="7"/>
      <c r="H232" s="7"/>
      <c r="I232" s="7"/>
      <c r="J232" s="7"/>
      <c r="K232" s="7"/>
      <c r="L232" s="7"/>
      <c r="M232" s="370"/>
      <c r="N232" s="137"/>
    </row>
    <row r="233" outlineLevel="1">
      <c r="A233" s="367"/>
      <c r="B233" s="270"/>
      <c r="C233" s="368" t="str">
        <f t="shared" si="25"/>
        <v/>
      </c>
      <c r="D233" s="128">
        <f t="shared" si="26"/>
        <v>0</v>
      </c>
      <c r="E233" s="370"/>
      <c r="F233" s="7"/>
      <c r="G233" s="7"/>
      <c r="H233" s="7"/>
      <c r="I233" s="7"/>
      <c r="J233" s="7"/>
      <c r="K233" s="7"/>
      <c r="L233" s="7"/>
      <c r="M233" s="370"/>
      <c r="N233" s="137"/>
    </row>
    <row r="234" outlineLevel="1">
      <c r="A234" s="373"/>
      <c r="B234" s="373"/>
      <c r="C234" s="374" t="s">
        <v>199</v>
      </c>
      <c r="D234" s="414">
        <f>AVERAGE(D219:D233)</f>
        <v>0.8</v>
      </c>
      <c r="E234" s="391"/>
      <c r="F234" s="373"/>
      <c r="G234" s="373"/>
      <c r="H234" s="373"/>
      <c r="I234" s="373"/>
      <c r="J234" s="373"/>
      <c r="K234" s="373"/>
      <c r="L234" s="374" t="s">
        <v>199</v>
      </c>
      <c r="M234" s="377">
        <f>SUM(M219:M233)/75*0.1</f>
        <v>0</v>
      </c>
      <c r="N234" s="373"/>
    </row>
    <row r="235">
      <c r="A235" s="215"/>
      <c r="B235" s="215"/>
      <c r="C235" s="431"/>
    </row>
    <row r="236">
      <c r="A236" s="215"/>
      <c r="B236" s="215"/>
      <c r="C236" s="431"/>
    </row>
    <row r="237">
      <c r="A237" s="215"/>
      <c r="B237" s="215"/>
      <c r="C237" s="431"/>
    </row>
    <row r="238">
      <c r="A238" s="215"/>
      <c r="B238" s="215"/>
      <c r="C238" s="431"/>
    </row>
    <row r="239">
      <c r="A239" s="215"/>
      <c r="B239" s="215"/>
      <c r="C239" s="431"/>
    </row>
    <row r="240">
      <c r="A240" s="215"/>
      <c r="B240" s="215"/>
      <c r="C240" s="431"/>
    </row>
    <row r="241">
      <c r="A241" s="215"/>
      <c r="B241" s="215"/>
      <c r="C241" s="431"/>
    </row>
    <row r="242">
      <c r="A242" s="215"/>
      <c r="B242" s="215"/>
      <c r="C242" s="431"/>
    </row>
    <row r="243">
      <c r="A243" s="215"/>
      <c r="B243" s="215"/>
      <c r="C243" s="431"/>
    </row>
    <row r="244">
      <c r="A244" s="215"/>
      <c r="B244" s="215"/>
      <c r="C244" s="431"/>
    </row>
    <row r="245">
      <c r="A245" s="215"/>
      <c r="B245" s="215"/>
      <c r="C245" s="431"/>
    </row>
    <row r="246">
      <c r="A246" s="215"/>
      <c r="B246" s="215"/>
      <c r="C246" s="431"/>
    </row>
    <row r="247">
      <c r="A247" s="215"/>
      <c r="B247" s="215"/>
      <c r="C247" s="431"/>
    </row>
    <row r="248">
      <c r="A248" s="215"/>
      <c r="B248" s="215"/>
      <c r="C248" s="431"/>
    </row>
    <row r="249">
      <c r="A249" s="215"/>
      <c r="B249" s="215"/>
      <c r="C249" s="431"/>
    </row>
    <row r="250">
      <c r="A250" s="215"/>
      <c r="B250" s="215"/>
      <c r="C250" s="431"/>
    </row>
    <row r="251">
      <c r="A251" s="215"/>
      <c r="B251" s="215"/>
      <c r="C251" s="431"/>
    </row>
    <row r="252">
      <c r="A252" s="215"/>
      <c r="B252" s="215"/>
      <c r="C252" s="431"/>
    </row>
    <row r="253">
      <c r="A253" s="215"/>
      <c r="B253" s="215"/>
      <c r="C253" s="431"/>
    </row>
    <row r="254">
      <c r="A254" s="215"/>
      <c r="B254" s="215"/>
      <c r="C254" s="431"/>
    </row>
    <row r="255">
      <c r="A255" s="215"/>
      <c r="B255" s="215"/>
      <c r="C255" s="431"/>
    </row>
    <row r="256">
      <c r="A256" s="215"/>
      <c r="B256" s="215"/>
      <c r="C256" s="431"/>
    </row>
    <row r="257">
      <c r="A257" s="215"/>
      <c r="B257" s="215"/>
      <c r="C257" s="431"/>
    </row>
    <row r="258">
      <c r="A258" s="215"/>
      <c r="B258" s="215"/>
      <c r="C258" s="431"/>
    </row>
    <row r="259">
      <c r="A259" s="215"/>
      <c r="B259" s="215"/>
      <c r="C259" s="431"/>
    </row>
    <row r="260">
      <c r="A260" s="215"/>
      <c r="B260" s="215"/>
      <c r="C260" s="431"/>
    </row>
    <row r="261">
      <c r="A261" s="215"/>
      <c r="B261" s="215"/>
      <c r="C261" s="431"/>
    </row>
    <row r="262">
      <c r="A262" s="215"/>
      <c r="B262" s="215"/>
      <c r="C262" s="431"/>
    </row>
    <row r="263">
      <c r="A263" s="215"/>
      <c r="B263" s="215"/>
      <c r="C263" s="431"/>
    </row>
    <row r="264">
      <c r="A264" s="215"/>
      <c r="B264" s="215"/>
      <c r="C264" s="431"/>
    </row>
    <row r="265">
      <c r="A265" s="215"/>
      <c r="B265" s="215"/>
      <c r="C265" s="431"/>
    </row>
    <row r="266">
      <c r="A266" s="215"/>
      <c r="B266" s="215"/>
      <c r="C266" s="431"/>
    </row>
    <row r="267">
      <c r="A267" s="215"/>
      <c r="B267" s="215"/>
      <c r="C267" s="431"/>
    </row>
    <row r="268">
      <c r="A268" s="215"/>
      <c r="B268" s="215"/>
      <c r="C268" s="431"/>
    </row>
    <row r="269">
      <c r="A269" s="215"/>
      <c r="B269" s="215"/>
      <c r="C269" s="431"/>
    </row>
    <row r="270">
      <c r="A270" s="215"/>
      <c r="B270" s="215"/>
      <c r="C270" s="431"/>
    </row>
    <row r="271">
      <c r="A271" s="215"/>
      <c r="B271" s="215"/>
      <c r="C271" s="431"/>
    </row>
    <row r="272">
      <c r="A272" s="215"/>
      <c r="B272" s="215"/>
      <c r="C272" s="431"/>
    </row>
    <row r="273">
      <c r="A273" s="215"/>
      <c r="B273" s="215"/>
      <c r="C273" s="431"/>
    </row>
    <row r="274">
      <c r="A274" s="215"/>
      <c r="B274" s="215"/>
      <c r="C274" s="431"/>
    </row>
    <row r="275">
      <c r="A275" s="215"/>
      <c r="B275" s="215"/>
      <c r="C275" s="431"/>
    </row>
    <row r="276">
      <c r="A276" s="215"/>
      <c r="B276" s="215"/>
      <c r="C276" s="431"/>
    </row>
    <row r="277">
      <c r="A277" s="215"/>
      <c r="B277" s="215"/>
      <c r="C277" s="431"/>
    </row>
    <row r="278">
      <c r="A278" s="215"/>
      <c r="B278" s="215"/>
      <c r="C278" s="431"/>
    </row>
    <row r="279">
      <c r="A279" s="215"/>
      <c r="B279" s="215"/>
      <c r="C279" s="431"/>
    </row>
    <row r="280">
      <c r="A280" s="215"/>
      <c r="B280" s="215"/>
      <c r="C280" s="431"/>
    </row>
    <row r="281">
      <c r="A281" s="215"/>
      <c r="B281" s="215"/>
      <c r="C281" s="431"/>
    </row>
    <row r="282">
      <c r="A282" s="215"/>
      <c r="B282" s="215"/>
      <c r="C282" s="431"/>
    </row>
    <row r="283">
      <c r="A283" s="215"/>
      <c r="B283" s="215"/>
      <c r="C283" s="431"/>
    </row>
    <row r="284">
      <c r="A284" s="215"/>
      <c r="B284" s="215"/>
      <c r="C284" s="431"/>
    </row>
    <row r="285">
      <c r="A285" s="215"/>
      <c r="B285" s="215"/>
      <c r="C285" s="431"/>
    </row>
    <row r="286">
      <c r="A286" s="215"/>
      <c r="B286" s="215"/>
      <c r="C286" s="431"/>
    </row>
    <row r="287">
      <c r="A287" s="215"/>
      <c r="B287" s="215"/>
      <c r="C287" s="431"/>
    </row>
    <row r="288">
      <c r="A288" s="215"/>
      <c r="B288" s="215"/>
      <c r="C288" s="431"/>
    </row>
    <row r="289">
      <c r="A289" s="215"/>
      <c r="B289" s="215"/>
      <c r="C289" s="431"/>
    </row>
    <row r="290">
      <c r="A290" s="215"/>
      <c r="B290" s="215"/>
      <c r="C290" s="431"/>
    </row>
    <row r="291">
      <c r="A291" s="215"/>
      <c r="B291" s="215"/>
      <c r="C291" s="431"/>
    </row>
    <row r="292">
      <c r="A292" s="215"/>
      <c r="B292" s="215"/>
      <c r="C292" s="431"/>
    </row>
    <row r="293">
      <c r="A293" s="215"/>
      <c r="B293" s="215"/>
      <c r="C293" s="431"/>
    </row>
    <row r="294">
      <c r="A294" s="215"/>
      <c r="B294" s="215"/>
      <c r="C294" s="431"/>
    </row>
    <row r="295">
      <c r="A295" s="215"/>
      <c r="B295" s="215"/>
      <c r="C295" s="431"/>
    </row>
    <row r="296">
      <c r="A296" s="215"/>
      <c r="B296" s="215"/>
      <c r="C296" s="431"/>
    </row>
    <row r="297">
      <c r="A297" s="215"/>
      <c r="B297" s="215"/>
      <c r="C297" s="431"/>
    </row>
    <row r="298">
      <c r="A298" s="215"/>
      <c r="B298" s="215"/>
      <c r="C298" s="431"/>
    </row>
    <row r="299">
      <c r="A299" s="215"/>
      <c r="B299" s="215"/>
      <c r="C299" s="431"/>
    </row>
    <row r="300">
      <c r="A300" s="215"/>
      <c r="B300" s="215"/>
      <c r="C300" s="431"/>
    </row>
    <row r="301">
      <c r="A301" s="215"/>
      <c r="B301" s="215"/>
      <c r="C301" s="431"/>
    </row>
    <row r="302">
      <c r="A302" s="215"/>
      <c r="B302" s="215"/>
      <c r="C302" s="431"/>
    </row>
    <row r="303">
      <c r="A303" s="215"/>
      <c r="B303" s="215"/>
      <c r="C303" s="431"/>
    </row>
    <row r="304">
      <c r="A304" s="215"/>
      <c r="B304" s="215"/>
      <c r="C304" s="431"/>
    </row>
    <row r="305">
      <c r="A305" s="215"/>
      <c r="B305" s="215"/>
      <c r="C305" s="431"/>
    </row>
    <row r="306">
      <c r="A306" s="215"/>
      <c r="B306" s="215"/>
      <c r="C306" s="431"/>
    </row>
    <row r="307">
      <c r="A307" s="215"/>
      <c r="B307" s="215"/>
      <c r="C307" s="431"/>
    </row>
    <row r="308">
      <c r="A308" s="215"/>
      <c r="B308" s="215"/>
      <c r="C308" s="431"/>
    </row>
    <row r="309">
      <c r="A309" s="215"/>
      <c r="B309" s="215"/>
      <c r="C309" s="431"/>
    </row>
    <row r="310">
      <c r="A310" s="215"/>
      <c r="B310" s="215"/>
      <c r="C310" s="431"/>
    </row>
    <row r="311">
      <c r="A311" s="215"/>
      <c r="B311" s="215"/>
      <c r="C311" s="431"/>
    </row>
    <row r="312">
      <c r="A312" s="215"/>
      <c r="B312" s="215"/>
      <c r="C312" s="431"/>
    </row>
    <row r="313">
      <c r="A313" s="215"/>
      <c r="B313" s="215"/>
      <c r="C313" s="431"/>
    </row>
    <row r="314">
      <c r="A314" s="215"/>
      <c r="B314" s="215"/>
      <c r="C314" s="431"/>
    </row>
    <row r="315">
      <c r="A315" s="215"/>
      <c r="B315" s="215"/>
      <c r="C315" s="431"/>
    </row>
    <row r="316">
      <c r="A316" s="215"/>
      <c r="B316" s="215"/>
      <c r="C316" s="431"/>
    </row>
    <row r="317">
      <c r="A317" s="215"/>
      <c r="B317" s="215"/>
      <c r="C317" s="431"/>
    </row>
    <row r="318">
      <c r="A318" s="215"/>
      <c r="B318" s="215"/>
      <c r="C318" s="431"/>
    </row>
    <row r="319">
      <c r="A319" s="215"/>
      <c r="B319" s="215"/>
      <c r="C319" s="431"/>
    </row>
    <row r="320">
      <c r="A320" s="215"/>
      <c r="B320" s="215"/>
      <c r="C320" s="431"/>
    </row>
    <row r="321">
      <c r="A321" s="215"/>
      <c r="B321" s="215"/>
      <c r="C321" s="431"/>
    </row>
    <row r="322">
      <c r="A322" s="215"/>
      <c r="B322" s="215"/>
      <c r="C322" s="431"/>
    </row>
    <row r="323">
      <c r="A323" s="215"/>
      <c r="B323" s="215"/>
      <c r="C323" s="431"/>
    </row>
    <row r="324">
      <c r="A324" s="215"/>
      <c r="B324" s="215"/>
      <c r="C324" s="431"/>
    </row>
    <row r="325">
      <c r="A325" s="215"/>
      <c r="B325" s="215"/>
      <c r="C325" s="431"/>
    </row>
    <row r="326">
      <c r="A326" s="215"/>
      <c r="B326" s="215"/>
      <c r="C326" s="431"/>
    </row>
    <row r="327">
      <c r="A327" s="215"/>
      <c r="B327" s="215"/>
      <c r="C327" s="431"/>
    </row>
    <row r="328">
      <c r="A328" s="215"/>
      <c r="B328" s="215"/>
      <c r="C328" s="431"/>
    </row>
    <row r="329">
      <c r="A329" s="215"/>
      <c r="B329" s="215"/>
      <c r="C329" s="431"/>
    </row>
    <row r="330">
      <c r="A330" s="215"/>
      <c r="B330" s="215"/>
      <c r="C330" s="431"/>
    </row>
    <row r="331">
      <c r="A331" s="215"/>
      <c r="B331" s="215"/>
      <c r="C331" s="431"/>
    </row>
    <row r="332">
      <c r="A332" s="215"/>
      <c r="B332" s="215"/>
      <c r="C332" s="431"/>
    </row>
    <row r="333">
      <c r="A333" s="215"/>
      <c r="B333" s="215"/>
      <c r="C333" s="431"/>
    </row>
    <row r="334">
      <c r="A334" s="215"/>
      <c r="B334" s="215"/>
      <c r="C334" s="431"/>
    </row>
    <row r="335">
      <c r="A335" s="215"/>
      <c r="B335" s="215"/>
      <c r="C335" s="431"/>
    </row>
    <row r="336">
      <c r="A336" s="215"/>
      <c r="B336" s="215"/>
      <c r="C336" s="431"/>
    </row>
    <row r="337">
      <c r="A337" s="215"/>
      <c r="B337" s="215"/>
      <c r="C337" s="431"/>
    </row>
    <row r="338">
      <c r="A338" s="215"/>
      <c r="B338" s="215"/>
      <c r="C338" s="431"/>
    </row>
    <row r="339">
      <c r="A339" s="215"/>
      <c r="B339" s="215"/>
      <c r="C339" s="431"/>
    </row>
    <row r="340">
      <c r="A340" s="215"/>
      <c r="B340" s="215"/>
      <c r="C340" s="431"/>
    </row>
    <row r="341">
      <c r="A341" s="215"/>
      <c r="B341" s="215"/>
      <c r="C341" s="431"/>
    </row>
    <row r="342">
      <c r="A342" s="215"/>
      <c r="B342" s="215"/>
      <c r="C342" s="431"/>
    </row>
    <row r="343">
      <c r="A343" s="215"/>
      <c r="B343" s="215"/>
      <c r="C343" s="431"/>
    </row>
    <row r="344">
      <c r="A344" s="215"/>
      <c r="B344" s="215"/>
      <c r="C344" s="431"/>
    </row>
    <row r="345">
      <c r="A345" s="215"/>
      <c r="B345" s="215"/>
      <c r="C345" s="431"/>
    </row>
    <row r="346">
      <c r="A346" s="215"/>
      <c r="B346" s="215"/>
      <c r="C346" s="431"/>
    </row>
    <row r="347">
      <c r="A347" s="215"/>
      <c r="B347" s="215"/>
      <c r="C347" s="431"/>
    </row>
    <row r="348">
      <c r="A348" s="215"/>
      <c r="B348" s="215"/>
      <c r="C348" s="431"/>
    </row>
    <row r="349">
      <c r="A349" s="215"/>
      <c r="B349" s="215"/>
      <c r="C349" s="431"/>
    </row>
    <row r="350">
      <c r="A350" s="215"/>
      <c r="B350" s="215"/>
      <c r="C350" s="431"/>
    </row>
    <row r="351">
      <c r="A351" s="215"/>
      <c r="B351" s="215"/>
      <c r="C351" s="431"/>
    </row>
    <row r="352">
      <c r="A352" s="215"/>
      <c r="B352" s="215"/>
      <c r="C352" s="431"/>
    </row>
    <row r="353">
      <c r="A353" s="215"/>
      <c r="B353" s="215"/>
      <c r="C353" s="431"/>
    </row>
    <row r="354">
      <c r="A354" s="215"/>
      <c r="B354" s="215"/>
      <c r="C354" s="431"/>
    </row>
    <row r="355">
      <c r="A355" s="215"/>
      <c r="B355" s="215"/>
      <c r="C355" s="431"/>
    </row>
    <row r="356">
      <c r="A356" s="215"/>
      <c r="B356" s="215"/>
      <c r="C356" s="431"/>
    </row>
    <row r="357">
      <c r="A357" s="215"/>
      <c r="B357" s="215"/>
      <c r="C357" s="431"/>
    </row>
    <row r="358">
      <c r="A358" s="215"/>
      <c r="B358" s="215"/>
      <c r="C358" s="431"/>
    </row>
    <row r="359">
      <c r="A359" s="215"/>
      <c r="B359" s="215"/>
      <c r="C359" s="431"/>
    </row>
    <row r="360">
      <c r="A360" s="215"/>
      <c r="B360" s="215"/>
      <c r="C360" s="431"/>
    </row>
    <row r="361">
      <c r="A361" s="215"/>
      <c r="B361" s="215"/>
      <c r="C361" s="431"/>
    </row>
    <row r="362">
      <c r="A362" s="215"/>
      <c r="B362" s="215"/>
      <c r="C362" s="431"/>
    </row>
    <row r="363">
      <c r="A363" s="215"/>
      <c r="B363" s="215"/>
      <c r="C363" s="431"/>
    </row>
    <row r="364">
      <c r="A364" s="215"/>
      <c r="B364" s="215"/>
      <c r="C364" s="431"/>
    </row>
    <row r="365">
      <c r="A365" s="215"/>
      <c r="B365" s="215"/>
      <c r="C365" s="431"/>
    </row>
    <row r="366">
      <c r="A366" s="215"/>
      <c r="B366" s="215"/>
      <c r="C366" s="431"/>
    </row>
    <row r="367">
      <c r="A367" s="215"/>
      <c r="B367" s="215"/>
      <c r="C367" s="431"/>
    </row>
    <row r="368">
      <c r="A368" s="215"/>
      <c r="B368" s="215"/>
      <c r="C368" s="431"/>
    </row>
    <row r="369">
      <c r="A369" s="215"/>
      <c r="B369" s="215"/>
      <c r="C369" s="431"/>
    </row>
    <row r="370">
      <c r="A370" s="215"/>
      <c r="B370" s="215"/>
      <c r="C370" s="431"/>
    </row>
  </sheetData>
  <mergeCells count="13">
    <mergeCell ref="A127:D127"/>
    <mergeCell ref="A145:D145"/>
    <mergeCell ref="A163:D163"/>
    <mergeCell ref="A181:D181"/>
    <mergeCell ref="A199:D199"/>
    <mergeCell ref="A217:D217"/>
    <mergeCell ref="A1:D1"/>
    <mergeCell ref="A19:D19"/>
    <mergeCell ref="A37:D37"/>
    <mergeCell ref="A55:D55"/>
    <mergeCell ref="A73:D73"/>
    <mergeCell ref="A91:D91"/>
    <mergeCell ref="A109:D109"/>
  </mergeCells>
  <conditionalFormatting sqref="A1:N234">
    <cfRule type="cellIs" dxfId="10" priority="1" operator="equal">
      <formula>"Absent"</formula>
    </cfRule>
  </conditionalFormatting>
  <conditionalFormatting sqref="A3:B17 C3:D5 E3:L17 C15:D17 A21:B35 C21:D23 E21:L35 C33:D35 A39:B53 C39:D41 E39:L53 C51:D53 A57:B71 C57:D59 E57:L71 C69:D71 A75:B89 C75:D77 E75:L89 C87:D89 A93:B107 C93:D95 E93:L107 C105:D107">
    <cfRule type="cellIs" dxfId="6" priority="2" operator="equal">
      <formula>"LWOP"</formula>
    </cfRule>
  </conditionalFormatting>
  <conditionalFormatting sqref="A1:D1 A19:D19 A37:D37 A55:D55 A73:D73 A91:D91">
    <cfRule type="cellIs" dxfId="7" priority="3" operator="equal">
      <formula>"OFF"</formula>
    </cfRule>
  </conditionalFormatting>
  <conditionalFormatting sqref="A1:D1 A19:D19 A37:D37 A55:D55 A73:D73 A91:D91">
    <cfRule type="cellIs" dxfId="8" priority="4" operator="equal">
      <formula>"A"</formula>
    </cfRule>
  </conditionalFormatting>
  <conditionalFormatting sqref="A1:D1 A19:D19 A37:D37 A55:D55 A73:D73 A91:D91">
    <cfRule type="cellIs" dxfId="9" priority="5" operator="equal">
      <formula>"LWOP"</formula>
    </cfRule>
  </conditionalFormatting>
  <dataValidations>
    <dataValidation type="list" allowBlank="1" showErrorMessage="1" sqref="E3:L17 E21:L35 E39:L53 E57:L71 E75:L89 E93:L107 E111:L125 E129:L143 E147:L161 E165:L179 E183:L197 E201:L215 E219:L233">
      <formula1>"Yes,No"</formula1>
    </dataValidation>
  </dataValidations>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21"/>
    <hyperlink r:id="rId17" ref="A22"/>
    <hyperlink r:id="rId18" ref="A23"/>
    <hyperlink r:id="rId19" ref="A24"/>
    <hyperlink r:id="rId20" ref="A25"/>
    <hyperlink r:id="rId21" ref="A26"/>
    <hyperlink r:id="rId22" ref="A27"/>
    <hyperlink r:id="rId23" ref="A28"/>
    <hyperlink r:id="rId24" ref="A29"/>
    <hyperlink r:id="rId25" ref="A30"/>
    <hyperlink r:id="rId26" ref="A31"/>
    <hyperlink r:id="rId27" ref="A32"/>
    <hyperlink r:id="rId28" ref="A39"/>
    <hyperlink r:id="rId29" ref="A40"/>
    <hyperlink r:id="rId30" ref="A41"/>
    <hyperlink r:id="rId31" ref="A42"/>
    <hyperlink r:id="rId32" ref="A43"/>
    <hyperlink r:id="rId33" ref="A44"/>
    <hyperlink r:id="rId34" ref="A45"/>
    <hyperlink r:id="rId35" ref="A46"/>
    <hyperlink r:id="rId36" ref="A47"/>
    <hyperlink r:id="rId37" ref="A48"/>
    <hyperlink r:id="rId38" ref="A49"/>
    <hyperlink r:id="rId39" ref="A50"/>
    <hyperlink r:id="rId40" ref="A51"/>
    <hyperlink r:id="rId41" ref="A52"/>
    <hyperlink r:id="rId42" ref="A53"/>
    <hyperlink r:id="rId43" ref="A57"/>
    <hyperlink r:id="rId44" ref="A58"/>
    <hyperlink r:id="rId45" ref="A59"/>
    <hyperlink r:id="rId46" ref="A60"/>
    <hyperlink r:id="rId47" ref="A61"/>
    <hyperlink r:id="rId48" ref="A62"/>
    <hyperlink r:id="rId49" ref="A63"/>
    <hyperlink r:id="rId50" ref="A64"/>
    <hyperlink r:id="rId51" ref="A65"/>
    <hyperlink r:id="rId52" ref="A66"/>
    <hyperlink r:id="rId53" ref="A67"/>
    <hyperlink r:id="rId54" ref="A68"/>
    <hyperlink r:id="rId55" ref="A69"/>
    <hyperlink r:id="rId56" ref="A70"/>
    <hyperlink r:id="rId57" ref="A71"/>
    <hyperlink r:id="rId58" ref="A75"/>
    <hyperlink r:id="rId59" ref="A76"/>
    <hyperlink r:id="rId60" ref="A77"/>
    <hyperlink r:id="rId61" ref="A78"/>
    <hyperlink r:id="rId62" ref="A79"/>
    <hyperlink r:id="rId63" ref="A80"/>
    <hyperlink r:id="rId64" ref="A81"/>
    <hyperlink r:id="rId65" ref="A82"/>
    <hyperlink r:id="rId66" ref="A83"/>
    <hyperlink r:id="rId67" ref="A84"/>
    <hyperlink r:id="rId68" ref="A85"/>
    <hyperlink r:id="rId69" ref="A86"/>
    <hyperlink r:id="rId70" ref="A87"/>
    <hyperlink r:id="rId71" ref="A88"/>
    <hyperlink r:id="rId72" ref="A89"/>
    <hyperlink r:id="rId73" ref="A93"/>
    <hyperlink r:id="rId74" ref="A94"/>
    <hyperlink r:id="rId75" ref="A95"/>
    <hyperlink r:id="rId76" ref="A96"/>
    <hyperlink r:id="rId77" ref="A97"/>
    <hyperlink r:id="rId78" ref="A98"/>
    <hyperlink r:id="rId79" ref="A99"/>
    <hyperlink r:id="rId80" ref="A100"/>
    <hyperlink r:id="rId81" ref="A101"/>
    <hyperlink r:id="rId82" ref="A102"/>
    <hyperlink r:id="rId83" ref="A103"/>
    <hyperlink r:id="rId84" ref="A104"/>
    <hyperlink r:id="rId85" ref="A105"/>
    <hyperlink r:id="rId86" ref="A106"/>
    <hyperlink r:id="rId87" ref="A107"/>
    <hyperlink r:id="rId88" ref="A111"/>
    <hyperlink r:id="rId89" ref="A112"/>
    <hyperlink r:id="rId90" ref="A113"/>
    <hyperlink r:id="rId91" ref="A114"/>
    <hyperlink r:id="rId92" ref="A115"/>
    <hyperlink r:id="rId93" ref="A116"/>
    <hyperlink r:id="rId94" ref="A117"/>
    <hyperlink r:id="rId95" ref="A118"/>
    <hyperlink r:id="rId96" ref="A119"/>
    <hyperlink r:id="rId97" ref="A120"/>
    <hyperlink r:id="rId98" ref="A121"/>
    <hyperlink r:id="rId99" ref="A122"/>
    <hyperlink r:id="rId100" ref="A123"/>
    <hyperlink r:id="rId101" ref="A124"/>
    <hyperlink r:id="rId102" ref="A125"/>
    <hyperlink r:id="rId103" ref="A129"/>
    <hyperlink r:id="rId104" ref="A130"/>
    <hyperlink r:id="rId105" ref="A131"/>
    <hyperlink r:id="rId106" ref="A132"/>
    <hyperlink r:id="rId107" ref="A133"/>
    <hyperlink r:id="rId108" ref="A134"/>
    <hyperlink r:id="rId109" ref="A135"/>
    <hyperlink r:id="rId110" ref="A136"/>
    <hyperlink r:id="rId111" ref="A137"/>
    <hyperlink r:id="rId112" ref="A138"/>
    <hyperlink r:id="rId113" ref="A139"/>
    <hyperlink r:id="rId114" ref="A140"/>
    <hyperlink r:id="rId115" ref="A141"/>
    <hyperlink r:id="rId116" ref="A142"/>
    <hyperlink r:id="rId117" ref="A143"/>
    <hyperlink r:id="rId118" ref="A147"/>
    <hyperlink r:id="rId119" ref="A148"/>
    <hyperlink r:id="rId120" ref="A149"/>
    <hyperlink r:id="rId121" ref="A150"/>
    <hyperlink r:id="rId122" ref="A151"/>
    <hyperlink r:id="rId123" ref="A152"/>
    <hyperlink r:id="rId124" ref="A153"/>
    <hyperlink r:id="rId125" ref="A154"/>
    <hyperlink r:id="rId126" ref="A155"/>
    <hyperlink r:id="rId127" ref="A156"/>
    <hyperlink r:id="rId128" ref="A157"/>
    <hyperlink r:id="rId129" ref="A158"/>
    <hyperlink r:id="rId130" ref="A159"/>
    <hyperlink r:id="rId131" ref="A160"/>
    <hyperlink r:id="rId132" ref="A161"/>
    <hyperlink r:id="rId133" ref="A165"/>
    <hyperlink r:id="rId134" ref="A166"/>
    <hyperlink r:id="rId135" ref="A167"/>
    <hyperlink r:id="rId136" ref="A168"/>
    <hyperlink r:id="rId137" ref="A169"/>
    <hyperlink r:id="rId138" ref="A170"/>
    <hyperlink r:id="rId139" ref="A171"/>
    <hyperlink r:id="rId140" ref="A172"/>
    <hyperlink r:id="rId141" ref="A173"/>
    <hyperlink r:id="rId142" ref="A174"/>
    <hyperlink r:id="rId143" ref="A175"/>
    <hyperlink r:id="rId144" ref="A176"/>
    <hyperlink r:id="rId145" ref="A177"/>
    <hyperlink r:id="rId146" ref="A178"/>
    <hyperlink r:id="rId147" ref="A179"/>
    <hyperlink r:id="rId148" ref="A183"/>
    <hyperlink r:id="rId149" ref="A184"/>
    <hyperlink r:id="rId150" ref="A185"/>
    <hyperlink r:id="rId151" ref="A186"/>
    <hyperlink r:id="rId152" ref="A187"/>
    <hyperlink r:id="rId153" ref="A188"/>
    <hyperlink r:id="rId154" ref="A189"/>
    <hyperlink r:id="rId155" ref="A190"/>
    <hyperlink r:id="rId156" ref="A191"/>
    <hyperlink r:id="rId157" ref="A192"/>
    <hyperlink r:id="rId158" ref="A193"/>
    <hyperlink r:id="rId159" ref="A194"/>
    <hyperlink r:id="rId160" ref="A195"/>
    <hyperlink r:id="rId161" ref="A196"/>
    <hyperlink r:id="rId162" ref="A197"/>
    <hyperlink r:id="rId163" ref="A201"/>
    <hyperlink r:id="rId164" ref="A202"/>
    <hyperlink r:id="rId165" ref="A203"/>
    <hyperlink r:id="rId166" ref="A204"/>
    <hyperlink r:id="rId167" ref="A205"/>
    <hyperlink r:id="rId168" ref="A206"/>
    <hyperlink r:id="rId169" ref="A207"/>
    <hyperlink r:id="rId170" ref="A208"/>
    <hyperlink r:id="rId171" ref="A209"/>
    <hyperlink r:id="rId172" ref="A210"/>
    <hyperlink r:id="rId173" ref="A211"/>
    <hyperlink r:id="rId174" ref="A212"/>
    <hyperlink r:id="rId175" ref="A219"/>
    <hyperlink r:id="rId176" ref="A220"/>
    <hyperlink r:id="rId177" ref="A221"/>
    <hyperlink r:id="rId178" ref="A222"/>
    <hyperlink r:id="rId179" ref="A223"/>
    <hyperlink r:id="rId180" ref="A224"/>
    <hyperlink r:id="rId181" ref="A225"/>
    <hyperlink r:id="rId182" ref="A226"/>
    <hyperlink r:id="rId183" ref="A227"/>
    <hyperlink r:id="rId184" ref="A228"/>
    <hyperlink r:id="rId185" ref="A229"/>
    <hyperlink r:id="rId186" ref="A230"/>
  </hyperlinks>
  <drawing r:id="rId18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41.5"/>
    <col hidden="1" min="13" max="13" width="12.63"/>
    <col customWidth="1" min="14" max="14" width="106.88"/>
  </cols>
  <sheetData>
    <row r="1" hidden="1" collapsed="1">
      <c r="A1" s="85" t="s">
        <v>246</v>
      </c>
      <c r="B1" s="86"/>
      <c r="C1" s="86"/>
      <c r="D1" s="88"/>
      <c r="E1" s="89"/>
      <c r="F1" s="89"/>
      <c r="G1" s="91"/>
      <c r="H1" s="91"/>
      <c r="I1" s="91"/>
      <c r="J1" s="91"/>
      <c r="K1" s="91"/>
      <c r="L1" s="91"/>
      <c r="M1" s="93"/>
      <c r="N1" s="95"/>
    </row>
    <row r="2" hidden="1" outlineLevel="1">
      <c r="A2" s="96" t="s">
        <v>89</v>
      </c>
      <c r="B2" s="98" t="s">
        <v>90</v>
      </c>
      <c r="C2" s="98" t="s">
        <v>91</v>
      </c>
      <c r="D2" s="101" t="s">
        <v>93</v>
      </c>
      <c r="E2" s="102" t="s">
        <v>94</v>
      </c>
      <c r="F2" s="102" t="s">
        <v>95</v>
      </c>
      <c r="G2" s="105" t="s">
        <v>96</v>
      </c>
      <c r="H2" s="107" t="s">
        <v>97</v>
      </c>
      <c r="I2" s="107" t="s">
        <v>104</v>
      </c>
      <c r="J2" s="105" t="s">
        <v>106</v>
      </c>
      <c r="K2" s="107" t="s">
        <v>109</v>
      </c>
      <c r="L2" s="105" t="s">
        <v>111</v>
      </c>
      <c r="M2" s="98" t="s">
        <v>114</v>
      </c>
      <c r="N2" s="101" t="s">
        <v>116</v>
      </c>
    </row>
    <row r="3" hidden="1" outlineLevel="1">
      <c r="A3" s="353" t="s">
        <v>979</v>
      </c>
      <c r="B3" s="115">
        <v>46223.0</v>
      </c>
      <c r="C3" s="118" t="str">
        <f t="shared" ref="C3:C17" si="1">IF(B3="", "", TEXT(B3, "ddd"))</f>
        <v>Mon</v>
      </c>
      <c r="D3" s="128">
        <f t="shared" ref="D3:D17" si="2">IF(E3="Yes",0.05,0)
+IF(F3="Yes",0.1,0)
+IF(G3="Yes",0.15,0)
+IF(H3="Yes",0.15,0)
+IF(I3="Yes",0.05,0)
+IF(J3="Yes",0.05,0)
+IF(K3="Yes",0.15,0)
+IF(L3="Yes",0.3,0)
</f>
        <v>1</v>
      </c>
      <c r="E3" s="131" t="s">
        <v>142</v>
      </c>
      <c r="F3" s="134" t="s">
        <v>142</v>
      </c>
      <c r="G3" s="134" t="s">
        <v>142</v>
      </c>
      <c r="H3" s="134" t="s">
        <v>142</v>
      </c>
      <c r="I3" s="134" t="s">
        <v>142</v>
      </c>
      <c r="J3" s="134" t="s">
        <v>142</v>
      </c>
      <c r="K3" s="134" t="s">
        <v>142</v>
      </c>
      <c r="L3" s="134" t="s">
        <v>142</v>
      </c>
      <c r="M3" s="136"/>
      <c r="N3" s="137"/>
    </row>
    <row r="4" hidden="1" outlineLevel="1">
      <c r="A4" s="353" t="s">
        <v>981</v>
      </c>
      <c r="B4" s="115">
        <v>46223.0</v>
      </c>
      <c r="C4" s="118" t="str">
        <f t="shared" si="1"/>
        <v>Mon</v>
      </c>
      <c r="D4" s="143">
        <f t="shared" si="2"/>
        <v>1</v>
      </c>
      <c r="E4" s="144" t="s">
        <v>142</v>
      </c>
      <c r="F4" s="134" t="s">
        <v>142</v>
      </c>
      <c r="G4" s="134" t="s">
        <v>142</v>
      </c>
      <c r="H4" s="134" t="s">
        <v>142</v>
      </c>
      <c r="I4" s="134" t="s">
        <v>142</v>
      </c>
      <c r="J4" s="134" t="s">
        <v>142</v>
      </c>
      <c r="K4" s="134" t="s">
        <v>142</v>
      </c>
      <c r="L4" s="134" t="s">
        <v>142</v>
      </c>
      <c r="M4" s="136"/>
      <c r="N4" s="131"/>
    </row>
    <row r="5" hidden="1" outlineLevel="1">
      <c r="A5" s="353" t="s">
        <v>982</v>
      </c>
      <c r="B5" s="115">
        <v>46223.0</v>
      </c>
      <c r="C5" s="118" t="str">
        <f t="shared" si="1"/>
        <v>Mon</v>
      </c>
      <c r="D5" s="128">
        <f t="shared" si="2"/>
        <v>1</v>
      </c>
      <c r="E5" s="131" t="s">
        <v>142</v>
      </c>
      <c r="F5" s="134" t="s">
        <v>142</v>
      </c>
      <c r="G5" s="134" t="s">
        <v>142</v>
      </c>
      <c r="H5" s="134" t="s">
        <v>142</v>
      </c>
      <c r="I5" s="134" t="s">
        <v>142</v>
      </c>
      <c r="J5" s="134" t="s">
        <v>142</v>
      </c>
      <c r="K5" s="134" t="s">
        <v>142</v>
      </c>
      <c r="L5" s="134" t="s">
        <v>142</v>
      </c>
      <c r="M5" s="136"/>
      <c r="N5" s="131"/>
    </row>
    <row r="6" hidden="1" outlineLevel="1">
      <c r="A6" s="353" t="s">
        <v>983</v>
      </c>
      <c r="B6" s="115">
        <v>46224.0</v>
      </c>
      <c r="C6" s="118" t="str">
        <f t="shared" si="1"/>
        <v>Tue</v>
      </c>
      <c r="D6" s="143">
        <f t="shared" si="2"/>
        <v>1</v>
      </c>
      <c r="E6" s="144" t="s">
        <v>142</v>
      </c>
      <c r="F6" s="134" t="s">
        <v>142</v>
      </c>
      <c r="G6" s="134" t="s">
        <v>142</v>
      </c>
      <c r="H6" s="134" t="s">
        <v>142</v>
      </c>
      <c r="I6" s="134" t="s">
        <v>142</v>
      </c>
      <c r="J6" s="134" t="s">
        <v>142</v>
      </c>
      <c r="K6" s="134" t="s">
        <v>142</v>
      </c>
      <c r="L6" s="134" t="s">
        <v>142</v>
      </c>
      <c r="M6" s="136"/>
      <c r="N6" s="137"/>
    </row>
    <row r="7" hidden="1" outlineLevel="1">
      <c r="A7" s="353" t="s">
        <v>984</v>
      </c>
      <c r="B7" s="115">
        <v>46224.0</v>
      </c>
      <c r="C7" s="118" t="str">
        <f t="shared" si="1"/>
        <v>Tue</v>
      </c>
      <c r="D7" s="128">
        <f t="shared" si="2"/>
        <v>1</v>
      </c>
      <c r="E7" s="131" t="s">
        <v>142</v>
      </c>
      <c r="F7" s="134" t="s">
        <v>142</v>
      </c>
      <c r="G7" s="134" t="s">
        <v>142</v>
      </c>
      <c r="H7" s="134" t="s">
        <v>142</v>
      </c>
      <c r="I7" s="134" t="s">
        <v>142</v>
      </c>
      <c r="J7" s="134" t="s">
        <v>142</v>
      </c>
      <c r="K7" s="134" t="s">
        <v>142</v>
      </c>
      <c r="L7" s="134" t="s">
        <v>142</v>
      </c>
      <c r="M7" s="136"/>
      <c r="N7" s="137"/>
    </row>
    <row r="8" hidden="1" outlineLevel="1">
      <c r="A8" s="353" t="s">
        <v>986</v>
      </c>
      <c r="B8" s="115">
        <v>46224.0</v>
      </c>
      <c r="C8" s="118" t="str">
        <f t="shared" si="1"/>
        <v>Tue</v>
      </c>
      <c r="D8" s="143">
        <f t="shared" si="2"/>
        <v>1</v>
      </c>
      <c r="E8" s="144" t="s">
        <v>142</v>
      </c>
      <c r="F8" s="134" t="s">
        <v>142</v>
      </c>
      <c r="G8" s="134" t="s">
        <v>142</v>
      </c>
      <c r="H8" s="134" t="s">
        <v>142</v>
      </c>
      <c r="I8" s="134" t="s">
        <v>142</v>
      </c>
      <c r="J8" s="134" t="s">
        <v>142</v>
      </c>
      <c r="K8" s="134" t="s">
        <v>142</v>
      </c>
      <c r="L8" s="134" t="s">
        <v>142</v>
      </c>
      <c r="M8" s="136"/>
      <c r="N8" s="137"/>
    </row>
    <row r="9" hidden="1" outlineLevel="1">
      <c r="A9" s="353" t="s">
        <v>987</v>
      </c>
      <c r="B9" s="115">
        <v>46225.0</v>
      </c>
      <c r="C9" s="118" t="str">
        <f t="shared" si="1"/>
        <v>Wed</v>
      </c>
      <c r="D9" s="128">
        <f t="shared" si="2"/>
        <v>1</v>
      </c>
      <c r="E9" s="131" t="s">
        <v>142</v>
      </c>
      <c r="F9" s="134" t="s">
        <v>142</v>
      </c>
      <c r="G9" s="134" t="s">
        <v>142</v>
      </c>
      <c r="H9" s="134" t="s">
        <v>142</v>
      </c>
      <c r="I9" s="134" t="s">
        <v>142</v>
      </c>
      <c r="J9" s="134" t="s">
        <v>142</v>
      </c>
      <c r="K9" s="134" t="s">
        <v>142</v>
      </c>
      <c r="L9" s="134" t="s">
        <v>142</v>
      </c>
      <c r="M9" s="136"/>
      <c r="N9" s="137"/>
    </row>
    <row r="10" hidden="1" outlineLevel="1">
      <c r="A10" s="353" t="s">
        <v>988</v>
      </c>
      <c r="B10" s="115">
        <v>46225.0</v>
      </c>
      <c r="C10" s="118" t="str">
        <f t="shared" si="1"/>
        <v>Wed</v>
      </c>
      <c r="D10" s="143">
        <f t="shared" si="2"/>
        <v>1</v>
      </c>
      <c r="E10" s="144" t="s">
        <v>142</v>
      </c>
      <c r="F10" s="134" t="s">
        <v>142</v>
      </c>
      <c r="G10" s="134" t="s">
        <v>142</v>
      </c>
      <c r="H10" s="134" t="s">
        <v>142</v>
      </c>
      <c r="I10" s="134" t="s">
        <v>142</v>
      </c>
      <c r="J10" s="134" t="s">
        <v>142</v>
      </c>
      <c r="K10" s="134" t="s">
        <v>142</v>
      </c>
      <c r="L10" s="134" t="s">
        <v>142</v>
      </c>
      <c r="M10" s="136"/>
      <c r="N10" s="131"/>
    </row>
    <row r="11" hidden="1" outlineLevel="1">
      <c r="A11" s="353" t="s">
        <v>989</v>
      </c>
      <c r="B11" s="115">
        <v>46225.0</v>
      </c>
      <c r="C11" s="118" t="str">
        <f t="shared" si="1"/>
        <v>Wed</v>
      </c>
      <c r="D11" s="128">
        <f t="shared" si="2"/>
        <v>1</v>
      </c>
      <c r="E11" s="131" t="s">
        <v>142</v>
      </c>
      <c r="F11" s="134" t="s">
        <v>142</v>
      </c>
      <c r="G11" s="134" t="s">
        <v>142</v>
      </c>
      <c r="H11" s="134" t="s">
        <v>142</v>
      </c>
      <c r="I11" s="134" t="s">
        <v>142</v>
      </c>
      <c r="J11" s="134" t="s">
        <v>142</v>
      </c>
      <c r="K11" s="134" t="s">
        <v>142</v>
      </c>
      <c r="L11" s="134" t="s">
        <v>142</v>
      </c>
      <c r="M11" s="136"/>
      <c r="N11" s="137"/>
    </row>
    <row r="12" hidden="1" outlineLevel="1">
      <c r="A12" s="353" t="s">
        <v>991</v>
      </c>
      <c r="B12" s="115">
        <v>46226.0</v>
      </c>
      <c r="C12" s="118" t="str">
        <f t="shared" si="1"/>
        <v>Thu</v>
      </c>
      <c r="D12" s="143">
        <f t="shared" si="2"/>
        <v>1</v>
      </c>
      <c r="E12" s="144" t="s">
        <v>142</v>
      </c>
      <c r="F12" s="134" t="s">
        <v>142</v>
      </c>
      <c r="G12" s="134" t="s">
        <v>142</v>
      </c>
      <c r="H12" s="134" t="s">
        <v>142</v>
      </c>
      <c r="I12" s="134" t="s">
        <v>142</v>
      </c>
      <c r="J12" s="134" t="s">
        <v>142</v>
      </c>
      <c r="K12" s="134" t="s">
        <v>142</v>
      </c>
      <c r="L12" s="134" t="s">
        <v>142</v>
      </c>
      <c r="M12" s="136"/>
      <c r="N12" s="131"/>
    </row>
    <row r="13" hidden="1" outlineLevel="1">
      <c r="A13" s="353" t="s">
        <v>993</v>
      </c>
      <c r="B13" s="115">
        <v>46226.0</v>
      </c>
      <c r="C13" s="118" t="str">
        <f t="shared" si="1"/>
        <v>Thu</v>
      </c>
      <c r="D13" s="128">
        <f t="shared" si="2"/>
        <v>1</v>
      </c>
      <c r="E13" s="131" t="s">
        <v>142</v>
      </c>
      <c r="F13" s="134" t="s">
        <v>142</v>
      </c>
      <c r="G13" s="134" t="s">
        <v>142</v>
      </c>
      <c r="H13" s="134" t="s">
        <v>142</v>
      </c>
      <c r="I13" s="134" t="s">
        <v>142</v>
      </c>
      <c r="J13" s="134" t="s">
        <v>142</v>
      </c>
      <c r="K13" s="134" t="s">
        <v>142</v>
      </c>
      <c r="L13" s="134" t="s">
        <v>142</v>
      </c>
      <c r="M13" s="136"/>
      <c r="N13" s="131"/>
    </row>
    <row r="14" hidden="1" outlineLevel="1">
      <c r="A14" s="353" t="s">
        <v>995</v>
      </c>
      <c r="B14" s="115">
        <v>46226.0</v>
      </c>
      <c r="C14" s="118" t="str">
        <f t="shared" si="1"/>
        <v>Thu</v>
      </c>
      <c r="D14" s="143">
        <f t="shared" si="2"/>
        <v>1</v>
      </c>
      <c r="E14" s="144" t="s">
        <v>142</v>
      </c>
      <c r="F14" s="134" t="s">
        <v>142</v>
      </c>
      <c r="G14" s="134" t="s">
        <v>142</v>
      </c>
      <c r="H14" s="134" t="s">
        <v>142</v>
      </c>
      <c r="I14" s="134" t="s">
        <v>142</v>
      </c>
      <c r="J14" s="134" t="s">
        <v>142</v>
      </c>
      <c r="K14" s="134" t="s">
        <v>142</v>
      </c>
      <c r="L14" s="134" t="s">
        <v>142</v>
      </c>
      <c r="M14" s="136"/>
      <c r="N14" s="131"/>
    </row>
    <row r="15" hidden="1" outlineLevel="1">
      <c r="A15" s="353" t="s">
        <v>997</v>
      </c>
      <c r="B15" s="115">
        <v>46229.0</v>
      </c>
      <c r="C15" s="118" t="str">
        <f t="shared" si="1"/>
        <v>Sun</v>
      </c>
      <c r="D15" s="128">
        <f t="shared" si="2"/>
        <v>1</v>
      </c>
      <c r="E15" s="131" t="s">
        <v>142</v>
      </c>
      <c r="F15" s="134" t="s">
        <v>142</v>
      </c>
      <c r="G15" s="134" t="s">
        <v>142</v>
      </c>
      <c r="H15" s="134" t="s">
        <v>142</v>
      </c>
      <c r="I15" s="134" t="s">
        <v>142</v>
      </c>
      <c r="J15" s="134" t="s">
        <v>142</v>
      </c>
      <c r="K15" s="134" t="s">
        <v>142</v>
      </c>
      <c r="L15" s="134" t="s">
        <v>142</v>
      </c>
      <c r="M15" s="136"/>
      <c r="N15" s="137"/>
    </row>
    <row r="16" hidden="1" outlineLevel="1">
      <c r="A16" s="353" t="s">
        <v>999</v>
      </c>
      <c r="B16" s="115">
        <v>46229.0</v>
      </c>
      <c r="C16" s="118" t="str">
        <f t="shared" si="1"/>
        <v>Sun</v>
      </c>
      <c r="D16" s="143">
        <f t="shared" si="2"/>
        <v>1</v>
      </c>
      <c r="E16" s="144" t="s">
        <v>142</v>
      </c>
      <c r="F16" s="134" t="s">
        <v>142</v>
      </c>
      <c r="G16" s="134" t="s">
        <v>142</v>
      </c>
      <c r="H16" s="134" t="s">
        <v>142</v>
      </c>
      <c r="I16" s="134" t="s">
        <v>142</v>
      </c>
      <c r="J16" s="134" t="s">
        <v>142</v>
      </c>
      <c r="K16" s="134" t="s">
        <v>142</v>
      </c>
      <c r="L16" s="134" t="s">
        <v>142</v>
      </c>
      <c r="M16" s="136"/>
      <c r="N16" s="137"/>
    </row>
    <row r="17" ht="15.0" hidden="1" customHeight="1" outlineLevel="1">
      <c r="A17" s="353" t="s">
        <v>1002</v>
      </c>
      <c r="B17" s="115">
        <v>46229.0</v>
      </c>
      <c r="C17" s="118" t="str">
        <f t="shared" si="1"/>
        <v>Sun</v>
      </c>
      <c r="D17" s="128">
        <f t="shared" si="2"/>
        <v>1</v>
      </c>
      <c r="E17" s="131" t="s">
        <v>142</v>
      </c>
      <c r="F17" s="134" t="s">
        <v>142</v>
      </c>
      <c r="G17" s="134" t="s">
        <v>142</v>
      </c>
      <c r="H17" s="134" t="s">
        <v>142</v>
      </c>
      <c r="I17" s="134" t="s">
        <v>142</v>
      </c>
      <c r="J17" s="134" t="s">
        <v>142</v>
      </c>
      <c r="K17" s="134" t="s">
        <v>142</v>
      </c>
      <c r="L17" s="134" t="s">
        <v>142</v>
      </c>
      <c r="M17" s="136"/>
      <c r="N17" s="131"/>
    </row>
    <row r="18" hidden="1" outlineLevel="1">
      <c r="B18" s="215"/>
      <c r="C18" s="216" t="s">
        <v>199</v>
      </c>
      <c r="D18" s="217">
        <f>AVERAGE(D3:D17)</f>
        <v>1</v>
      </c>
      <c r="E18" s="218"/>
      <c r="L18" s="216" t="s">
        <v>199</v>
      </c>
      <c r="M18" s="217">
        <f>SUM(M3:M17)/75*0.1</f>
        <v>0</v>
      </c>
    </row>
    <row r="19" hidden="1" collapsed="1">
      <c r="A19" s="85" t="s">
        <v>286</v>
      </c>
      <c r="B19" s="86"/>
      <c r="C19" s="86"/>
      <c r="D19" s="88"/>
      <c r="E19" s="89"/>
      <c r="F19" s="89"/>
      <c r="G19" s="91"/>
      <c r="H19" s="91"/>
      <c r="I19" s="91"/>
      <c r="J19" s="91"/>
      <c r="K19" s="91"/>
      <c r="L19" s="91"/>
      <c r="M19" s="93"/>
      <c r="N19" s="95"/>
    </row>
    <row r="20" hidden="1" outlineLevel="1">
      <c r="A20" s="96" t="s">
        <v>89</v>
      </c>
      <c r="B20" s="98" t="s">
        <v>90</v>
      </c>
      <c r="C20" s="98" t="s">
        <v>91</v>
      </c>
      <c r="D20" s="101" t="s">
        <v>93</v>
      </c>
      <c r="E20" s="102" t="s">
        <v>94</v>
      </c>
      <c r="F20" s="102" t="s">
        <v>95</v>
      </c>
      <c r="G20" s="105" t="s">
        <v>96</v>
      </c>
      <c r="H20" s="107" t="s">
        <v>97</v>
      </c>
      <c r="I20" s="107" t="s">
        <v>104</v>
      </c>
      <c r="J20" s="105" t="s">
        <v>106</v>
      </c>
      <c r="K20" s="107" t="s">
        <v>109</v>
      </c>
      <c r="L20" s="105" t="s">
        <v>111</v>
      </c>
      <c r="M20" s="98" t="s">
        <v>114</v>
      </c>
      <c r="N20" s="101" t="s">
        <v>116</v>
      </c>
    </row>
    <row r="21" hidden="1" outlineLevel="1">
      <c r="A21" s="113" t="s">
        <v>1007</v>
      </c>
      <c r="B21" s="309">
        <v>46230.0</v>
      </c>
      <c r="C21" s="118" t="str">
        <f t="shared" ref="C21:C35" si="3">IF(B21="", "", TEXT(B21, "ddd"))</f>
        <v>Mon</v>
      </c>
      <c r="D21" s="128">
        <f t="shared" ref="D21:D35" si="4">IF(E21="Yes",0.05,0)
+IF(F21="Yes",0.1,0)
+IF(G21="Yes",0.15,0)
+IF(H21="Yes",0.15,0)
+IF(I21="Yes",0.05,0)
+IF(J21="Yes",0.05,0)
+IF(K21="Yes",0.15,0)
+IF(L21="Yes",0.3,0)
</f>
        <v>1</v>
      </c>
      <c r="E21" s="131" t="s">
        <v>142</v>
      </c>
      <c r="F21" s="134" t="s">
        <v>142</v>
      </c>
      <c r="G21" s="134" t="s">
        <v>142</v>
      </c>
      <c r="H21" s="134" t="s">
        <v>142</v>
      </c>
      <c r="I21" s="134" t="s">
        <v>142</v>
      </c>
      <c r="J21" s="134" t="s">
        <v>142</v>
      </c>
      <c r="K21" s="134" t="s">
        <v>142</v>
      </c>
      <c r="L21" s="134" t="s">
        <v>142</v>
      </c>
      <c r="M21" s="136"/>
      <c r="N21" s="137"/>
    </row>
    <row r="22" hidden="1" outlineLevel="1">
      <c r="A22" s="113" t="s">
        <v>1010</v>
      </c>
      <c r="B22" s="309">
        <v>46230.0</v>
      </c>
      <c r="C22" s="118" t="str">
        <f t="shared" si="3"/>
        <v>Mon</v>
      </c>
      <c r="D22" s="143">
        <f t="shared" si="4"/>
        <v>1</v>
      </c>
      <c r="E22" s="144" t="s">
        <v>142</v>
      </c>
      <c r="F22" s="134" t="s">
        <v>142</v>
      </c>
      <c r="G22" s="134" t="s">
        <v>142</v>
      </c>
      <c r="H22" s="134" t="s">
        <v>142</v>
      </c>
      <c r="I22" s="134" t="s">
        <v>142</v>
      </c>
      <c r="J22" s="134" t="s">
        <v>142</v>
      </c>
      <c r="K22" s="134" t="s">
        <v>142</v>
      </c>
      <c r="L22" s="134" t="s">
        <v>142</v>
      </c>
      <c r="M22" s="136"/>
      <c r="N22" s="131"/>
    </row>
    <row r="23" hidden="1" outlineLevel="1">
      <c r="A23" s="113" t="s">
        <v>1012</v>
      </c>
      <c r="B23" s="309">
        <v>46230.0</v>
      </c>
      <c r="C23" s="118" t="str">
        <f t="shared" si="3"/>
        <v>Mon</v>
      </c>
      <c r="D23" s="128">
        <f t="shared" si="4"/>
        <v>1</v>
      </c>
      <c r="E23" s="131" t="s">
        <v>142</v>
      </c>
      <c r="F23" s="134" t="s">
        <v>142</v>
      </c>
      <c r="G23" s="134" t="s">
        <v>142</v>
      </c>
      <c r="H23" s="134" t="s">
        <v>142</v>
      </c>
      <c r="I23" s="134" t="s">
        <v>142</v>
      </c>
      <c r="J23" s="134" t="s">
        <v>142</v>
      </c>
      <c r="K23" s="134" t="s">
        <v>142</v>
      </c>
      <c r="L23" s="134" t="s">
        <v>142</v>
      </c>
      <c r="M23" s="136"/>
      <c r="N23" s="131"/>
    </row>
    <row r="24" hidden="1" outlineLevel="1">
      <c r="A24" s="113" t="s">
        <v>1014</v>
      </c>
      <c r="B24" s="309">
        <v>46231.0</v>
      </c>
      <c r="C24" s="118" t="str">
        <f t="shared" si="3"/>
        <v>Tue</v>
      </c>
      <c r="D24" s="143">
        <f t="shared" si="4"/>
        <v>1</v>
      </c>
      <c r="E24" s="144" t="s">
        <v>142</v>
      </c>
      <c r="F24" s="134" t="s">
        <v>142</v>
      </c>
      <c r="G24" s="134" t="s">
        <v>142</v>
      </c>
      <c r="H24" s="134" t="s">
        <v>142</v>
      </c>
      <c r="I24" s="134" t="s">
        <v>142</v>
      </c>
      <c r="J24" s="134" t="s">
        <v>142</v>
      </c>
      <c r="K24" s="134" t="s">
        <v>142</v>
      </c>
      <c r="L24" s="134" t="s">
        <v>142</v>
      </c>
      <c r="M24" s="136"/>
      <c r="N24" s="137"/>
    </row>
    <row r="25" hidden="1" outlineLevel="1">
      <c r="A25" s="438" t="s">
        <v>1016</v>
      </c>
      <c r="B25" s="309">
        <v>46231.0</v>
      </c>
      <c r="C25" s="118" t="str">
        <f t="shared" si="3"/>
        <v>Tue</v>
      </c>
      <c r="D25" s="128">
        <f t="shared" si="4"/>
        <v>0.45</v>
      </c>
      <c r="E25" s="131" t="s">
        <v>142</v>
      </c>
      <c r="F25" s="134" t="s">
        <v>142</v>
      </c>
      <c r="G25" s="134" t="s">
        <v>142</v>
      </c>
      <c r="H25" s="134" t="s">
        <v>142</v>
      </c>
      <c r="I25" s="134" t="s">
        <v>945</v>
      </c>
      <c r="J25" s="134" t="s">
        <v>945</v>
      </c>
      <c r="K25" s="134" t="s">
        <v>945</v>
      </c>
      <c r="L25" s="134" t="s">
        <v>945</v>
      </c>
      <c r="M25" s="136"/>
      <c r="N25" s="131" t="s">
        <v>1018</v>
      </c>
    </row>
    <row r="26" hidden="1" outlineLevel="1">
      <c r="A26" s="113" t="s">
        <v>1019</v>
      </c>
      <c r="B26" s="309">
        <v>46231.0</v>
      </c>
      <c r="C26" s="118" t="str">
        <f t="shared" si="3"/>
        <v>Tue</v>
      </c>
      <c r="D26" s="143">
        <f t="shared" si="4"/>
        <v>1</v>
      </c>
      <c r="E26" s="144" t="s">
        <v>142</v>
      </c>
      <c r="F26" s="134" t="s">
        <v>142</v>
      </c>
      <c r="G26" s="134" t="s">
        <v>142</v>
      </c>
      <c r="H26" s="134" t="s">
        <v>142</v>
      </c>
      <c r="I26" s="134" t="s">
        <v>142</v>
      </c>
      <c r="J26" s="134" t="s">
        <v>142</v>
      </c>
      <c r="K26" s="134" t="s">
        <v>142</v>
      </c>
      <c r="L26" s="134" t="s">
        <v>142</v>
      </c>
      <c r="M26" s="136"/>
      <c r="N26" s="137"/>
    </row>
    <row r="27" hidden="1" outlineLevel="1">
      <c r="A27" s="353" t="s">
        <v>1021</v>
      </c>
      <c r="B27" s="309">
        <v>46232.0</v>
      </c>
      <c r="C27" s="118" t="str">
        <f t="shared" si="3"/>
        <v>Wed</v>
      </c>
      <c r="D27" s="128">
        <f t="shared" si="4"/>
        <v>1</v>
      </c>
      <c r="E27" s="131" t="s">
        <v>142</v>
      </c>
      <c r="F27" s="134" t="s">
        <v>142</v>
      </c>
      <c r="G27" s="134" t="s">
        <v>142</v>
      </c>
      <c r="H27" s="134" t="s">
        <v>142</v>
      </c>
      <c r="I27" s="134" t="s">
        <v>142</v>
      </c>
      <c r="J27" s="134" t="s">
        <v>142</v>
      </c>
      <c r="K27" s="134" t="s">
        <v>142</v>
      </c>
      <c r="L27" s="134" t="s">
        <v>142</v>
      </c>
      <c r="M27" s="136"/>
      <c r="N27" s="137"/>
    </row>
    <row r="28" hidden="1" outlineLevel="1">
      <c r="A28" s="353" t="s">
        <v>1022</v>
      </c>
      <c r="B28" s="309">
        <v>46232.0</v>
      </c>
      <c r="C28" s="118" t="str">
        <f t="shared" si="3"/>
        <v>Wed</v>
      </c>
      <c r="D28" s="143">
        <f t="shared" si="4"/>
        <v>1</v>
      </c>
      <c r="E28" s="144" t="s">
        <v>142</v>
      </c>
      <c r="F28" s="134" t="s">
        <v>142</v>
      </c>
      <c r="G28" s="134" t="s">
        <v>142</v>
      </c>
      <c r="H28" s="134" t="s">
        <v>142</v>
      </c>
      <c r="I28" s="134" t="s">
        <v>142</v>
      </c>
      <c r="J28" s="134" t="s">
        <v>142</v>
      </c>
      <c r="K28" s="134" t="s">
        <v>142</v>
      </c>
      <c r="L28" s="134" t="s">
        <v>142</v>
      </c>
      <c r="M28" s="136"/>
      <c r="N28" s="131"/>
    </row>
    <row r="29" hidden="1" outlineLevel="1">
      <c r="A29" s="353" t="s">
        <v>1024</v>
      </c>
      <c r="B29" s="309">
        <v>46232.0</v>
      </c>
      <c r="C29" s="118" t="str">
        <f t="shared" si="3"/>
        <v>Wed</v>
      </c>
      <c r="D29" s="128">
        <f t="shared" si="4"/>
        <v>1</v>
      </c>
      <c r="E29" s="131" t="s">
        <v>142</v>
      </c>
      <c r="F29" s="134" t="s">
        <v>142</v>
      </c>
      <c r="G29" s="134" t="s">
        <v>142</v>
      </c>
      <c r="H29" s="134" t="s">
        <v>142</v>
      </c>
      <c r="I29" s="134" t="s">
        <v>142</v>
      </c>
      <c r="J29" s="134" t="s">
        <v>142</v>
      </c>
      <c r="K29" s="134" t="s">
        <v>142</v>
      </c>
      <c r="L29" s="134" t="s">
        <v>142</v>
      </c>
      <c r="M29" s="136"/>
      <c r="N29" s="131"/>
    </row>
    <row r="30" hidden="1" outlineLevel="1">
      <c r="A30" s="353" t="s">
        <v>1025</v>
      </c>
      <c r="B30" s="309">
        <v>46235.0</v>
      </c>
      <c r="C30" s="118" t="str">
        <f t="shared" si="3"/>
        <v>Sat</v>
      </c>
      <c r="D30" s="143">
        <f t="shared" si="4"/>
        <v>1</v>
      </c>
      <c r="E30" s="144" t="s">
        <v>142</v>
      </c>
      <c r="F30" s="134" t="s">
        <v>142</v>
      </c>
      <c r="G30" s="134" t="s">
        <v>142</v>
      </c>
      <c r="H30" s="134" t="s">
        <v>142</v>
      </c>
      <c r="I30" s="134" t="s">
        <v>142</v>
      </c>
      <c r="J30" s="134" t="s">
        <v>142</v>
      </c>
      <c r="K30" s="134" t="s">
        <v>142</v>
      </c>
      <c r="L30" s="134" t="s">
        <v>142</v>
      </c>
      <c r="M30" s="136"/>
      <c r="N30" s="131"/>
    </row>
    <row r="31" hidden="1" outlineLevel="1">
      <c r="A31" s="353" t="s">
        <v>1026</v>
      </c>
      <c r="B31" s="309">
        <v>46235.0</v>
      </c>
      <c r="C31" s="118" t="str">
        <f t="shared" si="3"/>
        <v>Sat</v>
      </c>
      <c r="D31" s="128">
        <f t="shared" si="4"/>
        <v>1</v>
      </c>
      <c r="E31" s="131" t="s">
        <v>142</v>
      </c>
      <c r="F31" s="134" t="s">
        <v>142</v>
      </c>
      <c r="G31" s="134" t="s">
        <v>142</v>
      </c>
      <c r="H31" s="134" t="s">
        <v>142</v>
      </c>
      <c r="I31" s="134" t="s">
        <v>142</v>
      </c>
      <c r="J31" s="134" t="s">
        <v>142</v>
      </c>
      <c r="K31" s="134" t="s">
        <v>142</v>
      </c>
      <c r="L31" s="134" t="s">
        <v>142</v>
      </c>
      <c r="M31" s="136"/>
      <c r="N31" s="131"/>
    </row>
    <row r="32" hidden="1" outlineLevel="1">
      <c r="A32" s="353" t="s">
        <v>1028</v>
      </c>
      <c r="B32" s="309">
        <v>46235.0</v>
      </c>
      <c r="C32" s="118" t="str">
        <f t="shared" si="3"/>
        <v>Sat</v>
      </c>
      <c r="D32" s="143">
        <f t="shared" si="4"/>
        <v>1</v>
      </c>
      <c r="E32" s="144" t="s">
        <v>142</v>
      </c>
      <c r="F32" s="134" t="s">
        <v>142</v>
      </c>
      <c r="G32" s="134" t="s">
        <v>142</v>
      </c>
      <c r="H32" s="134" t="s">
        <v>142</v>
      </c>
      <c r="I32" s="134" t="s">
        <v>142</v>
      </c>
      <c r="J32" s="134" t="s">
        <v>142</v>
      </c>
      <c r="K32" s="134" t="s">
        <v>142</v>
      </c>
      <c r="L32" s="134" t="s">
        <v>142</v>
      </c>
      <c r="M32" s="136"/>
      <c r="N32" s="131"/>
    </row>
    <row r="33" hidden="1" outlineLevel="1">
      <c r="A33" s="353" t="s">
        <v>1029</v>
      </c>
      <c r="B33" s="270"/>
      <c r="C33" s="118" t="str">
        <f t="shared" si="3"/>
        <v/>
      </c>
      <c r="D33" s="128">
        <f t="shared" si="4"/>
        <v>1</v>
      </c>
      <c r="E33" s="131" t="s">
        <v>142</v>
      </c>
      <c r="F33" s="134" t="s">
        <v>142</v>
      </c>
      <c r="G33" s="134" t="s">
        <v>142</v>
      </c>
      <c r="H33" s="134" t="s">
        <v>142</v>
      </c>
      <c r="I33" s="134" t="s">
        <v>142</v>
      </c>
      <c r="J33" s="134" t="s">
        <v>142</v>
      </c>
      <c r="K33" s="134" t="s">
        <v>142</v>
      </c>
      <c r="L33" s="134" t="s">
        <v>142</v>
      </c>
      <c r="M33" s="136"/>
      <c r="N33" s="131"/>
    </row>
    <row r="34" hidden="1" outlineLevel="1">
      <c r="A34" s="353" t="s">
        <v>1031</v>
      </c>
      <c r="B34" s="270"/>
      <c r="C34" s="118" t="str">
        <f t="shared" si="3"/>
        <v/>
      </c>
      <c r="D34" s="143">
        <f t="shared" si="4"/>
        <v>1</v>
      </c>
      <c r="E34" s="144" t="s">
        <v>142</v>
      </c>
      <c r="F34" s="134" t="s">
        <v>142</v>
      </c>
      <c r="G34" s="134" t="s">
        <v>142</v>
      </c>
      <c r="H34" s="134" t="s">
        <v>142</v>
      </c>
      <c r="I34" s="134" t="s">
        <v>142</v>
      </c>
      <c r="J34" s="134" t="s">
        <v>142</v>
      </c>
      <c r="K34" s="134" t="s">
        <v>142</v>
      </c>
      <c r="L34" s="134" t="s">
        <v>142</v>
      </c>
      <c r="M34" s="136"/>
      <c r="N34" s="131"/>
    </row>
    <row r="35" ht="15.0" hidden="1" customHeight="1" outlineLevel="1">
      <c r="A35" s="353" t="s">
        <v>1033</v>
      </c>
      <c r="B35" s="270"/>
      <c r="C35" s="118" t="str">
        <f t="shared" si="3"/>
        <v/>
      </c>
      <c r="D35" s="128">
        <f t="shared" si="4"/>
        <v>1</v>
      </c>
      <c r="E35" s="131" t="s">
        <v>142</v>
      </c>
      <c r="F35" s="134" t="s">
        <v>142</v>
      </c>
      <c r="G35" s="134" t="s">
        <v>142</v>
      </c>
      <c r="H35" s="134" t="s">
        <v>142</v>
      </c>
      <c r="I35" s="134" t="s">
        <v>142</v>
      </c>
      <c r="J35" s="134" t="s">
        <v>142</v>
      </c>
      <c r="K35" s="134" t="s">
        <v>142</v>
      </c>
      <c r="L35" s="134" t="s">
        <v>142</v>
      </c>
      <c r="M35" s="136"/>
      <c r="N35" s="131"/>
    </row>
    <row r="36" hidden="1" outlineLevel="1">
      <c r="B36" s="215"/>
      <c r="C36" s="216" t="s">
        <v>199</v>
      </c>
      <c r="D36" s="217">
        <f>AVERAGE(D21:D35)</f>
        <v>0.9633333333</v>
      </c>
      <c r="E36" s="218"/>
      <c r="L36" s="216" t="s">
        <v>199</v>
      </c>
      <c r="M36" s="217">
        <f>SUM(M21:M35)/75*0.1</f>
        <v>0</v>
      </c>
    </row>
    <row r="37" hidden="1" collapsed="1">
      <c r="A37" s="85" t="s">
        <v>315</v>
      </c>
      <c r="B37" s="86"/>
      <c r="C37" s="86"/>
      <c r="D37" s="88"/>
      <c r="E37" s="89"/>
      <c r="F37" s="89"/>
      <c r="G37" s="91"/>
      <c r="H37" s="91"/>
      <c r="I37" s="91"/>
      <c r="J37" s="91"/>
      <c r="K37" s="91"/>
      <c r="L37" s="91"/>
      <c r="M37" s="93"/>
      <c r="N37" s="95"/>
    </row>
    <row r="38" hidden="1" outlineLevel="1">
      <c r="A38" s="96" t="s">
        <v>89</v>
      </c>
      <c r="B38" s="98" t="s">
        <v>90</v>
      </c>
      <c r="C38" s="98" t="s">
        <v>91</v>
      </c>
      <c r="D38" s="101" t="s">
        <v>93</v>
      </c>
      <c r="E38" s="102" t="s">
        <v>94</v>
      </c>
      <c r="F38" s="102" t="s">
        <v>95</v>
      </c>
      <c r="G38" s="105" t="s">
        <v>96</v>
      </c>
      <c r="H38" s="107" t="s">
        <v>97</v>
      </c>
      <c r="I38" s="107" t="s">
        <v>104</v>
      </c>
      <c r="J38" s="105" t="s">
        <v>106</v>
      </c>
      <c r="K38" s="107" t="s">
        <v>109</v>
      </c>
      <c r="L38" s="105" t="s">
        <v>111</v>
      </c>
      <c r="M38" s="98" t="s">
        <v>114</v>
      </c>
      <c r="N38" s="101" t="s">
        <v>116</v>
      </c>
    </row>
    <row r="39" hidden="1" outlineLevel="1">
      <c r="A39" s="113" t="s">
        <v>1037</v>
      </c>
      <c r="B39" s="309">
        <v>46237.0</v>
      </c>
      <c r="C39" s="118" t="str">
        <f t="shared" ref="C39:C53" si="5">IF(B39="", "", TEXT(B39, "ddd"))</f>
        <v>Mon</v>
      </c>
      <c r="D39" s="128">
        <f t="shared" ref="D39:D53" si="6">IF(E39="Yes",0.05,0)
+IF(F39="Yes",0.1,0)
+IF(G39="Yes",0.15,0)
+IF(H39="Yes",0.15,0)
+IF(I39="Yes",0.05,0)
+IF(J39="Yes",0.05,0)
+IF(K39="Yes",0.15,0)
+IF(L39="Yes",0.3,0)
</f>
        <v>1</v>
      </c>
      <c r="E39" s="131" t="s">
        <v>142</v>
      </c>
      <c r="F39" s="134" t="s">
        <v>142</v>
      </c>
      <c r="G39" s="134" t="s">
        <v>142</v>
      </c>
      <c r="H39" s="134" t="s">
        <v>142</v>
      </c>
      <c r="I39" s="134" t="s">
        <v>142</v>
      </c>
      <c r="J39" s="134" t="s">
        <v>142</v>
      </c>
      <c r="K39" s="134" t="s">
        <v>142</v>
      </c>
      <c r="L39" s="134" t="s">
        <v>142</v>
      </c>
      <c r="M39" s="136"/>
      <c r="N39" s="137"/>
    </row>
    <row r="40" hidden="1" outlineLevel="1">
      <c r="A40" s="113" t="s">
        <v>1040</v>
      </c>
      <c r="B40" s="309">
        <v>46237.0</v>
      </c>
      <c r="C40" s="118" t="str">
        <f t="shared" si="5"/>
        <v>Mon</v>
      </c>
      <c r="D40" s="143">
        <f t="shared" si="6"/>
        <v>1</v>
      </c>
      <c r="E40" s="144" t="s">
        <v>142</v>
      </c>
      <c r="F40" s="134" t="s">
        <v>142</v>
      </c>
      <c r="G40" s="134" t="s">
        <v>142</v>
      </c>
      <c r="H40" s="134" t="s">
        <v>142</v>
      </c>
      <c r="I40" s="134" t="s">
        <v>142</v>
      </c>
      <c r="J40" s="134" t="s">
        <v>142</v>
      </c>
      <c r="K40" s="134" t="s">
        <v>142</v>
      </c>
      <c r="L40" s="134" t="s">
        <v>142</v>
      </c>
      <c r="M40" s="136"/>
      <c r="N40" s="131"/>
    </row>
    <row r="41" hidden="1" outlineLevel="1">
      <c r="A41" s="113" t="s">
        <v>1043</v>
      </c>
      <c r="B41" s="309">
        <v>46237.0</v>
      </c>
      <c r="C41" s="118" t="str">
        <f t="shared" si="5"/>
        <v>Mon</v>
      </c>
      <c r="D41" s="128">
        <f t="shared" si="6"/>
        <v>1</v>
      </c>
      <c r="E41" s="131" t="s">
        <v>142</v>
      </c>
      <c r="F41" s="134" t="s">
        <v>142</v>
      </c>
      <c r="G41" s="134" t="s">
        <v>142</v>
      </c>
      <c r="H41" s="134" t="s">
        <v>142</v>
      </c>
      <c r="I41" s="134" t="s">
        <v>142</v>
      </c>
      <c r="J41" s="134" t="s">
        <v>142</v>
      </c>
      <c r="K41" s="134" t="s">
        <v>142</v>
      </c>
      <c r="L41" s="134" t="s">
        <v>142</v>
      </c>
      <c r="M41" s="136"/>
      <c r="N41" s="131"/>
    </row>
    <row r="42" hidden="1" outlineLevel="1">
      <c r="A42" s="113" t="s">
        <v>1045</v>
      </c>
      <c r="B42" s="309">
        <v>46238.0</v>
      </c>
      <c r="C42" s="118" t="str">
        <f t="shared" si="5"/>
        <v>Tue</v>
      </c>
      <c r="D42" s="143">
        <f t="shared" si="6"/>
        <v>1</v>
      </c>
      <c r="E42" s="144" t="s">
        <v>142</v>
      </c>
      <c r="F42" s="134" t="s">
        <v>142</v>
      </c>
      <c r="G42" s="134" t="s">
        <v>142</v>
      </c>
      <c r="H42" s="134" t="s">
        <v>142</v>
      </c>
      <c r="I42" s="134" t="s">
        <v>142</v>
      </c>
      <c r="J42" s="134" t="s">
        <v>142</v>
      </c>
      <c r="K42" s="134" t="s">
        <v>142</v>
      </c>
      <c r="L42" s="134" t="s">
        <v>142</v>
      </c>
      <c r="M42" s="136"/>
      <c r="N42" s="131"/>
    </row>
    <row r="43" hidden="1" outlineLevel="1">
      <c r="A43" s="113" t="s">
        <v>1047</v>
      </c>
      <c r="B43" s="309">
        <v>46238.0</v>
      </c>
      <c r="C43" s="118" t="str">
        <f t="shared" si="5"/>
        <v>Tue</v>
      </c>
      <c r="D43" s="128">
        <f t="shared" si="6"/>
        <v>1</v>
      </c>
      <c r="E43" s="131" t="s">
        <v>142</v>
      </c>
      <c r="F43" s="134" t="s">
        <v>142</v>
      </c>
      <c r="G43" s="134" t="s">
        <v>142</v>
      </c>
      <c r="H43" s="134" t="s">
        <v>142</v>
      </c>
      <c r="I43" s="134" t="s">
        <v>142</v>
      </c>
      <c r="J43" s="134" t="s">
        <v>142</v>
      </c>
      <c r="K43" s="134" t="s">
        <v>142</v>
      </c>
      <c r="L43" s="134" t="s">
        <v>142</v>
      </c>
      <c r="M43" s="136"/>
      <c r="N43" s="131"/>
    </row>
    <row r="44" hidden="1" outlineLevel="1">
      <c r="A44" s="113" t="s">
        <v>1049</v>
      </c>
      <c r="B44" s="309">
        <v>46238.0</v>
      </c>
      <c r="C44" s="118" t="str">
        <f t="shared" si="5"/>
        <v>Tue</v>
      </c>
      <c r="D44" s="143">
        <f t="shared" si="6"/>
        <v>1</v>
      </c>
      <c r="E44" s="144" t="s">
        <v>142</v>
      </c>
      <c r="F44" s="134" t="s">
        <v>142</v>
      </c>
      <c r="G44" s="134" t="s">
        <v>142</v>
      </c>
      <c r="H44" s="134" t="s">
        <v>142</v>
      </c>
      <c r="I44" s="134" t="s">
        <v>142</v>
      </c>
      <c r="J44" s="134" t="s">
        <v>142</v>
      </c>
      <c r="K44" s="134" t="s">
        <v>142</v>
      </c>
      <c r="L44" s="134" t="s">
        <v>142</v>
      </c>
      <c r="M44" s="136"/>
      <c r="N44" s="131"/>
    </row>
    <row r="45" hidden="1" outlineLevel="1">
      <c r="A45" s="113" t="s">
        <v>1051</v>
      </c>
      <c r="B45" s="309">
        <v>46239.0</v>
      </c>
      <c r="C45" s="118" t="str">
        <f t="shared" si="5"/>
        <v>Wed</v>
      </c>
      <c r="D45" s="128">
        <f t="shared" si="6"/>
        <v>1</v>
      </c>
      <c r="E45" s="131" t="s">
        <v>142</v>
      </c>
      <c r="F45" s="134" t="s">
        <v>142</v>
      </c>
      <c r="G45" s="134" t="s">
        <v>142</v>
      </c>
      <c r="H45" s="134" t="s">
        <v>142</v>
      </c>
      <c r="I45" s="134" t="s">
        <v>142</v>
      </c>
      <c r="J45" s="134" t="s">
        <v>142</v>
      </c>
      <c r="K45" s="134" t="s">
        <v>142</v>
      </c>
      <c r="L45" s="134" t="s">
        <v>142</v>
      </c>
      <c r="M45" s="136"/>
      <c r="N45" s="131"/>
    </row>
    <row r="46" hidden="1" outlineLevel="1">
      <c r="A46" s="113" t="s">
        <v>1053</v>
      </c>
      <c r="B46" s="309">
        <v>46239.0</v>
      </c>
      <c r="C46" s="118" t="str">
        <f t="shared" si="5"/>
        <v>Wed</v>
      </c>
      <c r="D46" s="143">
        <f t="shared" si="6"/>
        <v>1</v>
      </c>
      <c r="E46" s="144" t="s">
        <v>142</v>
      </c>
      <c r="F46" s="134" t="s">
        <v>142</v>
      </c>
      <c r="G46" s="134" t="s">
        <v>142</v>
      </c>
      <c r="H46" s="134" t="s">
        <v>142</v>
      </c>
      <c r="I46" s="134" t="s">
        <v>142</v>
      </c>
      <c r="J46" s="134" t="s">
        <v>142</v>
      </c>
      <c r="K46" s="134" t="s">
        <v>142</v>
      </c>
      <c r="L46" s="134" t="s">
        <v>142</v>
      </c>
      <c r="M46" s="136"/>
      <c r="N46" s="131"/>
    </row>
    <row r="47" hidden="1" outlineLevel="1">
      <c r="A47" s="113" t="s">
        <v>1054</v>
      </c>
      <c r="B47" s="309">
        <v>46239.0</v>
      </c>
      <c r="C47" s="118" t="str">
        <f t="shared" si="5"/>
        <v>Wed</v>
      </c>
      <c r="D47" s="128">
        <f t="shared" si="6"/>
        <v>1</v>
      </c>
      <c r="E47" s="131" t="s">
        <v>142</v>
      </c>
      <c r="F47" s="134" t="s">
        <v>142</v>
      </c>
      <c r="G47" s="134" t="s">
        <v>142</v>
      </c>
      <c r="H47" s="134" t="s">
        <v>142</v>
      </c>
      <c r="I47" s="134" t="s">
        <v>142</v>
      </c>
      <c r="J47" s="134" t="s">
        <v>142</v>
      </c>
      <c r="K47" s="134" t="s">
        <v>142</v>
      </c>
      <c r="L47" s="134" t="s">
        <v>142</v>
      </c>
      <c r="M47" s="136"/>
      <c r="N47" s="131"/>
    </row>
    <row r="48" hidden="1" outlineLevel="1">
      <c r="A48" s="113" t="s">
        <v>1055</v>
      </c>
      <c r="B48" s="309">
        <v>46240.0</v>
      </c>
      <c r="C48" s="118" t="str">
        <f t="shared" si="5"/>
        <v>Thu</v>
      </c>
      <c r="D48" s="143">
        <f t="shared" si="6"/>
        <v>1</v>
      </c>
      <c r="E48" s="144" t="s">
        <v>142</v>
      </c>
      <c r="F48" s="134" t="s">
        <v>142</v>
      </c>
      <c r="G48" s="134" t="s">
        <v>142</v>
      </c>
      <c r="H48" s="134" t="s">
        <v>142</v>
      </c>
      <c r="I48" s="134" t="s">
        <v>142</v>
      </c>
      <c r="J48" s="134" t="s">
        <v>142</v>
      </c>
      <c r="K48" s="134" t="s">
        <v>142</v>
      </c>
      <c r="L48" s="134" t="s">
        <v>142</v>
      </c>
      <c r="M48" s="136"/>
      <c r="N48" s="131"/>
    </row>
    <row r="49" hidden="1" outlineLevel="1">
      <c r="A49" s="113" t="s">
        <v>1057</v>
      </c>
      <c r="B49" s="309">
        <v>46240.0</v>
      </c>
      <c r="C49" s="118" t="str">
        <f t="shared" si="5"/>
        <v>Thu</v>
      </c>
      <c r="D49" s="128">
        <f t="shared" si="6"/>
        <v>1</v>
      </c>
      <c r="E49" s="131" t="s">
        <v>142</v>
      </c>
      <c r="F49" s="134" t="s">
        <v>142</v>
      </c>
      <c r="G49" s="134" t="s">
        <v>142</v>
      </c>
      <c r="H49" s="134" t="s">
        <v>142</v>
      </c>
      <c r="I49" s="134" t="s">
        <v>142</v>
      </c>
      <c r="J49" s="134" t="s">
        <v>142</v>
      </c>
      <c r="K49" s="134" t="s">
        <v>142</v>
      </c>
      <c r="L49" s="134" t="s">
        <v>142</v>
      </c>
      <c r="M49" s="136"/>
      <c r="N49" s="131"/>
    </row>
    <row r="50" hidden="1" outlineLevel="1">
      <c r="A50" s="113" t="s">
        <v>1058</v>
      </c>
      <c r="B50" s="309">
        <v>46240.0</v>
      </c>
      <c r="C50" s="118" t="str">
        <f t="shared" si="5"/>
        <v>Thu</v>
      </c>
      <c r="D50" s="143">
        <f t="shared" si="6"/>
        <v>1</v>
      </c>
      <c r="E50" s="144" t="s">
        <v>142</v>
      </c>
      <c r="F50" s="134" t="s">
        <v>142</v>
      </c>
      <c r="G50" s="134" t="s">
        <v>142</v>
      </c>
      <c r="H50" s="134" t="s">
        <v>142</v>
      </c>
      <c r="I50" s="134" t="s">
        <v>142</v>
      </c>
      <c r="J50" s="134" t="s">
        <v>142</v>
      </c>
      <c r="K50" s="134" t="s">
        <v>142</v>
      </c>
      <c r="L50" s="134" t="s">
        <v>142</v>
      </c>
      <c r="M50" s="136"/>
      <c r="N50" s="131"/>
    </row>
    <row r="51" hidden="1" outlineLevel="1">
      <c r="A51" s="113" t="s">
        <v>1059</v>
      </c>
      <c r="B51" s="309">
        <v>46242.0</v>
      </c>
      <c r="C51" s="118" t="str">
        <f t="shared" si="5"/>
        <v>Sat</v>
      </c>
      <c r="D51" s="128">
        <f t="shared" si="6"/>
        <v>1</v>
      </c>
      <c r="E51" s="131" t="s">
        <v>142</v>
      </c>
      <c r="F51" s="134" t="s">
        <v>142</v>
      </c>
      <c r="G51" s="134" t="s">
        <v>142</v>
      </c>
      <c r="H51" s="134" t="s">
        <v>142</v>
      </c>
      <c r="I51" s="134" t="s">
        <v>142</v>
      </c>
      <c r="J51" s="134" t="s">
        <v>142</v>
      </c>
      <c r="K51" s="134" t="s">
        <v>142</v>
      </c>
      <c r="L51" s="134" t="s">
        <v>142</v>
      </c>
      <c r="M51" s="136"/>
      <c r="N51" s="131"/>
    </row>
    <row r="52" hidden="1" outlineLevel="1">
      <c r="A52" s="113" t="s">
        <v>1062</v>
      </c>
      <c r="B52" s="309">
        <v>46242.0</v>
      </c>
      <c r="C52" s="118" t="str">
        <f t="shared" si="5"/>
        <v>Sat</v>
      </c>
      <c r="D52" s="143">
        <f t="shared" si="6"/>
        <v>1</v>
      </c>
      <c r="E52" s="144" t="s">
        <v>142</v>
      </c>
      <c r="F52" s="134" t="s">
        <v>142</v>
      </c>
      <c r="G52" s="134" t="s">
        <v>142</v>
      </c>
      <c r="H52" s="134" t="s">
        <v>142</v>
      </c>
      <c r="I52" s="134" t="s">
        <v>142</v>
      </c>
      <c r="J52" s="134" t="s">
        <v>142</v>
      </c>
      <c r="K52" s="134" t="s">
        <v>142</v>
      </c>
      <c r="L52" s="134" t="s">
        <v>142</v>
      </c>
      <c r="M52" s="136"/>
      <c r="N52" s="131"/>
    </row>
    <row r="53" ht="15.0" hidden="1" customHeight="1" outlineLevel="1">
      <c r="A53" s="113" t="s">
        <v>1064</v>
      </c>
      <c r="B53" s="309">
        <v>46242.0</v>
      </c>
      <c r="C53" s="118" t="str">
        <f t="shared" si="5"/>
        <v>Sat</v>
      </c>
      <c r="D53" s="128">
        <f t="shared" si="6"/>
        <v>1</v>
      </c>
      <c r="E53" s="131" t="s">
        <v>142</v>
      </c>
      <c r="F53" s="134" t="s">
        <v>142</v>
      </c>
      <c r="G53" s="134" t="s">
        <v>142</v>
      </c>
      <c r="H53" s="134" t="s">
        <v>142</v>
      </c>
      <c r="I53" s="134" t="s">
        <v>142</v>
      </c>
      <c r="J53" s="134" t="s">
        <v>142</v>
      </c>
      <c r="K53" s="134" t="s">
        <v>142</v>
      </c>
      <c r="L53" s="134" t="s">
        <v>142</v>
      </c>
      <c r="M53" s="136"/>
      <c r="N53" s="131"/>
    </row>
    <row r="54" hidden="1" outlineLevel="1">
      <c r="B54" s="215"/>
      <c r="C54" s="216" t="s">
        <v>199</v>
      </c>
      <c r="D54" s="217">
        <f>AVERAGE(D39:D53)</f>
        <v>1</v>
      </c>
      <c r="E54" s="218"/>
      <c r="L54" s="216" t="s">
        <v>199</v>
      </c>
      <c r="M54" s="217">
        <f>SUM(M39:M53)/75*0.1</f>
        <v>0</v>
      </c>
    </row>
    <row r="55" hidden="1" collapsed="1">
      <c r="A55" s="85" t="s">
        <v>347</v>
      </c>
      <c r="B55" s="86"/>
      <c r="C55" s="86"/>
      <c r="D55" s="88"/>
      <c r="E55" s="89"/>
      <c r="F55" s="89"/>
      <c r="G55" s="91"/>
      <c r="H55" s="91"/>
      <c r="I55" s="91"/>
      <c r="J55" s="91"/>
      <c r="K55" s="91"/>
      <c r="L55" s="91"/>
      <c r="M55" s="93"/>
      <c r="N55" s="95"/>
    </row>
    <row r="56" hidden="1" outlineLevel="1">
      <c r="A56" s="96" t="s">
        <v>89</v>
      </c>
      <c r="B56" s="98" t="s">
        <v>90</v>
      </c>
      <c r="C56" s="98" t="s">
        <v>91</v>
      </c>
      <c r="D56" s="101" t="s">
        <v>93</v>
      </c>
      <c r="E56" s="102" t="s">
        <v>94</v>
      </c>
      <c r="F56" s="102" t="s">
        <v>95</v>
      </c>
      <c r="G56" s="105" t="s">
        <v>96</v>
      </c>
      <c r="H56" s="107" t="s">
        <v>97</v>
      </c>
      <c r="I56" s="107" t="s">
        <v>104</v>
      </c>
      <c r="J56" s="105" t="s">
        <v>106</v>
      </c>
      <c r="K56" s="107" t="s">
        <v>109</v>
      </c>
      <c r="L56" s="105" t="s">
        <v>111</v>
      </c>
      <c r="M56" s="98" t="s">
        <v>114</v>
      </c>
      <c r="N56" s="101" t="s">
        <v>116</v>
      </c>
    </row>
    <row r="57" hidden="1" outlineLevel="1">
      <c r="A57" s="353" t="s">
        <v>1067</v>
      </c>
      <c r="B57" s="309">
        <v>46244.0</v>
      </c>
      <c r="C57" s="118" t="str">
        <f t="shared" ref="C57:C71" si="7">IF(B57="", "", TEXT(B57, "ddd"))</f>
        <v>Mon</v>
      </c>
      <c r="D57" s="128">
        <f t="shared" ref="D57:D71" si="8">IF(E57="Yes",0.05,0)
+IF(F57="Yes",0.1,0)
+IF(G57="Yes",0.15,0)
+IF(H57="Yes",0.15,0)
+IF(I57="Yes",0.05,0)
+IF(J57="Yes",0.05,0)
+IF(K57="Yes",0.15,0)
+IF(L57="Yes",0.3,0)
</f>
        <v>1</v>
      </c>
      <c r="E57" s="131" t="s">
        <v>142</v>
      </c>
      <c r="F57" s="134" t="s">
        <v>142</v>
      </c>
      <c r="G57" s="134" t="s">
        <v>142</v>
      </c>
      <c r="H57" s="134" t="s">
        <v>142</v>
      </c>
      <c r="I57" s="134" t="s">
        <v>142</v>
      </c>
      <c r="J57" s="134" t="s">
        <v>142</v>
      </c>
      <c r="K57" s="134" t="s">
        <v>142</v>
      </c>
      <c r="L57" s="134" t="s">
        <v>142</v>
      </c>
      <c r="M57" s="136"/>
      <c r="N57" s="137"/>
    </row>
    <row r="58" hidden="1" outlineLevel="1">
      <c r="A58" s="353" t="s">
        <v>1071</v>
      </c>
      <c r="B58" s="309">
        <v>46244.0</v>
      </c>
      <c r="C58" s="118" t="str">
        <f t="shared" si="7"/>
        <v>Mon</v>
      </c>
      <c r="D58" s="143">
        <f t="shared" si="8"/>
        <v>1</v>
      </c>
      <c r="E58" s="144" t="s">
        <v>142</v>
      </c>
      <c r="F58" s="134" t="s">
        <v>142</v>
      </c>
      <c r="G58" s="134" t="s">
        <v>142</v>
      </c>
      <c r="H58" s="134" t="s">
        <v>142</v>
      </c>
      <c r="I58" s="134" t="s">
        <v>142</v>
      </c>
      <c r="J58" s="134" t="s">
        <v>142</v>
      </c>
      <c r="K58" s="134" t="s">
        <v>142</v>
      </c>
      <c r="L58" s="134" t="s">
        <v>142</v>
      </c>
      <c r="M58" s="136"/>
      <c r="N58" s="131"/>
    </row>
    <row r="59" hidden="1" outlineLevel="1">
      <c r="A59" s="353" t="s">
        <v>1073</v>
      </c>
      <c r="B59" s="309">
        <v>46244.0</v>
      </c>
      <c r="C59" s="118" t="str">
        <f t="shared" si="7"/>
        <v>Mon</v>
      </c>
      <c r="D59" s="128">
        <f t="shared" si="8"/>
        <v>1</v>
      </c>
      <c r="E59" s="131" t="s">
        <v>142</v>
      </c>
      <c r="F59" s="134" t="s">
        <v>142</v>
      </c>
      <c r="G59" s="134" t="s">
        <v>142</v>
      </c>
      <c r="H59" s="134" t="s">
        <v>142</v>
      </c>
      <c r="I59" s="134" t="s">
        <v>142</v>
      </c>
      <c r="J59" s="134" t="s">
        <v>142</v>
      </c>
      <c r="K59" s="134" t="s">
        <v>142</v>
      </c>
      <c r="L59" s="134" t="s">
        <v>142</v>
      </c>
      <c r="M59" s="136"/>
      <c r="N59" s="131"/>
    </row>
    <row r="60" hidden="1" outlineLevel="1">
      <c r="A60" s="353" t="s">
        <v>1075</v>
      </c>
      <c r="B60" s="309">
        <v>46245.0</v>
      </c>
      <c r="C60" s="118" t="str">
        <f t="shared" si="7"/>
        <v>Tue</v>
      </c>
      <c r="D60" s="143">
        <f t="shared" si="8"/>
        <v>1</v>
      </c>
      <c r="E60" s="144" t="s">
        <v>142</v>
      </c>
      <c r="F60" s="134" t="s">
        <v>142</v>
      </c>
      <c r="G60" s="134" t="s">
        <v>142</v>
      </c>
      <c r="H60" s="134" t="s">
        <v>142</v>
      </c>
      <c r="I60" s="134" t="s">
        <v>142</v>
      </c>
      <c r="J60" s="134" t="s">
        <v>142</v>
      </c>
      <c r="K60" s="134" t="s">
        <v>142</v>
      </c>
      <c r="L60" s="134" t="s">
        <v>142</v>
      </c>
      <c r="M60" s="136"/>
      <c r="N60" s="131"/>
    </row>
    <row r="61" hidden="1" outlineLevel="1">
      <c r="A61" s="353" t="s">
        <v>1077</v>
      </c>
      <c r="B61" s="309">
        <v>46245.0</v>
      </c>
      <c r="C61" s="118" t="str">
        <f t="shared" si="7"/>
        <v>Tue</v>
      </c>
      <c r="D61" s="128">
        <f t="shared" si="8"/>
        <v>1</v>
      </c>
      <c r="E61" s="131" t="s">
        <v>142</v>
      </c>
      <c r="F61" s="134" t="s">
        <v>142</v>
      </c>
      <c r="G61" s="134" t="s">
        <v>142</v>
      </c>
      <c r="H61" s="134" t="s">
        <v>142</v>
      </c>
      <c r="I61" s="134" t="s">
        <v>142</v>
      </c>
      <c r="J61" s="134" t="s">
        <v>142</v>
      </c>
      <c r="K61" s="134" t="s">
        <v>142</v>
      </c>
      <c r="L61" s="134" t="s">
        <v>142</v>
      </c>
      <c r="M61" s="136"/>
      <c r="N61" s="131"/>
    </row>
    <row r="62" hidden="1" outlineLevel="1">
      <c r="A62" s="353" t="s">
        <v>1079</v>
      </c>
      <c r="B62" s="309">
        <v>46245.0</v>
      </c>
      <c r="C62" s="118" t="str">
        <f t="shared" si="7"/>
        <v>Tue</v>
      </c>
      <c r="D62" s="143">
        <f t="shared" si="8"/>
        <v>1</v>
      </c>
      <c r="E62" s="144" t="s">
        <v>142</v>
      </c>
      <c r="F62" s="134" t="s">
        <v>142</v>
      </c>
      <c r="G62" s="134" t="s">
        <v>142</v>
      </c>
      <c r="H62" s="134" t="s">
        <v>142</v>
      </c>
      <c r="I62" s="134" t="s">
        <v>142</v>
      </c>
      <c r="J62" s="134" t="s">
        <v>142</v>
      </c>
      <c r="K62" s="134" t="s">
        <v>142</v>
      </c>
      <c r="L62" s="134" t="s">
        <v>142</v>
      </c>
      <c r="M62" s="136"/>
      <c r="N62" s="131"/>
    </row>
    <row r="63" hidden="1" outlineLevel="1">
      <c r="A63" s="113" t="s">
        <v>1081</v>
      </c>
      <c r="B63" s="309">
        <v>46246.0</v>
      </c>
      <c r="C63" s="118" t="str">
        <f t="shared" si="7"/>
        <v>Wed</v>
      </c>
      <c r="D63" s="128">
        <f t="shared" si="8"/>
        <v>1</v>
      </c>
      <c r="E63" s="131" t="s">
        <v>142</v>
      </c>
      <c r="F63" s="134" t="s">
        <v>142</v>
      </c>
      <c r="G63" s="134" t="s">
        <v>142</v>
      </c>
      <c r="H63" s="134" t="s">
        <v>142</v>
      </c>
      <c r="I63" s="134" t="s">
        <v>142</v>
      </c>
      <c r="J63" s="134" t="s">
        <v>142</v>
      </c>
      <c r="K63" s="134" t="s">
        <v>142</v>
      </c>
      <c r="L63" s="134" t="s">
        <v>142</v>
      </c>
      <c r="M63" s="136"/>
      <c r="N63" s="131"/>
    </row>
    <row r="64" hidden="1" outlineLevel="1">
      <c r="A64" s="113" t="s">
        <v>1084</v>
      </c>
      <c r="B64" s="309">
        <v>46246.0</v>
      </c>
      <c r="C64" s="118" t="str">
        <f t="shared" si="7"/>
        <v>Wed</v>
      </c>
      <c r="D64" s="143">
        <f t="shared" si="8"/>
        <v>1</v>
      </c>
      <c r="E64" s="144" t="s">
        <v>142</v>
      </c>
      <c r="F64" s="134" t="s">
        <v>142</v>
      </c>
      <c r="G64" s="134" t="s">
        <v>142</v>
      </c>
      <c r="H64" s="134" t="s">
        <v>142</v>
      </c>
      <c r="I64" s="134" t="s">
        <v>142</v>
      </c>
      <c r="J64" s="134" t="s">
        <v>142</v>
      </c>
      <c r="K64" s="134" t="s">
        <v>142</v>
      </c>
      <c r="L64" s="134" t="s">
        <v>142</v>
      </c>
      <c r="M64" s="136"/>
      <c r="N64" s="131"/>
    </row>
    <row r="65" hidden="1" outlineLevel="1">
      <c r="A65" s="113" t="s">
        <v>1087</v>
      </c>
      <c r="B65" s="309">
        <v>46246.0</v>
      </c>
      <c r="C65" s="118" t="str">
        <f t="shared" si="7"/>
        <v>Wed</v>
      </c>
      <c r="D65" s="128">
        <f t="shared" si="8"/>
        <v>1</v>
      </c>
      <c r="E65" s="131" t="s">
        <v>142</v>
      </c>
      <c r="F65" s="134" t="s">
        <v>142</v>
      </c>
      <c r="G65" s="134" t="s">
        <v>142</v>
      </c>
      <c r="H65" s="134" t="s">
        <v>142</v>
      </c>
      <c r="I65" s="134" t="s">
        <v>142</v>
      </c>
      <c r="J65" s="134" t="s">
        <v>142</v>
      </c>
      <c r="K65" s="134" t="s">
        <v>142</v>
      </c>
      <c r="L65" s="134" t="s">
        <v>142</v>
      </c>
      <c r="M65" s="136"/>
      <c r="N65" s="131"/>
    </row>
    <row r="66" hidden="1" outlineLevel="1">
      <c r="A66" s="113" t="s">
        <v>1088</v>
      </c>
      <c r="B66" s="309">
        <v>46247.0</v>
      </c>
      <c r="C66" s="118" t="str">
        <f t="shared" si="7"/>
        <v>Thu</v>
      </c>
      <c r="D66" s="143">
        <f t="shared" si="8"/>
        <v>1</v>
      </c>
      <c r="E66" s="144" t="s">
        <v>142</v>
      </c>
      <c r="F66" s="134" t="s">
        <v>142</v>
      </c>
      <c r="G66" s="134" t="s">
        <v>142</v>
      </c>
      <c r="H66" s="134" t="s">
        <v>142</v>
      </c>
      <c r="I66" s="134" t="s">
        <v>142</v>
      </c>
      <c r="J66" s="134" t="s">
        <v>142</v>
      </c>
      <c r="K66" s="134" t="s">
        <v>142</v>
      </c>
      <c r="L66" s="134" t="s">
        <v>142</v>
      </c>
      <c r="M66" s="136"/>
      <c r="N66" s="131"/>
    </row>
    <row r="67" hidden="1" outlineLevel="1">
      <c r="A67" s="113" t="s">
        <v>1090</v>
      </c>
      <c r="B67" s="309">
        <v>46247.0</v>
      </c>
      <c r="C67" s="118" t="str">
        <f t="shared" si="7"/>
        <v>Thu</v>
      </c>
      <c r="D67" s="128">
        <f t="shared" si="8"/>
        <v>1</v>
      </c>
      <c r="E67" s="131" t="s">
        <v>142</v>
      </c>
      <c r="F67" s="134" t="s">
        <v>142</v>
      </c>
      <c r="G67" s="134" t="s">
        <v>142</v>
      </c>
      <c r="H67" s="134" t="s">
        <v>142</v>
      </c>
      <c r="I67" s="134" t="s">
        <v>142</v>
      </c>
      <c r="J67" s="134" t="s">
        <v>142</v>
      </c>
      <c r="K67" s="134" t="s">
        <v>142</v>
      </c>
      <c r="L67" s="134" t="s">
        <v>142</v>
      </c>
      <c r="M67" s="136"/>
      <c r="N67" s="131"/>
    </row>
    <row r="68" hidden="1" outlineLevel="1">
      <c r="A68" s="113" t="s">
        <v>1091</v>
      </c>
      <c r="B68" s="309">
        <v>46247.0</v>
      </c>
      <c r="C68" s="118" t="str">
        <f t="shared" si="7"/>
        <v>Thu</v>
      </c>
      <c r="D68" s="143">
        <f t="shared" si="8"/>
        <v>1</v>
      </c>
      <c r="E68" s="144" t="s">
        <v>142</v>
      </c>
      <c r="F68" s="134" t="s">
        <v>142</v>
      </c>
      <c r="G68" s="134" t="s">
        <v>142</v>
      </c>
      <c r="H68" s="134" t="s">
        <v>142</v>
      </c>
      <c r="I68" s="134" t="s">
        <v>142</v>
      </c>
      <c r="J68" s="134" t="s">
        <v>142</v>
      </c>
      <c r="K68" s="134" t="s">
        <v>142</v>
      </c>
      <c r="L68" s="134" t="s">
        <v>142</v>
      </c>
      <c r="M68" s="136"/>
      <c r="N68" s="131"/>
    </row>
    <row r="69" hidden="1" outlineLevel="1">
      <c r="A69" s="353" t="s">
        <v>1092</v>
      </c>
      <c r="B69" s="309">
        <v>46249.0</v>
      </c>
      <c r="C69" s="118" t="str">
        <f t="shared" si="7"/>
        <v>Sat</v>
      </c>
      <c r="D69" s="128">
        <f t="shared" si="8"/>
        <v>1</v>
      </c>
      <c r="E69" s="131" t="s">
        <v>142</v>
      </c>
      <c r="F69" s="134" t="s">
        <v>142</v>
      </c>
      <c r="G69" s="134" t="s">
        <v>142</v>
      </c>
      <c r="H69" s="134" t="s">
        <v>142</v>
      </c>
      <c r="I69" s="134" t="s">
        <v>142</v>
      </c>
      <c r="J69" s="134" t="s">
        <v>142</v>
      </c>
      <c r="K69" s="134" t="s">
        <v>142</v>
      </c>
      <c r="L69" s="134" t="s">
        <v>142</v>
      </c>
      <c r="M69" s="136"/>
      <c r="N69" s="131"/>
    </row>
    <row r="70" hidden="1" outlineLevel="1">
      <c r="A70" s="353" t="s">
        <v>1095</v>
      </c>
      <c r="B70" s="309">
        <v>46249.0</v>
      </c>
      <c r="C70" s="118" t="str">
        <f t="shared" si="7"/>
        <v>Sat</v>
      </c>
      <c r="D70" s="143">
        <f t="shared" si="8"/>
        <v>1</v>
      </c>
      <c r="E70" s="144" t="s">
        <v>142</v>
      </c>
      <c r="F70" s="134" t="s">
        <v>142</v>
      </c>
      <c r="G70" s="134" t="s">
        <v>142</v>
      </c>
      <c r="H70" s="134" t="s">
        <v>142</v>
      </c>
      <c r="I70" s="134" t="s">
        <v>142</v>
      </c>
      <c r="J70" s="134" t="s">
        <v>142</v>
      </c>
      <c r="K70" s="134" t="s">
        <v>142</v>
      </c>
      <c r="L70" s="134" t="s">
        <v>142</v>
      </c>
      <c r="M70" s="136"/>
      <c r="N70" s="131"/>
    </row>
    <row r="71" ht="15.0" hidden="1" customHeight="1" outlineLevel="1">
      <c r="A71" s="353" t="s">
        <v>1097</v>
      </c>
      <c r="B71" s="309">
        <v>46249.0</v>
      </c>
      <c r="C71" s="118" t="str">
        <f t="shared" si="7"/>
        <v>Sat</v>
      </c>
      <c r="D71" s="128">
        <f t="shared" si="8"/>
        <v>1</v>
      </c>
      <c r="E71" s="131" t="s">
        <v>142</v>
      </c>
      <c r="F71" s="134" t="s">
        <v>142</v>
      </c>
      <c r="G71" s="134" t="s">
        <v>142</v>
      </c>
      <c r="H71" s="134" t="s">
        <v>142</v>
      </c>
      <c r="I71" s="134" t="s">
        <v>142</v>
      </c>
      <c r="J71" s="134" t="s">
        <v>142</v>
      </c>
      <c r="K71" s="134" t="s">
        <v>142</v>
      </c>
      <c r="L71" s="134" t="s">
        <v>142</v>
      </c>
      <c r="M71" s="136"/>
      <c r="N71" s="131"/>
    </row>
    <row r="72" hidden="1" outlineLevel="1">
      <c r="B72" s="215"/>
      <c r="C72" s="216" t="s">
        <v>199</v>
      </c>
      <c r="D72" s="217">
        <f>AVERAGE(D57:D71)</f>
        <v>1</v>
      </c>
      <c r="E72" s="218"/>
      <c r="L72" s="216" t="s">
        <v>199</v>
      </c>
      <c r="M72" s="217">
        <f>SUM(M57:M71)/75*0.1</f>
        <v>0</v>
      </c>
    </row>
    <row r="73" collapsed="1">
      <c r="A73" s="85" t="s">
        <v>368</v>
      </c>
      <c r="B73" s="86"/>
      <c r="C73" s="86"/>
      <c r="D73" s="88"/>
      <c r="E73" s="89"/>
      <c r="F73" s="89"/>
      <c r="G73" s="91"/>
      <c r="H73" s="91"/>
      <c r="I73" s="91"/>
      <c r="J73" s="91"/>
      <c r="K73" s="91"/>
      <c r="L73" s="91"/>
      <c r="M73" s="93"/>
      <c r="N73" s="95"/>
    </row>
    <row r="74" hidden="1" outlineLevel="1">
      <c r="A74" s="96" t="s">
        <v>89</v>
      </c>
      <c r="B74" s="98" t="s">
        <v>90</v>
      </c>
      <c r="C74" s="98" t="s">
        <v>91</v>
      </c>
      <c r="D74" s="101" t="s">
        <v>93</v>
      </c>
      <c r="E74" s="102" t="s">
        <v>94</v>
      </c>
      <c r="F74" s="102" t="s">
        <v>95</v>
      </c>
      <c r="G74" s="105" t="s">
        <v>96</v>
      </c>
      <c r="H74" s="107" t="s">
        <v>97</v>
      </c>
      <c r="I74" s="107" t="s">
        <v>104</v>
      </c>
      <c r="J74" s="105" t="s">
        <v>106</v>
      </c>
      <c r="K74" s="107" t="s">
        <v>109</v>
      </c>
      <c r="L74" s="105" t="s">
        <v>111</v>
      </c>
      <c r="M74" s="98" t="s">
        <v>114</v>
      </c>
      <c r="N74" s="101" t="s">
        <v>116</v>
      </c>
    </row>
    <row r="75" hidden="1" outlineLevel="1">
      <c r="A75" s="113" t="s">
        <v>1101</v>
      </c>
      <c r="B75" s="309">
        <v>46251.0</v>
      </c>
      <c r="C75" s="118" t="str">
        <f t="shared" ref="C75:C89" si="9">IF(B75="", "", TEXT(B75, "ddd"))</f>
        <v>Mon</v>
      </c>
      <c r="D75" s="128">
        <f t="shared" ref="D75:D89" si="10">IF(E75="Yes",0.05,0)
+IF(F75="Yes",0.1,0)
+IF(G75="Yes",0.15,0)
+IF(H75="Yes",0.15,0)
+IF(I75="Yes",0.05,0)
+IF(J75="Yes",0.05,0)
+IF(K75="Yes",0.15,0)
+IF(L75="Yes",0.3,0)
</f>
        <v>1</v>
      </c>
      <c r="E75" s="131" t="s">
        <v>142</v>
      </c>
      <c r="F75" s="134" t="s">
        <v>142</v>
      </c>
      <c r="G75" s="134" t="s">
        <v>142</v>
      </c>
      <c r="H75" s="134" t="s">
        <v>142</v>
      </c>
      <c r="I75" s="134" t="s">
        <v>142</v>
      </c>
      <c r="J75" s="134" t="s">
        <v>142</v>
      </c>
      <c r="K75" s="134" t="s">
        <v>142</v>
      </c>
      <c r="L75" s="134" t="s">
        <v>142</v>
      </c>
      <c r="M75" s="136"/>
      <c r="N75" s="137"/>
    </row>
    <row r="76" hidden="1" outlineLevel="1">
      <c r="A76" s="113" t="s">
        <v>1105</v>
      </c>
      <c r="B76" s="309">
        <v>46251.0</v>
      </c>
      <c r="C76" s="118" t="str">
        <f t="shared" si="9"/>
        <v>Mon</v>
      </c>
      <c r="D76" s="143">
        <f t="shared" si="10"/>
        <v>1</v>
      </c>
      <c r="E76" s="144" t="s">
        <v>142</v>
      </c>
      <c r="F76" s="134" t="s">
        <v>142</v>
      </c>
      <c r="G76" s="134" t="s">
        <v>142</v>
      </c>
      <c r="H76" s="134" t="s">
        <v>142</v>
      </c>
      <c r="I76" s="134" t="s">
        <v>142</v>
      </c>
      <c r="J76" s="134" t="s">
        <v>142</v>
      </c>
      <c r="K76" s="134" t="s">
        <v>142</v>
      </c>
      <c r="L76" s="134" t="s">
        <v>142</v>
      </c>
      <c r="M76" s="136"/>
      <c r="N76" s="131"/>
    </row>
    <row r="77" hidden="1" outlineLevel="1">
      <c r="A77" s="113" t="s">
        <v>1107</v>
      </c>
      <c r="B77" s="309">
        <v>46251.0</v>
      </c>
      <c r="C77" s="118" t="str">
        <f t="shared" si="9"/>
        <v>Mon</v>
      </c>
      <c r="D77" s="128">
        <f t="shared" si="10"/>
        <v>1</v>
      </c>
      <c r="E77" s="131" t="s">
        <v>142</v>
      </c>
      <c r="F77" s="134" t="s">
        <v>142</v>
      </c>
      <c r="G77" s="134" t="s">
        <v>142</v>
      </c>
      <c r="H77" s="134" t="s">
        <v>142</v>
      </c>
      <c r="I77" s="134" t="s">
        <v>142</v>
      </c>
      <c r="J77" s="134" t="s">
        <v>142</v>
      </c>
      <c r="K77" s="134" t="s">
        <v>142</v>
      </c>
      <c r="L77" s="134" t="s">
        <v>142</v>
      </c>
      <c r="M77" s="136"/>
      <c r="N77" s="131"/>
    </row>
    <row r="78" hidden="1" outlineLevel="1">
      <c r="A78" s="113" t="s">
        <v>1110</v>
      </c>
      <c r="B78" s="309">
        <v>46252.0</v>
      </c>
      <c r="C78" s="118" t="str">
        <f t="shared" si="9"/>
        <v>Tue</v>
      </c>
      <c r="D78" s="143">
        <f t="shared" si="10"/>
        <v>1</v>
      </c>
      <c r="E78" s="144" t="s">
        <v>142</v>
      </c>
      <c r="F78" s="134" t="s">
        <v>142</v>
      </c>
      <c r="G78" s="134" t="s">
        <v>142</v>
      </c>
      <c r="H78" s="134" t="s">
        <v>142</v>
      </c>
      <c r="I78" s="134" t="s">
        <v>142</v>
      </c>
      <c r="J78" s="134" t="s">
        <v>142</v>
      </c>
      <c r="K78" s="134" t="s">
        <v>142</v>
      </c>
      <c r="L78" s="134" t="s">
        <v>142</v>
      </c>
      <c r="M78" s="136"/>
      <c r="N78" s="131"/>
    </row>
    <row r="79" hidden="1" outlineLevel="1">
      <c r="A79" s="113" t="s">
        <v>1111</v>
      </c>
      <c r="B79" s="309">
        <v>46252.0</v>
      </c>
      <c r="C79" s="118" t="str">
        <f t="shared" si="9"/>
        <v>Tue</v>
      </c>
      <c r="D79" s="128">
        <f t="shared" si="10"/>
        <v>1</v>
      </c>
      <c r="E79" s="131" t="s">
        <v>142</v>
      </c>
      <c r="F79" s="134" t="s">
        <v>142</v>
      </c>
      <c r="G79" s="134" t="s">
        <v>142</v>
      </c>
      <c r="H79" s="134" t="s">
        <v>142</v>
      </c>
      <c r="I79" s="134" t="s">
        <v>142</v>
      </c>
      <c r="J79" s="134" t="s">
        <v>142</v>
      </c>
      <c r="K79" s="134" t="s">
        <v>142</v>
      </c>
      <c r="L79" s="134" t="s">
        <v>142</v>
      </c>
      <c r="M79" s="136"/>
      <c r="N79" s="131"/>
    </row>
    <row r="80" hidden="1" outlineLevel="1">
      <c r="A80" s="113" t="s">
        <v>1113</v>
      </c>
      <c r="B80" s="309">
        <v>46252.0</v>
      </c>
      <c r="C80" s="118" t="str">
        <f t="shared" si="9"/>
        <v>Tue</v>
      </c>
      <c r="D80" s="143">
        <f t="shared" si="10"/>
        <v>1</v>
      </c>
      <c r="E80" s="144" t="s">
        <v>142</v>
      </c>
      <c r="F80" s="134" t="s">
        <v>142</v>
      </c>
      <c r="G80" s="134" t="s">
        <v>142</v>
      </c>
      <c r="H80" s="134" t="s">
        <v>142</v>
      </c>
      <c r="I80" s="134" t="s">
        <v>142</v>
      </c>
      <c r="J80" s="134" t="s">
        <v>142</v>
      </c>
      <c r="K80" s="134" t="s">
        <v>142</v>
      </c>
      <c r="L80" s="134" t="s">
        <v>142</v>
      </c>
      <c r="M80" s="136"/>
      <c r="N80" s="131"/>
    </row>
    <row r="81" hidden="1" outlineLevel="1">
      <c r="A81" s="113" t="s">
        <v>1115</v>
      </c>
      <c r="B81" s="309">
        <v>46253.0</v>
      </c>
      <c r="C81" s="118" t="str">
        <f t="shared" si="9"/>
        <v>Wed</v>
      </c>
      <c r="D81" s="128">
        <f t="shared" si="10"/>
        <v>1</v>
      </c>
      <c r="E81" s="131" t="s">
        <v>142</v>
      </c>
      <c r="F81" s="134" t="s">
        <v>142</v>
      </c>
      <c r="G81" s="134" t="s">
        <v>142</v>
      </c>
      <c r="H81" s="134" t="s">
        <v>142</v>
      </c>
      <c r="I81" s="134" t="s">
        <v>142</v>
      </c>
      <c r="J81" s="134" t="s">
        <v>142</v>
      </c>
      <c r="K81" s="134" t="s">
        <v>142</v>
      </c>
      <c r="L81" s="134" t="s">
        <v>142</v>
      </c>
      <c r="M81" s="136"/>
      <c r="N81" s="131"/>
    </row>
    <row r="82" hidden="1" outlineLevel="1">
      <c r="A82" s="113" t="s">
        <v>1118</v>
      </c>
      <c r="B82" s="309">
        <v>46253.0</v>
      </c>
      <c r="C82" s="118" t="str">
        <f t="shared" si="9"/>
        <v>Wed</v>
      </c>
      <c r="D82" s="143">
        <f t="shared" si="10"/>
        <v>1</v>
      </c>
      <c r="E82" s="144" t="s">
        <v>142</v>
      </c>
      <c r="F82" s="134" t="s">
        <v>142</v>
      </c>
      <c r="G82" s="134" t="s">
        <v>142</v>
      </c>
      <c r="H82" s="134" t="s">
        <v>142</v>
      </c>
      <c r="I82" s="134" t="s">
        <v>142</v>
      </c>
      <c r="J82" s="134" t="s">
        <v>142</v>
      </c>
      <c r="K82" s="134" t="s">
        <v>142</v>
      </c>
      <c r="L82" s="134" t="s">
        <v>142</v>
      </c>
      <c r="M82" s="136"/>
      <c r="N82" s="131"/>
    </row>
    <row r="83" hidden="1" outlineLevel="1">
      <c r="A83" s="113" t="s">
        <v>1119</v>
      </c>
      <c r="B83" s="309">
        <v>46253.0</v>
      </c>
      <c r="C83" s="118" t="str">
        <f t="shared" si="9"/>
        <v>Wed</v>
      </c>
      <c r="D83" s="128">
        <f t="shared" si="10"/>
        <v>1</v>
      </c>
      <c r="E83" s="131" t="s">
        <v>142</v>
      </c>
      <c r="F83" s="134" t="s">
        <v>142</v>
      </c>
      <c r="G83" s="134" t="s">
        <v>142</v>
      </c>
      <c r="H83" s="134" t="s">
        <v>142</v>
      </c>
      <c r="I83" s="134" t="s">
        <v>142</v>
      </c>
      <c r="J83" s="134" t="s">
        <v>142</v>
      </c>
      <c r="K83" s="134" t="s">
        <v>142</v>
      </c>
      <c r="L83" s="134" t="s">
        <v>142</v>
      </c>
      <c r="M83" s="136"/>
      <c r="N83" s="131"/>
    </row>
    <row r="84" hidden="1" outlineLevel="1">
      <c r="A84" s="113" t="s">
        <v>1120</v>
      </c>
      <c r="B84" s="309">
        <v>46254.0</v>
      </c>
      <c r="C84" s="118" t="str">
        <f t="shared" si="9"/>
        <v>Thu</v>
      </c>
      <c r="D84" s="143">
        <f t="shared" si="10"/>
        <v>1</v>
      </c>
      <c r="E84" s="144" t="s">
        <v>142</v>
      </c>
      <c r="F84" s="134" t="s">
        <v>142</v>
      </c>
      <c r="G84" s="134" t="s">
        <v>142</v>
      </c>
      <c r="H84" s="134" t="s">
        <v>142</v>
      </c>
      <c r="I84" s="134" t="s">
        <v>142</v>
      </c>
      <c r="J84" s="134" t="s">
        <v>142</v>
      </c>
      <c r="K84" s="134" t="s">
        <v>142</v>
      </c>
      <c r="L84" s="134" t="s">
        <v>142</v>
      </c>
      <c r="M84" s="136"/>
      <c r="N84" s="131"/>
    </row>
    <row r="85" hidden="1" outlineLevel="1">
      <c r="A85" s="113" t="s">
        <v>1122</v>
      </c>
      <c r="B85" s="309">
        <v>46254.0</v>
      </c>
      <c r="C85" s="118" t="str">
        <f t="shared" si="9"/>
        <v>Thu</v>
      </c>
      <c r="D85" s="128">
        <f t="shared" si="10"/>
        <v>1</v>
      </c>
      <c r="E85" s="131" t="s">
        <v>142</v>
      </c>
      <c r="F85" s="134" t="s">
        <v>142</v>
      </c>
      <c r="G85" s="134" t="s">
        <v>142</v>
      </c>
      <c r="H85" s="134" t="s">
        <v>142</v>
      </c>
      <c r="I85" s="134" t="s">
        <v>142</v>
      </c>
      <c r="J85" s="134" t="s">
        <v>142</v>
      </c>
      <c r="K85" s="134" t="s">
        <v>142</v>
      </c>
      <c r="L85" s="134" t="s">
        <v>142</v>
      </c>
      <c r="M85" s="136"/>
      <c r="N85" s="131"/>
    </row>
    <row r="86" hidden="1" outlineLevel="1">
      <c r="A86" s="113" t="s">
        <v>1123</v>
      </c>
      <c r="B86" s="309">
        <v>46254.0</v>
      </c>
      <c r="C86" s="118" t="str">
        <f t="shared" si="9"/>
        <v>Thu</v>
      </c>
      <c r="D86" s="143">
        <f t="shared" si="10"/>
        <v>1</v>
      </c>
      <c r="E86" s="144" t="s">
        <v>142</v>
      </c>
      <c r="F86" s="134" t="s">
        <v>142</v>
      </c>
      <c r="G86" s="134" t="s">
        <v>142</v>
      </c>
      <c r="H86" s="134" t="s">
        <v>142</v>
      </c>
      <c r="I86" s="134" t="s">
        <v>142</v>
      </c>
      <c r="J86" s="134" t="s">
        <v>142</v>
      </c>
      <c r="K86" s="134" t="s">
        <v>142</v>
      </c>
      <c r="L86" s="134" t="s">
        <v>142</v>
      </c>
      <c r="M86" s="136"/>
      <c r="N86" s="131"/>
    </row>
    <row r="87" hidden="1" outlineLevel="1">
      <c r="A87" s="113" t="s">
        <v>1124</v>
      </c>
      <c r="B87" s="309">
        <v>46257.0</v>
      </c>
      <c r="C87" s="118" t="str">
        <f t="shared" si="9"/>
        <v>Sun</v>
      </c>
      <c r="D87" s="128">
        <f t="shared" si="10"/>
        <v>1</v>
      </c>
      <c r="E87" s="131" t="s">
        <v>142</v>
      </c>
      <c r="F87" s="134" t="s">
        <v>142</v>
      </c>
      <c r="G87" s="134" t="s">
        <v>142</v>
      </c>
      <c r="H87" s="134" t="s">
        <v>142</v>
      </c>
      <c r="I87" s="134" t="s">
        <v>142</v>
      </c>
      <c r="J87" s="134" t="s">
        <v>142</v>
      </c>
      <c r="K87" s="134" t="s">
        <v>142</v>
      </c>
      <c r="L87" s="134" t="s">
        <v>142</v>
      </c>
      <c r="M87" s="136"/>
      <c r="N87" s="131"/>
    </row>
    <row r="88" hidden="1" outlineLevel="1">
      <c r="A88" s="113" t="s">
        <v>1126</v>
      </c>
      <c r="B88" s="309">
        <v>46257.0</v>
      </c>
      <c r="C88" s="118" t="str">
        <f t="shared" si="9"/>
        <v>Sun</v>
      </c>
      <c r="D88" s="143">
        <f t="shared" si="10"/>
        <v>1</v>
      </c>
      <c r="E88" s="144" t="s">
        <v>142</v>
      </c>
      <c r="F88" s="134" t="s">
        <v>142</v>
      </c>
      <c r="G88" s="134" t="s">
        <v>142</v>
      </c>
      <c r="H88" s="134" t="s">
        <v>142</v>
      </c>
      <c r="I88" s="134" t="s">
        <v>142</v>
      </c>
      <c r="J88" s="134" t="s">
        <v>142</v>
      </c>
      <c r="K88" s="134" t="s">
        <v>142</v>
      </c>
      <c r="L88" s="134" t="s">
        <v>142</v>
      </c>
      <c r="M88" s="136"/>
      <c r="N88" s="131"/>
    </row>
    <row r="89" ht="15.75" hidden="1" customHeight="1" outlineLevel="1">
      <c r="A89" s="113" t="s">
        <v>1128</v>
      </c>
      <c r="B89" s="309">
        <v>46257.0</v>
      </c>
      <c r="C89" s="118" t="str">
        <f t="shared" si="9"/>
        <v>Sun</v>
      </c>
      <c r="D89" s="128">
        <f t="shared" si="10"/>
        <v>1</v>
      </c>
      <c r="E89" s="131" t="s">
        <v>142</v>
      </c>
      <c r="F89" s="134" t="s">
        <v>142</v>
      </c>
      <c r="G89" s="134" t="s">
        <v>142</v>
      </c>
      <c r="H89" s="134" t="s">
        <v>142</v>
      </c>
      <c r="I89" s="134" t="s">
        <v>142</v>
      </c>
      <c r="J89" s="134" t="s">
        <v>142</v>
      </c>
      <c r="K89" s="134" t="s">
        <v>142</v>
      </c>
      <c r="L89" s="134" t="s">
        <v>142</v>
      </c>
      <c r="M89" s="136"/>
      <c r="N89" s="131"/>
    </row>
    <row r="90" hidden="1" outlineLevel="1">
      <c r="B90" s="215"/>
      <c r="C90" s="216" t="s">
        <v>199</v>
      </c>
      <c r="D90" s="217">
        <f>AVERAGE(D75:D89)</f>
        <v>1</v>
      </c>
      <c r="E90" s="218"/>
      <c r="L90" s="216" t="s">
        <v>199</v>
      </c>
      <c r="M90" s="217">
        <f>SUM(M75:M89)/75*0.1</f>
        <v>0</v>
      </c>
    </row>
    <row r="91" collapsed="1">
      <c r="A91" s="85" t="s">
        <v>397</v>
      </c>
      <c r="B91" s="86"/>
      <c r="C91" s="86"/>
      <c r="D91" s="88"/>
      <c r="E91" s="361"/>
      <c r="F91" s="361"/>
      <c r="G91" s="361"/>
      <c r="H91" s="361"/>
      <c r="I91" s="361"/>
      <c r="J91" s="361"/>
      <c r="K91" s="361"/>
      <c r="L91" s="361"/>
      <c r="M91" s="361"/>
      <c r="N91" s="361"/>
    </row>
    <row r="92" hidden="1" outlineLevel="1">
      <c r="A92" s="362" t="s">
        <v>89</v>
      </c>
      <c r="B92" s="363" t="s">
        <v>90</v>
      </c>
      <c r="C92" s="363" t="s">
        <v>91</v>
      </c>
      <c r="D92" s="364" t="s">
        <v>93</v>
      </c>
      <c r="E92" s="365" t="s">
        <v>94</v>
      </c>
      <c r="F92" s="365" t="s">
        <v>95</v>
      </c>
      <c r="G92" s="366" t="s">
        <v>96</v>
      </c>
      <c r="H92" s="366" t="s">
        <v>97</v>
      </c>
      <c r="I92" s="366" t="s">
        <v>104</v>
      </c>
      <c r="J92" s="366" t="s">
        <v>106</v>
      </c>
      <c r="K92" s="366" t="s">
        <v>109</v>
      </c>
      <c r="L92" s="366" t="s">
        <v>111</v>
      </c>
      <c r="M92" s="363" t="s">
        <v>114</v>
      </c>
      <c r="N92" s="363" t="s">
        <v>116</v>
      </c>
    </row>
    <row r="93" hidden="1" outlineLevel="1">
      <c r="A93" s="367" t="s">
        <v>1134</v>
      </c>
      <c r="B93" s="309">
        <v>46258.0</v>
      </c>
      <c r="C93" s="368" t="str">
        <f t="shared" ref="C93:C107" si="11">IF(B93="", "", TEXT(B93, "ddd"))</f>
        <v>Mon</v>
      </c>
      <c r="D93" s="128">
        <f t="shared" ref="D93:D107" si="12">IF(E93="Yes",0.05,0)
+IF(F93="Yes",0.1,0)
+IF(G93="Yes",0.15,0)
+IF(H93="Yes",0.15,0)
+IF(I93="Yes",0.05,0)
+IF(J93="Yes",0.05,0)
+IF(K93="Yes",0.15,0)
+IF(L93="Yes",0.3,0)
</f>
        <v>1</v>
      </c>
      <c r="E93" s="370" t="s">
        <v>142</v>
      </c>
      <c r="F93" s="7" t="s">
        <v>142</v>
      </c>
      <c r="G93" s="7" t="s">
        <v>142</v>
      </c>
      <c r="H93" s="7" t="s">
        <v>142</v>
      </c>
      <c r="I93" s="7" t="s">
        <v>142</v>
      </c>
      <c r="J93" s="7" t="s">
        <v>142</v>
      </c>
      <c r="K93" s="7" t="s">
        <v>142</v>
      </c>
      <c r="L93" s="7" t="s">
        <v>142</v>
      </c>
      <c r="M93" s="370"/>
      <c r="N93" s="137"/>
    </row>
    <row r="94" hidden="1" outlineLevel="1">
      <c r="A94" s="367" t="s">
        <v>1136</v>
      </c>
      <c r="B94" s="309">
        <v>46258.0</v>
      </c>
      <c r="C94" s="368" t="str">
        <f t="shared" si="11"/>
        <v>Mon</v>
      </c>
      <c r="D94" s="143">
        <f t="shared" si="12"/>
        <v>1</v>
      </c>
      <c r="E94" s="369" t="s">
        <v>142</v>
      </c>
      <c r="F94" s="7" t="s">
        <v>142</v>
      </c>
      <c r="G94" s="7" t="s">
        <v>142</v>
      </c>
      <c r="H94" s="7" t="s">
        <v>142</v>
      </c>
      <c r="I94" s="7" t="s">
        <v>142</v>
      </c>
      <c r="J94" s="7" t="s">
        <v>142</v>
      </c>
      <c r="K94" s="7" t="s">
        <v>142</v>
      </c>
      <c r="L94" s="7" t="s">
        <v>142</v>
      </c>
      <c r="M94" s="370"/>
      <c r="N94" s="137"/>
    </row>
    <row r="95" hidden="1" outlineLevel="1">
      <c r="A95" s="367" t="s">
        <v>1138</v>
      </c>
      <c r="B95" s="309">
        <v>46258.0</v>
      </c>
      <c r="C95" s="368" t="str">
        <f t="shared" si="11"/>
        <v>Mon</v>
      </c>
      <c r="D95" s="128">
        <f t="shared" si="12"/>
        <v>1</v>
      </c>
      <c r="E95" s="370" t="s">
        <v>142</v>
      </c>
      <c r="F95" s="7" t="s">
        <v>142</v>
      </c>
      <c r="G95" s="7" t="s">
        <v>142</v>
      </c>
      <c r="H95" s="7" t="s">
        <v>142</v>
      </c>
      <c r="I95" s="7" t="s">
        <v>142</v>
      </c>
      <c r="J95" s="7" t="s">
        <v>142</v>
      </c>
      <c r="K95" s="7" t="s">
        <v>142</v>
      </c>
      <c r="L95" s="7" t="s">
        <v>142</v>
      </c>
      <c r="M95" s="370"/>
      <c r="N95" s="137"/>
    </row>
    <row r="96" hidden="1" outlineLevel="1">
      <c r="A96" s="367" t="s">
        <v>1140</v>
      </c>
      <c r="B96" s="309">
        <v>46259.0</v>
      </c>
      <c r="C96" s="368" t="str">
        <f t="shared" si="11"/>
        <v>Tue</v>
      </c>
      <c r="D96" s="143">
        <f t="shared" si="12"/>
        <v>1</v>
      </c>
      <c r="E96" s="369" t="s">
        <v>142</v>
      </c>
      <c r="F96" s="7" t="s">
        <v>142</v>
      </c>
      <c r="G96" s="7" t="s">
        <v>142</v>
      </c>
      <c r="H96" s="7" t="s">
        <v>142</v>
      </c>
      <c r="I96" s="7" t="s">
        <v>142</v>
      </c>
      <c r="J96" s="7" t="s">
        <v>142</v>
      </c>
      <c r="K96" s="7" t="s">
        <v>142</v>
      </c>
      <c r="L96" s="7" t="s">
        <v>142</v>
      </c>
      <c r="M96" s="370"/>
      <c r="N96" s="137"/>
    </row>
    <row r="97" hidden="1" outlineLevel="1">
      <c r="A97" s="367" t="s">
        <v>1142</v>
      </c>
      <c r="B97" s="309">
        <v>46259.0</v>
      </c>
      <c r="C97" s="368" t="str">
        <f t="shared" si="11"/>
        <v>Tue</v>
      </c>
      <c r="D97" s="128">
        <f t="shared" si="12"/>
        <v>1</v>
      </c>
      <c r="E97" s="370" t="s">
        <v>142</v>
      </c>
      <c r="F97" s="7" t="s">
        <v>142</v>
      </c>
      <c r="G97" s="7" t="s">
        <v>142</v>
      </c>
      <c r="H97" s="7" t="s">
        <v>142</v>
      </c>
      <c r="I97" s="7" t="s">
        <v>142</v>
      </c>
      <c r="J97" s="7" t="s">
        <v>142</v>
      </c>
      <c r="K97" s="7" t="s">
        <v>142</v>
      </c>
      <c r="L97" s="7" t="s">
        <v>142</v>
      </c>
      <c r="M97" s="370"/>
      <c r="N97" s="137"/>
    </row>
    <row r="98" hidden="1" outlineLevel="1">
      <c r="A98" s="367" t="s">
        <v>1144</v>
      </c>
      <c r="B98" s="309">
        <v>46259.0</v>
      </c>
      <c r="C98" s="368" t="str">
        <f t="shared" si="11"/>
        <v>Tue</v>
      </c>
      <c r="D98" s="143">
        <f t="shared" si="12"/>
        <v>1</v>
      </c>
      <c r="E98" s="369" t="s">
        <v>142</v>
      </c>
      <c r="F98" s="7" t="s">
        <v>142</v>
      </c>
      <c r="G98" s="7" t="s">
        <v>142</v>
      </c>
      <c r="H98" s="7" t="s">
        <v>142</v>
      </c>
      <c r="I98" s="7" t="s">
        <v>142</v>
      </c>
      <c r="J98" s="7" t="s">
        <v>142</v>
      </c>
      <c r="K98" s="7" t="s">
        <v>142</v>
      </c>
      <c r="L98" s="7" t="s">
        <v>142</v>
      </c>
      <c r="M98" s="370"/>
      <c r="N98" s="137"/>
    </row>
    <row r="99" hidden="1" outlineLevel="1">
      <c r="A99" s="367" t="s">
        <v>1146</v>
      </c>
      <c r="B99" s="309">
        <v>46260.0</v>
      </c>
      <c r="C99" s="368" t="str">
        <f t="shared" si="11"/>
        <v>Wed</v>
      </c>
      <c r="D99" s="128">
        <f t="shared" si="12"/>
        <v>1</v>
      </c>
      <c r="E99" s="370" t="s">
        <v>142</v>
      </c>
      <c r="F99" s="7" t="s">
        <v>142</v>
      </c>
      <c r="G99" s="7" t="s">
        <v>142</v>
      </c>
      <c r="H99" s="7" t="s">
        <v>142</v>
      </c>
      <c r="I99" s="7" t="s">
        <v>142</v>
      </c>
      <c r="J99" s="7" t="s">
        <v>142</v>
      </c>
      <c r="K99" s="7" t="s">
        <v>142</v>
      </c>
      <c r="L99" s="7" t="s">
        <v>142</v>
      </c>
      <c r="M99" s="370"/>
      <c r="N99" s="137"/>
    </row>
    <row r="100" hidden="1" outlineLevel="1">
      <c r="A100" s="367" t="s">
        <v>1148</v>
      </c>
      <c r="B100" s="309">
        <v>46260.0</v>
      </c>
      <c r="C100" s="368" t="str">
        <f t="shared" si="11"/>
        <v>Wed</v>
      </c>
      <c r="D100" s="143">
        <f t="shared" si="12"/>
        <v>1</v>
      </c>
      <c r="E100" s="369" t="s">
        <v>142</v>
      </c>
      <c r="F100" s="7" t="s">
        <v>142</v>
      </c>
      <c r="G100" s="7" t="s">
        <v>142</v>
      </c>
      <c r="H100" s="7" t="s">
        <v>142</v>
      </c>
      <c r="I100" s="7" t="s">
        <v>142</v>
      </c>
      <c r="J100" s="7" t="s">
        <v>142</v>
      </c>
      <c r="K100" s="7" t="s">
        <v>142</v>
      </c>
      <c r="L100" s="7" t="s">
        <v>142</v>
      </c>
      <c r="M100" s="370"/>
      <c r="N100" s="137"/>
    </row>
    <row r="101" hidden="1" outlineLevel="1">
      <c r="A101" s="367" t="s">
        <v>1150</v>
      </c>
      <c r="B101" s="309">
        <v>46260.0</v>
      </c>
      <c r="C101" s="368" t="str">
        <f t="shared" si="11"/>
        <v>Wed</v>
      </c>
      <c r="D101" s="128">
        <f t="shared" si="12"/>
        <v>1</v>
      </c>
      <c r="E101" s="370" t="s">
        <v>142</v>
      </c>
      <c r="F101" s="7" t="s">
        <v>142</v>
      </c>
      <c r="G101" s="7" t="s">
        <v>142</v>
      </c>
      <c r="H101" s="7" t="s">
        <v>142</v>
      </c>
      <c r="I101" s="7" t="s">
        <v>142</v>
      </c>
      <c r="J101" s="7" t="s">
        <v>142</v>
      </c>
      <c r="K101" s="7" t="s">
        <v>142</v>
      </c>
      <c r="L101" s="7" t="s">
        <v>142</v>
      </c>
      <c r="M101" s="370"/>
      <c r="N101" s="137"/>
    </row>
    <row r="102" hidden="1" outlineLevel="1">
      <c r="A102" s="367" t="s">
        <v>1152</v>
      </c>
      <c r="B102" s="309">
        <v>46261.0</v>
      </c>
      <c r="C102" s="368" t="str">
        <f t="shared" si="11"/>
        <v>Thu</v>
      </c>
      <c r="D102" s="143">
        <f t="shared" si="12"/>
        <v>1</v>
      </c>
      <c r="E102" s="369" t="s">
        <v>142</v>
      </c>
      <c r="F102" s="7" t="s">
        <v>142</v>
      </c>
      <c r="G102" s="7" t="s">
        <v>142</v>
      </c>
      <c r="H102" s="7" t="s">
        <v>142</v>
      </c>
      <c r="I102" s="7" t="s">
        <v>142</v>
      </c>
      <c r="J102" s="7" t="s">
        <v>142</v>
      </c>
      <c r="K102" s="7" t="s">
        <v>142</v>
      </c>
      <c r="L102" s="7" t="s">
        <v>142</v>
      </c>
      <c r="M102" s="370"/>
      <c r="N102" s="137"/>
    </row>
    <row r="103" hidden="1" outlineLevel="1">
      <c r="A103" s="367" t="s">
        <v>1155</v>
      </c>
      <c r="B103" s="309">
        <v>46261.0</v>
      </c>
      <c r="C103" s="368" t="str">
        <f t="shared" si="11"/>
        <v>Thu</v>
      </c>
      <c r="D103" s="128">
        <f t="shared" si="12"/>
        <v>1</v>
      </c>
      <c r="E103" s="370" t="s">
        <v>142</v>
      </c>
      <c r="F103" s="7" t="s">
        <v>142</v>
      </c>
      <c r="G103" s="7" t="s">
        <v>142</v>
      </c>
      <c r="H103" s="7" t="s">
        <v>142</v>
      </c>
      <c r="I103" s="7" t="s">
        <v>142</v>
      </c>
      <c r="J103" s="7" t="s">
        <v>142</v>
      </c>
      <c r="K103" s="7" t="s">
        <v>142</v>
      </c>
      <c r="L103" s="7" t="s">
        <v>142</v>
      </c>
      <c r="M103" s="370"/>
      <c r="N103" s="137"/>
    </row>
    <row r="104" hidden="1" outlineLevel="1">
      <c r="A104" s="367" t="s">
        <v>1157</v>
      </c>
      <c r="B104" s="309">
        <v>46261.0</v>
      </c>
      <c r="C104" s="368" t="str">
        <f t="shared" si="11"/>
        <v>Thu</v>
      </c>
      <c r="D104" s="143">
        <f t="shared" si="12"/>
        <v>1</v>
      </c>
      <c r="E104" s="369" t="s">
        <v>142</v>
      </c>
      <c r="F104" s="7" t="s">
        <v>142</v>
      </c>
      <c r="G104" s="7" t="s">
        <v>142</v>
      </c>
      <c r="H104" s="7" t="s">
        <v>142</v>
      </c>
      <c r="I104" s="7" t="s">
        <v>142</v>
      </c>
      <c r="J104" s="7" t="s">
        <v>142</v>
      </c>
      <c r="K104" s="7" t="s">
        <v>142</v>
      </c>
      <c r="L104" s="7" t="s">
        <v>142</v>
      </c>
      <c r="M104" s="370"/>
      <c r="N104" s="137"/>
    </row>
    <row r="105" hidden="1" outlineLevel="1">
      <c r="A105" s="372" t="s">
        <v>1158</v>
      </c>
      <c r="B105" s="309">
        <v>46262.0</v>
      </c>
      <c r="C105" s="368" t="str">
        <f t="shared" si="11"/>
        <v>Fri</v>
      </c>
      <c r="D105" s="128">
        <f t="shared" si="12"/>
        <v>1</v>
      </c>
      <c r="E105" s="370" t="s">
        <v>142</v>
      </c>
      <c r="F105" s="7" t="s">
        <v>142</v>
      </c>
      <c r="G105" s="7" t="s">
        <v>142</v>
      </c>
      <c r="H105" s="7" t="s">
        <v>142</v>
      </c>
      <c r="I105" s="7" t="s">
        <v>142</v>
      </c>
      <c r="J105" s="7" t="s">
        <v>142</v>
      </c>
      <c r="K105" s="7" t="s">
        <v>142</v>
      </c>
      <c r="L105" s="7" t="s">
        <v>142</v>
      </c>
      <c r="M105" s="370"/>
      <c r="N105" s="137"/>
    </row>
    <row r="106" hidden="1" outlineLevel="1">
      <c r="A106" s="372" t="s">
        <v>1159</v>
      </c>
      <c r="B106" s="309">
        <v>46262.0</v>
      </c>
      <c r="C106" s="368" t="str">
        <f t="shared" si="11"/>
        <v>Fri</v>
      </c>
      <c r="D106" s="143">
        <f t="shared" si="12"/>
        <v>1</v>
      </c>
      <c r="E106" s="369" t="s">
        <v>142</v>
      </c>
      <c r="F106" s="7" t="s">
        <v>142</v>
      </c>
      <c r="G106" s="7" t="s">
        <v>142</v>
      </c>
      <c r="H106" s="7" t="s">
        <v>142</v>
      </c>
      <c r="I106" s="7" t="s">
        <v>142</v>
      </c>
      <c r="J106" s="7" t="s">
        <v>142</v>
      </c>
      <c r="K106" s="7" t="s">
        <v>142</v>
      </c>
      <c r="L106" s="7" t="s">
        <v>142</v>
      </c>
      <c r="M106" s="370"/>
      <c r="N106" s="137"/>
    </row>
    <row r="107" hidden="1" outlineLevel="1">
      <c r="A107" s="372" t="s">
        <v>1160</v>
      </c>
      <c r="B107" s="309">
        <v>46262.0</v>
      </c>
      <c r="C107" s="368" t="str">
        <f t="shared" si="11"/>
        <v>Fri</v>
      </c>
      <c r="D107" s="128">
        <f t="shared" si="12"/>
        <v>1</v>
      </c>
      <c r="E107" s="370" t="s">
        <v>142</v>
      </c>
      <c r="F107" s="7" t="s">
        <v>142</v>
      </c>
      <c r="G107" s="7" t="s">
        <v>142</v>
      </c>
      <c r="H107" s="7" t="s">
        <v>142</v>
      </c>
      <c r="I107" s="7" t="s">
        <v>142</v>
      </c>
      <c r="J107" s="7" t="s">
        <v>142</v>
      </c>
      <c r="K107" s="7" t="s">
        <v>142</v>
      </c>
      <c r="L107" s="7" t="s">
        <v>142</v>
      </c>
      <c r="M107" s="370"/>
      <c r="N107" s="137"/>
    </row>
    <row r="108" hidden="1" outlineLevel="1">
      <c r="A108" s="373"/>
      <c r="B108" s="373"/>
      <c r="C108" s="374" t="s">
        <v>199</v>
      </c>
      <c r="D108" s="414">
        <f>AVERAGE(D93:D107)</f>
        <v>1</v>
      </c>
      <c r="E108" s="391"/>
      <c r="F108" s="373"/>
      <c r="G108" s="373"/>
      <c r="H108" s="373"/>
      <c r="I108" s="373"/>
      <c r="J108" s="373"/>
      <c r="K108" s="373"/>
      <c r="L108" s="374" t="s">
        <v>199</v>
      </c>
      <c r="M108" s="377">
        <f>SUM(M93:M107)/75*0.1</f>
        <v>0</v>
      </c>
      <c r="N108" s="373"/>
    </row>
    <row r="109" collapsed="1">
      <c r="A109" s="85" t="s">
        <v>423</v>
      </c>
      <c r="B109" s="86"/>
      <c r="C109" s="86"/>
      <c r="D109" s="88"/>
      <c r="E109" s="361"/>
      <c r="F109" s="361"/>
      <c r="G109" s="361"/>
      <c r="H109" s="361"/>
      <c r="I109" s="361"/>
      <c r="J109" s="361"/>
      <c r="K109" s="361"/>
      <c r="L109" s="361"/>
      <c r="M109" s="361"/>
      <c r="N109" s="361"/>
    </row>
    <row r="110" hidden="1" outlineLevel="1">
      <c r="A110" s="362" t="s">
        <v>89</v>
      </c>
      <c r="B110" s="363" t="s">
        <v>90</v>
      </c>
      <c r="C110" s="363" t="s">
        <v>91</v>
      </c>
      <c r="D110" s="364" t="s">
        <v>93</v>
      </c>
      <c r="E110" s="365" t="s">
        <v>94</v>
      </c>
      <c r="F110" s="365" t="s">
        <v>95</v>
      </c>
      <c r="G110" s="366" t="s">
        <v>96</v>
      </c>
      <c r="H110" s="366" t="s">
        <v>97</v>
      </c>
      <c r="I110" s="366" t="s">
        <v>104</v>
      </c>
      <c r="J110" s="366" t="s">
        <v>106</v>
      </c>
      <c r="K110" s="366" t="s">
        <v>109</v>
      </c>
      <c r="L110" s="366" t="s">
        <v>111</v>
      </c>
      <c r="M110" s="363" t="s">
        <v>114</v>
      </c>
      <c r="N110" s="363" t="s">
        <v>116</v>
      </c>
    </row>
    <row r="111" hidden="1" outlineLevel="1">
      <c r="A111" s="372" t="s">
        <v>1164</v>
      </c>
      <c r="B111" s="309">
        <v>46265.0</v>
      </c>
      <c r="C111" s="368" t="str">
        <f t="shared" ref="C111:C125" si="13">IF(B111="", "", TEXT(B111, "ddd"))</f>
        <v>Mon</v>
      </c>
      <c r="D111" s="128">
        <f t="shared" ref="D111:D125" si="14">IF(E111="Yes",0.05,0)
+IF(F111="Yes",0.1,0)
+IF(G111="Yes",0.15,0)
+IF(H111="Yes",0.15,0)
+IF(I111="Yes",0.05,0)
+IF(J111="Yes",0.05,0)
+IF(K111="Yes",0.15,0)
+IF(L111="Yes",0.3,0)
</f>
        <v>1</v>
      </c>
      <c r="E111" s="131" t="s">
        <v>142</v>
      </c>
      <c r="F111" s="134" t="s">
        <v>142</v>
      </c>
      <c r="G111" s="134" t="s">
        <v>142</v>
      </c>
      <c r="H111" s="134" t="s">
        <v>142</v>
      </c>
      <c r="I111" s="134" t="s">
        <v>142</v>
      </c>
      <c r="J111" s="134" t="s">
        <v>142</v>
      </c>
      <c r="K111" s="134" t="s">
        <v>142</v>
      </c>
      <c r="L111" s="134" t="s">
        <v>142</v>
      </c>
      <c r="M111" s="370"/>
      <c r="N111" s="137"/>
    </row>
    <row r="112" hidden="1" outlineLevel="1">
      <c r="A112" s="372" t="s">
        <v>1167</v>
      </c>
      <c r="B112" s="309">
        <v>46265.0</v>
      </c>
      <c r="C112" s="368" t="str">
        <f t="shared" si="13"/>
        <v>Mon</v>
      </c>
      <c r="D112" s="143">
        <f t="shared" si="14"/>
        <v>1</v>
      </c>
      <c r="E112" s="144" t="s">
        <v>142</v>
      </c>
      <c r="F112" s="134" t="s">
        <v>142</v>
      </c>
      <c r="G112" s="134" t="s">
        <v>142</v>
      </c>
      <c r="H112" s="134" t="s">
        <v>142</v>
      </c>
      <c r="I112" s="134" t="s">
        <v>142</v>
      </c>
      <c r="J112" s="134" t="s">
        <v>142</v>
      </c>
      <c r="K112" s="134" t="s">
        <v>142</v>
      </c>
      <c r="L112" s="134" t="s">
        <v>142</v>
      </c>
      <c r="M112" s="370"/>
      <c r="N112" s="137"/>
    </row>
    <row r="113" hidden="1" outlineLevel="1">
      <c r="A113" s="372" t="s">
        <v>1172</v>
      </c>
      <c r="B113" s="309">
        <v>46265.0</v>
      </c>
      <c r="C113" s="368" t="str">
        <f t="shared" si="13"/>
        <v>Mon</v>
      </c>
      <c r="D113" s="128">
        <f t="shared" si="14"/>
        <v>1</v>
      </c>
      <c r="E113" s="131" t="s">
        <v>142</v>
      </c>
      <c r="F113" s="134" t="s">
        <v>142</v>
      </c>
      <c r="G113" s="134" t="s">
        <v>142</v>
      </c>
      <c r="H113" s="134" t="s">
        <v>142</v>
      </c>
      <c r="I113" s="134" t="s">
        <v>142</v>
      </c>
      <c r="J113" s="134" t="s">
        <v>142</v>
      </c>
      <c r="K113" s="134" t="s">
        <v>142</v>
      </c>
      <c r="L113" s="134" t="s">
        <v>142</v>
      </c>
      <c r="M113" s="370"/>
      <c r="N113" s="137"/>
    </row>
    <row r="114" hidden="1" outlineLevel="1">
      <c r="A114" s="367" t="s">
        <v>1174</v>
      </c>
      <c r="B114" s="309">
        <v>46266.0</v>
      </c>
      <c r="C114" s="368" t="str">
        <f t="shared" si="13"/>
        <v>Tue</v>
      </c>
      <c r="D114" s="143">
        <f t="shared" si="14"/>
        <v>1</v>
      </c>
      <c r="E114" s="144" t="s">
        <v>142</v>
      </c>
      <c r="F114" s="134" t="s">
        <v>142</v>
      </c>
      <c r="G114" s="134" t="s">
        <v>142</v>
      </c>
      <c r="H114" s="134" t="s">
        <v>142</v>
      </c>
      <c r="I114" s="134" t="s">
        <v>142</v>
      </c>
      <c r="J114" s="134" t="s">
        <v>142</v>
      </c>
      <c r="K114" s="134" t="s">
        <v>142</v>
      </c>
      <c r="L114" s="134" t="s">
        <v>142</v>
      </c>
      <c r="M114" s="370"/>
      <c r="N114" s="137"/>
    </row>
    <row r="115" hidden="1" outlineLevel="1">
      <c r="A115" s="367" t="s">
        <v>1177</v>
      </c>
      <c r="B115" s="309">
        <v>46266.0</v>
      </c>
      <c r="C115" s="368" t="str">
        <f t="shared" si="13"/>
        <v>Tue</v>
      </c>
      <c r="D115" s="128">
        <f t="shared" si="14"/>
        <v>1</v>
      </c>
      <c r="E115" s="131" t="s">
        <v>142</v>
      </c>
      <c r="F115" s="134" t="s">
        <v>142</v>
      </c>
      <c r="G115" s="134" t="s">
        <v>142</v>
      </c>
      <c r="H115" s="134" t="s">
        <v>142</v>
      </c>
      <c r="I115" s="134" t="s">
        <v>142</v>
      </c>
      <c r="J115" s="134" t="s">
        <v>142</v>
      </c>
      <c r="K115" s="134" t="s">
        <v>142</v>
      </c>
      <c r="L115" s="134" t="s">
        <v>142</v>
      </c>
      <c r="M115" s="370"/>
      <c r="N115" s="137"/>
    </row>
    <row r="116" hidden="1" outlineLevel="1">
      <c r="A116" s="367" t="s">
        <v>1178</v>
      </c>
      <c r="B116" s="309">
        <v>46266.0</v>
      </c>
      <c r="C116" s="368" t="str">
        <f t="shared" si="13"/>
        <v>Tue</v>
      </c>
      <c r="D116" s="143">
        <f t="shared" si="14"/>
        <v>1</v>
      </c>
      <c r="E116" s="144" t="s">
        <v>142</v>
      </c>
      <c r="F116" s="134" t="s">
        <v>142</v>
      </c>
      <c r="G116" s="134" t="s">
        <v>142</v>
      </c>
      <c r="H116" s="134" t="s">
        <v>142</v>
      </c>
      <c r="I116" s="134" t="s">
        <v>142</v>
      </c>
      <c r="J116" s="134" t="s">
        <v>142</v>
      </c>
      <c r="K116" s="134" t="s">
        <v>142</v>
      </c>
      <c r="L116" s="134" t="s">
        <v>142</v>
      </c>
      <c r="M116" s="370"/>
      <c r="N116" s="137"/>
    </row>
    <row r="117" hidden="1" outlineLevel="1">
      <c r="A117" s="367" t="s">
        <v>1180</v>
      </c>
      <c r="B117" s="309">
        <v>46267.0</v>
      </c>
      <c r="C117" s="368" t="str">
        <f t="shared" si="13"/>
        <v>Wed</v>
      </c>
      <c r="D117" s="128">
        <f t="shared" si="14"/>
        <v>1</v>
      </c>
      <c r="E117" s="131" t="s">
        <v>142</v>
      </c>
      <c r="F117" s="134" t="s">
        <v>142</v>
      </c>
      <c r="G117" s="134" t="s">
        <v>142</v>
      </c>
      <c r="H117" s="134" t="s">
        <v>142</v>
      </c>
      <c r="I117" s="134" t="s">
        <v>142</v>
      </c>
      <c r="J117" s="134" t="s">
        <v>142</v>
      </c>
      <c r="K117" s="134" t="s">
        <v>142</v>
      </c>
      <c r="L117" s="134" t="s">
        <v>142</v>
      </c>
      <c r="M117" s="370"/>
      <c r="N117" s="137"/>
    </row>
    <row r="118" hidden="1" outlineLevel="1">
      <c r="A118" s="367" t="s">
        <v>1182</v>
      </c>
      <c r="B118" s="309">
        <v>46267.0</v>
      </c>
      <c r="C118" s="368" t="str">
        <f t="shared" si="13"/>
        <v>Wed</v>
      </c>
      <c r="D118" s="143">
        <f t="shared" si="14"/>
        <v>1</v>
      </c>
      <c r="E118" s="144" t="s">
        <v>142</v>
      </c>
      <c r="F118" s="134" t="s">
        <v>142</v>
      </c>
      <c r="G118" s="134" t="s">
        <v>142</v>
      </c>
      <c r="H118" s="134" t="s">
        <v>142</v>
      </c>
      <c r="I118" s="134" t="s">
        <v>142</v>
      </c>
      <c r="J118" s="134" t="s">
        <v>142</v>
      </c>
      <c r="K118" s="134" t="s">
        <v>142</v>
      </c>
      <c r="L118" s="134" t="s">
        <v>142</v>
      </c>
      <c r="M118" s="370"/>
      <c r="N118" s="137"/>
    </row>
    <row r="119" hidden="1" outlineLevel="1">
      <c r="A119" s="367" t="s">
        <v>1183</v>
      </c>
      <c r="B119" s="309">
        <v>46267.0</v>
      </c>
      <c r="C119" s="368" t="str">
        <f t="shared" si="13"/>
        <v>Wed</v>
      </c>
      <c r="D119" s="128">
        <f t="shared" si="14"/>
        <v>1</v>
      </c>
      <c r="E119" s="131" t="s">
        <v>142</v>
      </c>
      <c r="F119" s="134" t="s">
        <v>142</v>
      </c>
      <c r="G119" s="134" t="s">
        <v>142</v>
      </c>
      <c r="H119" s="134" t="s">
        <v>142</v>
      </c>
      <c r="I119" s="134" t="s">
        <v>142</v>
      </c>
      <c r="J119" s="134" t="s">
        <v>142</v>
      </c>
      <c r="K119" s="134" t="s">
        <v>142</v>
      </c>
      <c r="L119" s="134" t="s">
        <v>142</v>
      </c>
      <c r="M119" s="370"/>
      <c r="N119" s="137"/>
    </row>
    <row r="120" hidden="1" outlineLevel="1">
      <c r="A120" s="367" t="s">
        <v>1184</v>
      </c>
      <c r="B120" s="309">
        <v>46268.0</v>
      </c>
      <c r="C120" s="368" t="str">
        <f t="shared" si="13"/>
        <v>Thu</v>
      </c>
      <c r="D120" s="143">
        <f t="shared" si="14"/>
        <v>1</v>
      </c>
      <c r="E120" s="144" t="s">
        <v>142</v>
      </c>
      <c r="F120" s="134" t="s">
        <v>142</v>
      </c>
      <c r="G120" s="134" t="s">
        <v>142</v>
      </c>
      <c r="H120" s="134" t="s">
        <v>142</v>
      </c>
      <c r="I120" s="134" t="s">
        <v>142</v>
      </c>
      <c r="J120" s="134" t="s">
        <v>142</v>
      </c>
      <c r="K120" s="134" t="s">
        <v>142</v>
      </c>
      <c r="L120" s="134" t="s">
        <v>142</v>
      </c>
      <c r="M120" s="370"/>
      <c r="N120" s="137"/>
    </row>
    <row r="121" hidden="1" outlineLevel="1">
      <c r="A121" s="367" t="s">
        <v>1185</v>
      </c>
      <c r="B121" s="309">
        <v>46268.0</v>
      </c>
      <c r="C121" s="368" t="str">
        <f t="shared" si="13"/>
        <v>Thu</v>
      </c>
      <c r="D121" s="128">
        <f t="shared" si="14"/>
        <v>1</v>
      </c>
      <c r="E121" s="131" t="s">
        <v>142</v>
      </c>
      <c r="F121" s="134" t="s">
        <v>142</v>
      </c>
      <c r="G121" s="134" t="s">
        <v>142</v>
      </c>
      <c r="H121" s="134" t="s">
        <v>142</v>
      </c>
      <c r="I121" s="134" t="s">
        <v>142</v>
      </c>
      <c r="J121" s="134" t="s">
        <v>142</v>
      </c>
      <c r="K121" s="134" t="s">
        <v>142</v>
      </c>
      <c r="L121" s="134" t="s">
        <v>142</v>
      </c>
      <c r="M121" s="370"/>
      <c r="N121" s="137"/>
    </row>
    <row r="122" hidden="1" outlineLevel="1">
      <c r="A122" s="367" t="s">
        <v>1188</v>
      </c>
      <c r="B122" s="309">
        <v>46268.0</v>
      </c>
      <c r="C122" s="368" t="str">
        <f t="shared" si="13"/>
        <v>Thu</v>
      </c>
      <c r="D122" s="143">
        <f t="shared" si="14"/>
        <v>1</v>
      </c>
      <c r="E122" s="144" t="s">
        <v>142</v>
      </c>
      <c r="F122" s="134" t="s">
        <v>142</v>
      </c>
      <c r="G122" s="134" t="s">
        <v>142</v>
      </c>
      <c r="H122" s="134" t="s">
        <v>142</v>
      </c>
      <c r="I122" s="134" t="s">
        <v>142</v>
      </c>
      <c r="J122" s="134" t="s">
        <v>142</v>
      </c>
      <c r="K122" s="134" t="s">
        <v>142</v>
      </c>
      <c r="L122" s="134" t="s">
        <v>142</v>
      </c>
      <c r="M122" s="370"/>
      <c r="N122" s="137"/>
    </row>
    <row r="123" hidden="1" outlineLevel="1">
      <c r="A123" s="372" t="s">
        <v>1189</v>
      </c>
      <c r="B123" s="309">
        <v>46269.0</v>
      </c>
      <c r="C123" s="368" t="str">
        <f t="shared" si="13"/>
        <v>Fri</v>
      </c>
      <c r="D123" s="128">
        <f t="shared" si="14"/>
        <v>1</v>
      </c>
      <c r="E123" s="131" t="s">
        <v>142</v>
      </c>
      <c r="F123" s="134" t="s">
        <v>142</v>
      </c>
      <c r="G123" s="134" t="s">
        <v>142</v>
      </c>
      <c r="H123" s="134" t="s">
        <v>142</v>
      </c>
      <c r="I123" s="134" t="s">
        <v>142</v>
      </c>
      <c r="J123" s="134" t="s">
        <v>142</v>
      </c>
      <c r="K123" s="134" t="s">
        <v>142</v>
      </c>
      <c r="L123" s="134" t="s">
        <v>142</v>
      </c>
      <c r="M123" s="370"/>
      <c r="N123" s="137"/>
    </row>
    <row r="124" hidden="1" outlineLevel="1">
      <c r="A124" s="372" t="s">
        <v>1190</v>
      </c>
      <c r="B124" s="309">
        <v>46269.0</v>
      </c>
      <c r="C124" s="368" t="str">
        <f t="shared" si="13"/>
        <v>Fri</v>
      </c>
      <c r="D124" s="143">
        <f t="shared" si="14"/>
        <v>1</v>
      </c>
      <c r="E124" s="144" t="s">
        <v>142</v>
      </c>
      <c r="F124" s="134" t="s">
        <v>142</v>
      </c>
      <c r="G124" s="134" t="s">
        <v>142</v>
      </c>
      <c r="H124" s="134" t="s">
        <v>142</v>
      </c>
      <c r="I124" s="134" t="s">
        <v>142</v>
      </c>
      <c r="J124" s="134" t="s">
        <v>142</v>
      </c>
      <c r="K124" s="134" t="s">
        <v>142</v>
      </c>
      <c r="L124" s="134" t="s">
        <v>142</v>
      </c>
      <c r="M124" s="370"/>
      <c r="N124" s="137"/>
    </row>
    <row r="125" hidden="1" outlineLevel="1">
      <c r="A125" s="372" t="s">
        <v>1192</v>
      </c>
      <c r="B125" s="309">
        <v>46269.0</v>
      </c>
      <c r="C125" s="368" t="str">
        <f t="shared" si="13"/>
        <v>Fri</v>
      </c>
      <c r="D125" s="128">
        <f t="shared" si="14"/>
        <v>1</v>
      </c>
      <c r="E125" s="131" t="s">
        <v>142</v>
      </c>
      <c r="F125" s="134" t="s">
        <v>142</v>
      </c>
      <c r="G125" s="134" t="s">
        <v>142</v>
      </c>
      <c r="H125" s="134" t="s">
        <v>142</v>
      </c>
      <c r="I125" s="134" t="s">
        <v>142</v>
      </c>
      <c r="J125" s="134" t="s">
        <v>142</v>
      </c>
      <c r="K125" s="134" t="s">
        <v>142</v>
      </c>
      <c r="L125" s="134" t="s">
        <v>142</v>
      </c>
      <c r="M125" s="370"/>
      <c r="N125" s="137"/>
    </row>
    <row r="126" hidden="1" outlineLevel="1">
      <c r="A126" s="373"/>
      <c r="B126" s="373"/>
      <c r="C126" s="374" t="s">
        <v>199</v>
      </c>
      <c r="D126" s="414">
        <f>AVERAGE(D111:D125)</f>
        <v>1</v>
      </c>
      <c r="E126" s="391"/>
      <c r="F126" s="373"/>
      <c r="G126" s="373"/>
      <c r="H126" s="373"/>
      <c r="I126" s="373"/>
      <c r="J126" s="373"/>
      <c r="K126" s="373"/>
      <c r="L126" s="374" t="s">
        <v>199</v>
      </c>
      <c r="M126" s="377">
        <f>SUM(M111:M125)/75*0.1</f>
        <v>0</v>
      </c>
      <c r="N126" s="373"/>
    </row>
    <row r="127" collapsed="1">
      <c r="A127" s="85" t="s">
        <v>450</v>
      </c>
      <c r="B127" s="86"/>
      <c r="C127" s="86"/>
      <c r="D127" s="88"/>
      <c r="E127" s="361"/>
      <c r="F127" s="361"/>
      <c r="G127" s="361"/>
      <c r="H127" s="361"/>
      <c r="I127" s="361"/>
      <c r="J127" s="361"/>
      <c r="K127" s="361"/>
      <c r="L127" s="361"/>
      <c r="M127" s="361"/>
      <c r="N127" s="361"/>
    </row>
    <row r="128" hidden="1" outlineLevel="1">
      <c r="A128" s="362" t="s">
        <v>89</v>
      </c>
      <c r="B128" s="363" t="s">
        <v>90</v>
      </c>
      <c r="C128" s="363" t="s">
        <v>91</v>
      </c>
      <c r="D128" s="364" t="s">
        <v>93</v>
      </c>
      <c r="E128" s="365" t="s">
        <v>94</v>
      </c>
      <c r="F128" s="365" t="s">
        <v>95</v>
      </c>
      <c r="G128" s="366" t="s">
        <v>96</v>
      </c>
      <c r="H128" s="366" t="s">
        <v>97</v>
      </c>
      <c r="I128" s="366" t="s">
        <v>104</v>
      </c>
      <c r="J128" s="366" t="s">
        <v>106</v>
      </c>
      <c r="K128" s="366" t="s">
        <v>109</v>
      </c>
      <c r="L128" s="366" t="s">
        <v>111</v>
      </c>
      <c r="M128" s="363" t="s">
        <v>114</v>
      </c>
      <c r="N128" s="363" t="s">
        <v>116</v>
      </c>
    </row>
    <row r="129" hidden="1" outlineLevel="1">
      <c r="A129" s="372" t="s">
        <v>1196</v>
      </c>
      <c r="B129" s="309">
        <v>46272.0</v>
      </c>
      <c r="C129" s="368" t="str">
        <f t="shared" ref="C129:C143" si="15">IF(B129="", "", TEXT(B129, "ddd"))</f>
        <v>Mon</v>
      </c>
      <c r="D129" s="128">
        <f t="shared" ref="D129:D143" si="16">IF(E129="Yes",0.05,0)
+IF(F129="Yes",0.1,0)
+IF(G129="Yes",0.15,0)
+IF(H129="Yes",0.15,0)
+IF(I129="Yes",0.05,0)
+IF(J129="Yes",0.05,0)
+IF(K129="Yes",0.15,0)
+IF(L129="Yes",0.3,0)
</f>
        <v>1</v>
      </c>
      <c r="E129" s="131" t="s">
        <v>142</v>
      </c>
      <c r="F129" s="134" t="s">
        <v>142</v>
      </c>
      <c r="G129" s="134" t="s">
        <v>142</v>
      </c>
      <c r="H129" s="134" t="s">
        <v>142</v>
      </c>
      <c r="I129" s="134" t="s">
        <v>142</v>
      </c>
      <c r="J129" s="134" t="s">
        <v>142</v>
      </c>
      <c r="K129" s="134" t="s">
        <v>142</v>
      </c>
      <c r="L129" s="134" t="s">
        <v>142</v>
      </c>
      <c r="M129" s="370"/>
      <c r="N129" s="137"/>
    </row>
    <row r="130" hidden="1" outlineLevel="1">
      <c r="A130" s="372" t="s">
        <v>1200</v>
      </c>
      <c r="B130" s="309">
        <v>46272.0</v>
      </c>
      <c r="C130" s="368" t="str">
        <f t="shared" si="15"/>
        <v>Mon</v>
      </c>
      <c r="D130" s="143">
        <f t="shared" si="16"/>
        <v>1</v>
      </c>
      <c r="E130" s="144" t="s">
        <v>142</v>
      </c>
      <c r="F130" s="134" t="s">
        <v>142</v>
      </c>
      <c r="G130" s="134" t="s">
        <v>142</v>
      </c>
      <c r="H130" s="134" t="s">
        <v>142</v>
      </c>
      <c r="I130" s="134" t="s">
        <v>142</v>
      </c>
      <c r="J130" s="134" t="s">
        <v>142</v>
      </c>
      <c r="K130" s="134" t="s">
        <v>142</v>
      </c>
      <c r="L130" s="134" t="s">
        <v>142</v>
      </c>
      <c r="M130" s="370"/>
      <c r="N130" s="137"/>
    </row>
    <row r="131" hidden="1" outlineLevel="1">
      <c r="A131" s="372" t="s">
        <v>1202</v>
      </c>
      <c r="B131" s="309">
        <v>46272.0</v>
      </c>
      <c r="C131" s="368" t="str">
        <f t="shared" si="15"/>
        <v>Mon</v>
      </c>
      <c r="D131" s="128">
        <f t="shared" si="16"/>
        <v>1</v>
      </c>
      <c r="E131" s="131" t="s">
        <v>142</v>
      </c>
      <c r="F131" s="134" t="s">
        <v>142</v>
      </c>
      <c r="G131" s="134" t="s">
        <v>142</v>
      </c>
      <c r="H131" s="134" t="s">
        <v>142</v>
      </c>
      <c r="I131" s="134" t="s">
        <v>142</v>
      </c>
      <c r="J131" s="134" t="s">
        <v>142</v>
      </c>
      <c r="K131" s="134" t="s">
        <v>142</v>
      </c>
      <c r="L131" s="134" t="s">
        <v>142</v>
      </c>
      <c r="M131" s="370"/>
      <c r="N131" s="137"/>
    </row>
    <row r="132" hidden="1" outlineLevel="1">
      <c r="A132" s="372" t="s">
        <v>1205</v>
      </c>
      <c r="B132" s="309">
        <v>46273.0</v>
      </c>
      <c r="C132" s="368" t="str">
        <f t="shared" si="15"/>
        <v>Tue</v>
      </c>
      <c r="D132" s="143">
        <f t="shared" si="16"/>
        <v>1</v>
      </c>
      <c r="E132" s="144" t="s">
        <v>142</v>
      </c>
      <c r="F132" s="134" t="s">
        <v>142</v>
      </c>
      <c r="G132" s="134" t="s">
        <v>142</v>
      </c>
      <c r="H132" s="134" t="s">
        <v>142</v>
      </c>
      <c r="I132" s="134" t="s">
        <v>142</v>
      </c>
      <c r="J132" s="134" t="s">
        <v>142</v>
      </c>
      <c r="K132" s="134" t="s">
        <v>142</v>
      </c>
      <c r="L132" s="134" t="s">
        <v>142</v>
      </c>
      <c r="M132" s="370"/>
      <c r="N132" s="137"/>
    </row>
    <row r="133" hidden="1" outlineLevel="1">
      <c r="A133" s="372" t="s">
        <v>1209</v>
      </c>
      <c r="B133" s="309">
        <v>46273.0</v>
      </c>
      <c r="C133" s="368" t="str">
        <f t="shared" si="15"/>
        <v>Tue</v>
      </c>
      <c r="D133" s="128">
        <f t="shared" si="16"/>
        <v>1</v>
      </c>
      <c r="E133" s="131" t="s">
        <v>142</v>
      </c>
      <c r="F133" s="134" t="s">
        <v>142</v>
      </c>
      <c r="G133" s="134" t="s">
        <v>142</v>
      </c>
      <c r="H133" s="134" t="s">
        <v>142</v>
      </c>
      <c r="I133" s="134" t="s">
        <v>142</v>
      </c>
      <c r="J133" s="134" t="s">
        <v>142</v>
      </c>
      <c r="K133" s="134" t="s">
        <v>142</v>
      </c>
      <c r="L133" s="134" t="s">
        <v>142</v>
      </c>
      <c r="M133" s="370"/>
      <c r="N133" s="137"/>
    </row>
    <row r="134" hidden="1" outlineLevel="1">
      <c r="A134" s="372" t="s">
        <v>1211</v>
      </c>
      <c r="B134" s="309">
        <v>46273.0</v>
      </c>
      <c r="C134" s="368" t="str">
        <f t="shared" si="15"/>
        <v>Tue</v>
      </c>
      <c r="D134" s="143">
        <f t="shared" si="16"/>
        <v>1</v>
      </c>
      <c r="E134" s="144" t="s">
        <v>142</v>
      </c>
      <c r="F134" s="134" t="s">
        <v>142</v>
      </c>
      <c r="G134" s="134" t="s">
        <v>142</v>
      </c>
      <c r="H134" s="134" t="s">
        <v>142</v>
      </c>
      <c r="I134" s="134" t="s">
        <v>142</v>
      </c>
      <c r="J134" s="134" t="s">
        <v>142</v>
      </c>
      <c r="K134" s="134" t="s">
        <v>142</v>
      </c>
      <c r="L134" s="134" t="s">
        <v>142</v>
      </c>
      <c r="M134" s="370"/>
      <c r="N134" s="137"/>
    </row>
    <row r="135" hidden="1" outlineLevel="1">
      <c r="A135" s="372" t="s">
        <v>1213</v>
      </c>
      <c r="B135" s="309">
        <v>46274.0</v>
      </c>
      <c r="C135" s="368" t="str">
        <f t="shared" si="15"/>
        <v>Wed</v>
      </c>
      <c r="D135" s="128">
        <f t="shared" si="16"/>
        <v>1</v>
      </c>
      <c r="E135" s="131" t="s">
        <v>142</v>
      </c>
      <c r="F135" s="134" t="s">
        <v>142</v>
      </c>
      <c r="G135" s="134" t="s">
        <v>142</v>
      </c>
      <c r="H135" s="134" t="s">
        <v>142</v>
      </c>
      <c r="I135" s="134" t="s">
        <v>142</v>
      </c>
      <c r="J135" s="134" t="s">
        <v>142</v>
      </c>
      <c r="K135" s="134" t="s">
        <v>142</v>
      </c>
      <c r="L135" s="134" t="s">
        <v>142</v>
      </c>
      <c r="M135" s="370"/>
      <c r="N135" s="137"/>
    </row>
    <row r="136" hidden="1" outlineLevel="1">
      <c r="A136" s="372" t="s">
        <v>1215</v>
      </c>
      <c r="B136" s="309">
        <v>46274.0</v>
      </c>
      <c r="C136" s="368" t="str">
        <f t="shared" si="15"/>
        <v>Wed</v>
      </c>
      <c r="D136" s="143">
        <f t="shared" si="16"/>
        <v>1</v>
      </c>
      <c r="E136" s="144" t="s">
        <v>142</v>
      </c>
      <c r="F136" s="134" t="s">
        <v>142</v>
      </c>
      <c r="G136" s="134" t="s">
        <v>142</v>
      </c>
      <c r="H136" s="134" t="s">
        <v>142</v>
      </c>
      <c r="I136" s="134" t="s">
        <v>142</v>
      </c>
      <c r="J136" s="134" t="s">
        <v>142</v>
      </c>
      <c r="K136" s="134" t="s">
        <v>142</v>
      </c>
      <c r="L136" s="134" t="s">
        <v>142</v>
      </c>
      <c r="M136" s="370"/>
      <c r="N136" s="137"/>
    </row>
    <row r="137" hidden="1" outlineLevel="1">
      <c r="A137" s="372" t="s">
        <v>1217</v>
      </c>
      <c r="B137" s="309">
        <v>46274.0</v>
      </c>
      <c r="C137" s="368" t="str">
        <f t="shared" si="15"/>
        <v>Wed</v>
      </c>
      <c r="D137" s="128">
        <f t="shared" si="16"/>
        <v>1</v>
      </c>
      <c r="E137" s="131" t="s">
        <v>142</v>
      </c>
      <c r="F137" s="134" t="s">
        <v>142</v>
      </c>
      <c r="G137" s="134" t="s">
        <v>142</v>
      </c>
      <c r="H137" s="134" t="s">
        <v>142</v>
      </c>
      <c r="I137" s="134" t="s">
        <v>142</v>
      </c>
      <c r="J137" s="134" t="s">
        <v>142</v>
      </c>
      <c r="K137" s="134" t="s">
        <v>142</v>
      </c>
      <c r="L137" s="134" t="s">
        <v>142</v>
      </c>
      <c r="M137" s="370"/>
      <c r="N137" s="137"/>
    </row>
    <row r="138" hidden="1" outlineLevel="1">
      <c r="A138" s="372" t="s">
        <v>1219</v>
      </c>
      <c r="B138" s="309">
        <v>46275.0</v>
      </c>
      <c r="C138" s="368" t="str">
        <f t="shared" si="15"/>
        <v>Thu</v>
      </c>
      <c r="D138" s="143">
        <f t="shared" si="16"/>
        <v>1</v>
      </c>
      <c r="E138" s="144" t="s">
        <v>142</v>
      </c>
      <c r="F138" s="134" t="s">
        <v>142</v>
      </c>
      <c r="G138" s="134" t="s">
        <v>142</v>
      </c>
      <c r="H138" s="134" t="s">
        <v>142</v>
      </c>
      <c r="I138" s="134" t="s">
        <v>142</v>
      </c>
      <c r="J138" s="134" t="s">
        <v>142</v>
      </c>
      <c r="K138" s="134" t="s">
        <v>142</v>
      </c>
      <c r="L138" s="134" t="s">
        <v>142</v>
      </c>
      <c r="M138" s="370"/>
      <c r="N138" s="137"/>
    </row>
    <row r="139" hidden="1" outlineLevel="1">
      <c r="A139" s="372" t="s">
        <v>1220</v>
      </c>
      <c r="B139" s="309">
        <v>46275.0</v>
      </c>
      <c r="C139" s="368" t="str">
        <f t="shared" si="15"/>
        <v>Thu</v>
      </c>
      <c r="D139" s="128">
        <f t="shared" si="16"/>
        <v>1</v>
      </c>
      <c r="E139" s="131" t="s">
        <v>142</v>
      </c>
      <c r="F139" s="134" t="s">
        <v>142</v>
      </c>
      <c r="G139" s="134" t="s">
        <v>142</v>
      </c>
      <c r="H139" s="134" t="s">
        <v>142</v>
      </c>
      <c r="I139" s="134" t="s">
        <v>142</v>
      </c>
      <c r="J139" s="134" t="s">
        <v>142</v>
      </c>
      <c r="K139" s="134" t="s">
        <v>142</v>
      </c>
      <c r="L139" s="134" t="s">
        <v>142</v>
      </c>
      <c r="M139" s="370"/>
      <c r="N139" s="137"/>
    </row>
    <row r="140" hidden="1" outlineLevel="1">
      <c r="A140" s="372" t="s">
        <v>1221</v>
      </c>
      <c r="B140" s="309">
        <v>46275.0</v>
      </c>
      <c r="C140" s="368" t="str">
        <f t="shared" si="15"/>
        <v>Thu</v>
      </c>
      <c r="D140" s="143">
        <f t="shared" si="16"/>
        <v>1</v>
      </c>
      <c r="E140" s="144" t="s">
        <v>142</v>
      </c>
      <c r="F140" s="134" t="s">
        <v>142</v>
      </c>
      <c r="G140" s="134" t="s">
        <v>142</v>
      </c>
      <c r="H140" s="134" t="s">
        <v>142</v>
      </c>
      <c r="I140" s="134" t="s">
        <v>142</v>
      </c>
      <c r="J140" s="134" t="s">
        <v>142</v>
      </c>
      <c r="K140" s="134" t="s">
        <v>142</v>
      </c>
      <c r="L140" s="134" t="s">
        <v>142</v>
      </c>
      <c r="M140" s="370"/>
      <c r="N140" s="137"/>
    </row>
    <row r="141" hidden="1" outlineLevel="1">
      <c r="A141" s="372" t="s">
        <v>1223</v>
      </c>
      <c r="B141" s="309">
        <v>46278.0</v>
      </c>
      <c r="C141" s="368" t="str">
        <f t="shared" si="15"/>
        <v>Sun</v>
      </c>
      <c r="D141" s="128">
        <f t="shared" si="16"/>
        <v>1</v>
      </c>
      <c r="E141" s="131" t="s">
        <v>142</v>
      </c>
      <c r="F141" s="134" t="s">
        <v>142</v>
      </c>
      <c r="G141" s="134" t="s">
        <v>142</v>
      </c>
      <c r="H141" s="134" t="s">
        <v>142</v>
      </c>
      <c r="I141" s="134" t="s">
        <v>142</v>
      </c>
      <c r="J141" s="134" t="s">
        <v>142</v>
      </c>
      <c r="K141" s="134" t="s">
        <v>142</v>
      </c>
      <c r="L141" s="134" t="s">
        <v>142</v>
      </c>
      <c r="M141" s="370"/>
      <c r="N141" s="137"/>
    </row>
    <row r="142" hidden="1" outlineLevel="1">
      <c r="A142" s="372" t="s">
        <v>1224</v>
      </c>
      <c r="B142" s="309">
        <v>46278.0</v>
      </c>
      <c r="C142" s="368" t="str">
        <f t="shared" si="15"/>
        <v>Sun</v>
      </c>
      <c r="D142" s="143">
        <f t="shared" si="16"/>
        <v>1</v>
      </c>
      <c r="E142" s="144" t="s">
        <v>142</v>
      </c>
      <c r="F142" s="134" t="s">
        <v>142</v>
      </c>
      <c r="G142" s="134" t="s">
        <v>142</v>
      </c>
      <c r="H142" s="134" t="s">
        <v>142</v>
      </c>
      <c r="I142" s="134" t="s">
        <v>142</v>
      </c>
      <c r="J142" s="134" t="s">
        <v>142</v>
      </c>
      <c r="K142" s="134" t="s">
        <v>142</v>
      </c>
      <c r="L142" s="134" t="s">
        <v>142</v>
      </c>
      <c r="M142" s="370"/>
      <c r="N142" s="137"/>
    </row>
    <row r="143" hidden="1" outlineLevel="1">
      <c r="A143" s="372" t="s">
        <v>1225</v>
      </c>
      <c r="B143" s="309">
        <v>46278.0</v>
      </c>
      <c r="C143" s="368" t="str">
        <f t="shared" si="15"/>
        <v>Sun</v>
      </c>
      <c r="D143" s="128">
        <f t="shared" si="16"/>
        <v>1</v>
      </c>
      <c r="E143" s="131" t="s">
        <v>142</v>
      </c>
      <c r="F143" s="134" t="s">
        <v>142</v>
      </c>
      <c r="G143" s="134" t="s">
        <v>142</v>
      </c>
      <c r="H143" s="134" t="s">
        <v>142</v>
      </c>
      <c r="I143" s="134" t="s">
        <v>142</v>
      </c>
      <c r="J143" s="134" t="s">
        <v>142</v>
      </c>
      <c r="K143" s="134" t="s">
        <v>142</v>
      </c>
      <c r="L143" s="134" t="s">
        <v>142</v>
      </c>
      <c r="M143" s="370"/>
      <c r="N143" s="137"/>
    </row>
    <row r="144" hidden="1" outlineLevel="1">
      <c r="A144" s="373"/>
      <c r="B144" s="373"/>
      <c r="C144" s="374" t="s">
        <v>199</v>
      </c>
      <c r="D144" s="414">
        <f>AVERAGE(D129:D143)</f>
        <v>1</v>
      </c>
      <c r="E144" s="391"/>
      <c r="F144" s="373"/>
      <c r="G144" s="373"/>
      <c r="H144" s="373"/>
      <c r="I144" s="373"/>
      <c r="J144" s="373"/>
      <c r="K144" s="373"/>
      <c r="L144" s="374" t="s">
        <v>199</v>
      </c>
      <c r="M144" s="377">
        <f>SUM(M129:M143)/75*0.1</f>
        <v>0</v>
      </c>
      <c r="N144" s="373"/>
    </row>
    <row r="145" collapsed="1">
      <c r="A145" s="85" t="s">
        <v>471</v>
      </c>
      <c r="B145" s="86"/>
      <c r="C145" s="86"/>
      <c r="D145" s="88"/>
      <c r="E145" s="361"/>
      <c r="F145" s="361"/>
      <c r="G145" s="361"/>
      <c r="H145" s="361"/>
      <c r="I145" s="361"/>
      <c r="J145" s="361"/>
      <c r="K145" s="361"/>
      <c r="L145" s="361"/>
      <c r="M145" s="361"/>
      <c r="N145" s="361"/>
    </row>
    <row r="146" hidden="1" outlineLevel="1">
      <c r="A146" s="362" t="s">
        <v>89</v>
      </c>
      <c r="B146" s="363" t="s">
        <v>90</v>
      </c>
      <c r="C146" s="363" t="s">
        <v>91</v>
      </c>
      <c r="D146" s="364" t="s">
        <v>93</v>
      </c>
      <c r="E146" s="365" t="s">
        <v>94</v>
      </c>
      <c r="F146" s="365" t="s">
        <v>95</v>
      </c>
      <c r="G146" s="366" t="s">
        <v>96</v>
      </c>
      <c r="H146" s="366" t="s">
        <v>97</v>
      </c>
      <c r="I146" s="366" t="s">
        <v>104</v>
      </c>
      <c r="J146" s="366" t="s">
        <v>106</v>
      </c>
      <c r="K146" s="366" t="s">
        <v>109</v>
      </c>
      <c r="L146" s="366" t="s">
        <v>111</v>
      </c>
      <c r="M146" s="363" t="s">
        <v>114</v>
      </c>
      <c r="N146" s="363" t="s">
        <v>116</v>
      </c>
    </row>
    <row r="147" hidden="1" outlineLevel="1">
      <c r="A147" s="372" t="s">
        <v>1228</v>
      </c>
      <c r="B147" s="309">
        <v>46279.0</v>
      </c>
      <c r="C147" s="368" t="str">
        <f t="shared" ref="C147:C161" si="17">IF(B147="", "", TEXT(B147, "ddd"))</f>
        <v>Mon</v>
      </c>
      <c r="D147" s="128">
        <f t="shared" ref="D147:D161" si="18">IF(E147="Yes",0.05,0)
+IF(F147="Yes",0.1,0)
+IF(G147="Yes",0.15,0)
+IF(H147="Yes",0.15,0)
+IF(I147="Yes",0.05,0)
+IF(J147="Yes",0.05,0)
+IF(K147="Yes",0.15,0)
+IF(L147="Yes",0.3,0)
</f>
        <v>1</v>
      </c>
      <c r="E147" s="131" t="s">
        <v>142</v>
      </c>
      <c r="F147" s="134" t="s">
        <v>142</v>
      </c>
      <c r="G147" s="134" t="s">
        <v>142</v>
      </c>
      <c r="H147" s="134" t="s">
        <v>142</v>
      </c>
      <c r="I147" s="134" t="s">
        <v>142</v>
      </c>
      <c r="J147" s="134" t="s">
        <v>142</v>
      </c>
      <c r="K147" s="134" t="s">
        <v>142</v>
      </c>
      <c r="L147" s="134" t="s">
        <v>142</v>
      </c>
      <c r="M147" s="370"/>
      <c r="N147" s="137"/>
    </row>
    <row r="148" hidden="1" outlineLevel="1">
      <c r="A148" s="372" t="s">
        <v>1233</v>
      </c>
      <c r="B148" s="309">
        <v>46279.0</v>
      </c>
      <c r="C148" s="368" t="str">
        <f t="shared" si="17"/>
        <v>Mon</v>
      </c>
      <c r="D148" s="143">
        <f t="shared" si="18"/>
        <v>1</v>
      </c>
      <c r="E148" s="144" t="s">
        <v>142</v>
      </c>
      <c r="F148" s="134" t="s">
        <v>142</v>
      </c>
      <c r="G148" s="134" t="s">
        <v>142</v>
      </c>
      <c r="H148" s="134" t="s">
        <v>142</v>
      </c>
      <c r="I148" s="134" t="s">
        <v>142</v>
      </c>
      <c r="J148" s="134" t="s">
        <v>142</v>
      </c>
      <c r="K148" s="134" t="s">
        <v>142</v>
      </c>
      <c r="L148" s="134" t="s">
        <v>142</v>
      </c>
      <c r="M148" s="370"/>
      <c r="N148" s="137"/>
    </row>
    <row r="149" hidden="1" outlineLevel="1">
      <c r="A149" s="372" t="s">
        <v>1235</v>
      </c>
      <c r="B149" s="309">
        <v>46279.0</v>
      </c>
      <c r="C149" s="368" t="str">
        <f t="shared" si="17"/>
        <v>Mon</v>
      </c>
      <c r="D149" s="128">
        <f t="shared" si="18"/>
        <v>1</v>
      </c>
      <c r="E149" s="131" t="s">
        <v>142</v>
      </c>
      <c r="F149" s="134" t="s">
        <v>142</v>
      </c>
      <c r="G149" s="134" t="s">
        <v>142</v>
      </c>
      <c r="H149" s="134" t="s">
        <v>142</v>
      </c>
      <c r="I149" s="134" t="s">
        <v>142</v>
      </c>
      <c r="J149" s="134" t="s">
        <v>142</v>
      </c>
      <c r="K149" s="134" t="s">
        <v>142</v>
      </c>
      <c r="L149" s="134" t="s">
        <v>142</v>
      </c>
      <c r="M149" s="370"/>
      <c r="N149" s="137"/>
    </row>
    <row r="150" hidden="1" outlineLevel="1">
      <c r="A150" s="372" t="s">
        <v>1237</v>
      </c>
      <c r="B150" s="309">
        <v>46280.0</v>
      </c>
      <c r="C150" s="368" t="str">
        <f t="shared" si="17"/>
        <v>Tue</v>
      </c>
      <c r="D150" s="143">
        <f t="shared" si="18"/>
        <v>1</v>
      </c>
      <c r="E150" s="144" t="s">
        <v>142</v>
      </c>
      <c r="F150" s="134" t="s">
        <v>142</v>
      </c>
      <c r="G150" s="134" t="s">
        <v>142</v>
      </c>
      <c r="H150" s="134" t="s">
        <v>142</v>
      </c>
      <c r="I150" s="134" t="s">
        <v>142</v>
      </c>
      <c r="J150" s="134" t="s">
        <v>142</v>
      </c>
      <c r="K150" s="134" t="s">
        <v>142</v>
      </c>
      <c r="L150" s="134" t="s">
        <v>142</v>
      </c>
      <c r="M150" s="370"/>
      <c r="N150" s="137"/>
    </row>
    <row r="151" hidden="1" outlineLevel="1">
      <c r="A151" s="372" t="s">
        <v>1239</v>
      </c>
      <c r="B151" s="309">
        <v>46280.0</v>
      </c>
      <c r="C151" s="368" t="str">
        <f t="shared" si="17"/>
        <v>Tue</v>
      </c>
      <c r="D151" s="128">
        <f t="shared" si="18"/>
        <v>1</v>
      </c>
      <c r="E151" s="131" t="s">
        <v>142</v>
      </c>
      <c r="F151" s="134" t="s">
        <v>142</v>
      </c>
      <c r="G151" s="134" t="s">
        <v>142</v>
      </c>
      <c r="H151" s="134" t="s">
        <v>142</v>
      </c>
      <c r="I151" s="134" t="s">
        <v>142</v>
      </c>
      <c r="J151" s="134" t="s">
        <v>142</v>
      </c>
      <c r="K151" s="134" t="s">
        <v>142</v>
      </c>
      <c r="L151" s="134" t="s">
        <v>142</v>
      </c>
      <c r="M151" s="370"/>
      <c r="N151" s="137"/>
    </row>
    <row r="152" hidden="1" outlineLevel="1">
      <c r="A152" s="372" t="s">
        <v>1241</v>
      </c>
      <c r="B152" s="309">
        <v>46280.0</v>
      </c>
      <c r="C152" s="368" t="str">
        <f t="shared" si="17"/>
        <v>Tue</v>
      </c>
      <c r="D152" s="143">
        <f t="shared" si="18"/>
        <v>1</v>
      </c>
      <c r="E152" s="144" t="s">
        <v>142</v>
      </c>
      <c r="F152" s="134" t="s">
        <v>142</v>
      </c>
      <c r="G152" s="134" t="s">
        <v>142</v>
      </c>
      <c r="H152" s="134" t="s">
        <v>142</v>
      </c>
      <c r="I152" s="134" t="s">
        <v>142</v>
      </c>
      <c r="J152" s="134" t="s">
        <v>142</v>
      </c>
      <c r="K152" s="134" t="s">
        <v>142</v>
      </c>
      <c r="L152" s="134" t="s">
        <v>142</v>
      </c>
      <c r="M152" s="370"/>
      <c r="N152" s="137"/>
    </row>
    <row r="153" hidden="1" outlineLevel="1">
      <c r="A153" s="372" t="s">
        <v>1243</v>
      </c>
      <c r="B153" s="309">
        <v>46281.0</v>
      </c>
      <c r="C153" s="368" t="str">
        <f t="shared" si="17"/>
        <v>Wed</v>
      </c>
      <c r="D153" s="128">
        <f t="shared" si="18"/>
        <v>1</v>
      </c>
      <c r="E153" s="131" t="s">
        <v>142</v>
      </c>
      <c r="F153" s="134" t="s">
        <v>142</v>
      </c>
      <c r="G153" s="134" t="s">
        <v>142</v>
      </c>
      <c r="H153" s="134" t="s">
        <v>142</v>
      </c>
      <c r="I153" s="134" t="s">
        <v>142</v>
      </c>
      <c r="J153" s="134" t="s">
        <v>142</v>
      </c>
      <c r="K153" s="134" t="s">
        <v>142</v>
      </c>
      <c r="L153" s="134" t="s">
        <v>142</v>
      </c>
      <c r="M153" s="370"/>
      <c r="N153" s="137"/>
    </row>
    <row r="154" hidden="1" outlineLevel="1">
      <c r="A154" s="372" t="s">
        <v>1245</v>
      </c>
      <c r="B154" s="309">
        <v>46281.0</v>
      </c>
      <c r="C154" s="368" t="str">
        <f t="shared" si="17"/>
        <v>Wed</v>
      </c>
      <c r="D154" s="143">
        <f t="shared" si="18"/>
        <v>1</v>
      </c>
      <c r="E154" s="144" t="s">
        <v>142</v>
      </c>
      <c r="F154" s="134" t="s">
        <v>142</v>
      </c>
      <c r="G154" s="134" t="s">
        <v>142</v>
      </c>
      <c r="H154" s="134" t="s">
        <v>142</v>
      </c>
      <c r="I154" s="134" t="s">
        <v>142</v>
      </c>
      <c r="J154" s="134" t="s">
        <v>142</v>
      </c>
      <c r="K154" s="134" t="s">
        <v>142</v>
      </c>
      <c r="L154" s="134" t="s">
        <v>142</v>
      </c>
      <c r="M154" s="370"/>
      <c r="N154" s="137"/>
    </row>
    <row r="155" hidden="1" outlineLevel="1">
      <c r="A155" s="372" t="s">
        <v>1248</v>
      </c>
      <c r="B155" s="309">
        <v>46281.0</v>
      </c>
      <c r="C155" s="368" t="str">
        <f t="shared" si="17"/>
        <v>Wed</v>
      </c>
      <c r="D155" s="128">
        <f t="shared" si="18"/>
        <v>1</v>
      </c>
      <c r="E155" s="131" t="s">
        <v>142</v>
      </c>
      <c r="F155" s="134" t="s">
        <v>142</v>
      </c>
      <c r="G155" s="134" t="s">
        <v>142</v>
      </c>
      <c r="H155" s="134" t="s">
        <v>142</v>
      </c>
      <c r="I155" s="134" t="s">
        <v>142</v>
      </c>
      <c r="J155" s="134" t="s">
        <v>142</v>
      </c>
      <c r="K155" s="134" t="s">
        <v>142</v>
      </c>
      <c r="L155" s="134" t="s">
        <v>142</v>
      </c>
      <c r="M155" s="370"/>
      <c r="N155" s="137"/>
    </row>
    <row r="156" hidden="1" outlineLevel="1">
      <c r="A156" s="372" t="s">
        <v>1254</v>
      </c>
      <c r="B156" s="309">
        <v>46284.0</v>
      </c>
      <c r="C156" s="368" t="str">
        <f t="shared" si="17"/>
        <v>Sat</v>
      </c>
      <c r="D156" s="143">
        <f t="shared" si="18"/>
        <v>1</v>
      </c>
      <c r="E156" s="144" t="s">
        <v>142</v>
      </c>
      <c r="F156" s="134" t="s">
        <v>142</v>
      </c>
      <c r="G156" s="134" t="s">
        <v>142</v>
      </c>
      <c r="H156" s="134" t="s">
        <v>142</v>
      </c>
      <c r="I156" s="134" t="s">
        <v>142</v>
      </c>
      <c r="J156" s="134" t="s">
        <v>142</v>
      </c>
      <c r="K156" s="134" t="s">
        <v>142</v>
      </c>
      <c r="L156" s="134" t="s">
        <v>142</v>
      </c>
      <c r="M156" s="370"/>
      <c r="N156" s="137"/>
    </row>
    <row r="157" hidden="1" outlineLevel="1">
      <c r="A157" s="372" t="s">
        <v>1255</v>
      </c>
      <c r="B157" s="309">
        <v>46284.0</v>
      </c>
      <c r="C157" s="368" t="str">
        <f t="shared" si="17"/>
        <v>Sat</v>
      </c>
      <c r="D157" s="128">
        <f t="shared" si="18"/>
        <v>1</v>
      </c>
      <c r="E157" s="131" t="s">
        <v>142</v>
      </c>
      <c r="F157" s="134" t="s">
        <v>142</v>
      </c>
      <c r="G157" s="134" t="s">
        <v>142</v>
      </c>
      <c r="H157" s="134" t="s">
        <v>142</v>
      </c>
      <c r="I157" s="134" t="s">
        <v>142</v>
      </c>
      <c r="J157" s="134" t="s">
        <v>142</v>
      </c>
      <c r="K157" s="134" t="s">
        <v>142</v>
      </c>
      <c r="L157" s="134" t="s">
        <v>142</v>
      </c>
      <c r="M157" s="370"/>
      <c r="N157" s="137"/>
    </row>
    <row r="158" hidden="1" outlineLevel="1">
      <c r="A158" s="372" t="s">
        <v>1256</v>
      </c>
      <c r="B158" s="309">
        <v>46284.0</v>
      </c>
      <c r="C158" s="368" t="str">
        <f t="shared" si="17"/>
        <v>Sat</v>
      </c>
      <c r="D158" s="143">
        <f t="shared" si="18"/>
        <v>1</v>
      </c>
      <c r="E158" s="144" t="s">
        <v>142</v>
      </c>
      <c r="F158" s="134" t="s">
        <v>142</v>
      </c>
      <c r="G158" s="134" t="s">
        <v>142</v>
      </c>
      <c r="H158" s="134" t="s">
        <v>142</v>
      </c>
      <c r="I158" s="134" t="s">
        <v>142</v>
      </c>
      <c r="J158" s="134" t="s">
        <v>142</v>
      </c>
      <c r="K158" s="134" t="s">
        <v>142</v>
      </c>
      <c r="L158" s="134" t="s">
        <v>142</v>
      </c>
      <c r="M158" s="370"/>
      <c r="N158" s="137"/>
    </row>
    <row r="159" hidden="1" outlineLevel="1">
      <c r="A159" s="372" t="s">
        <v>1257</v>
      </c>
      <c r="B159" s="309">
        <v>46285.0</v>
      </c>
      <c r="C159" s="368" t="str">
        <f t="shared" si="17"/>
        <v>Sun</v>
      </c>
      <c r="D159" s="128">
        <f t="shared" si="18"/>
        <v>1</v>
      </c>
      <c r="E159" s="131" t="s">
        <v>142</v>
      </c>
      <c r="F159" s="134" t="s">
        <v>142</v>
      </c>
      <c r="G159" s="134" t="s">
        <v>142</v>
      </c>
      <c r="H159" s="134" t="s">
        <v>142</v>
      </c>
      <c r="I159" s="134" t="s">
        <v>142</v>
      </c>
      <c r="J159" s="134" t="s">
        <v>142</v>
      </c>
      <c r="K159" s="134" t="s">
        <v>142</v>
      </c>
      <c r="L159" s="134" t="s">
        <v>142</v>
      </c>
      <c r="M159" s="370"/>
      <c r="N159" s="137"/>
    </row>
    <row r="160" hidden="1" outlineLevel="1">
      <c r="A160" s="372" t="s">
        <v>1259</v>
      </c>
      <c r="B160" s="309">
        <v>46285.0</v>
      </c>
      <c r="C160" s="368" t="str">
        <f t="shared" si="17"/>
        <v>Sun</v>
      </c>
      <c r="D160" s="143">
        <f t="shared" si="18"/>
        <v>1</v>
      </c>
      <c r="E160" s="144" t="s">
        <v>142</v>
      </c>
      <c r="F160" s="134" t="s">
        <v>142</v>
      </c>
      <c r="G160" s="134" t="s">
        <v>142</v>
      </c>
      <c r="H160" s="134" t="s">
        <v>142</v>
      </c>
      <c r="I160" s="134" t="s">
        <v>142</v>
      </c>
      <c r="J160" s="134" t="s">
        <v>142</v>
      </c>
      <c r="K160" s="134" t="s">
        <v>142</v>
      </c>
      <c r="L160" s="134" t="s">
        <v>142</v>
      </c>
      <c r="M160" s="370"/>
      <c r="N160" s="137"/>
    </row>
    <row r="161" hidden="1" outlineLevel="1">
      <c r="A161" s="372" t="s">
        <v>1260</v>
      </c>
      <c r="B161" s="309">
        <v>46285.0</v>
      </c>
      <c r="C161" s="368" t="str">
        <f t="shared" si="17"/>
        <v>Sun</v>
      </c>
      <c r="D161" s="128">
        <f t="shared" si="18"/>
        <v>1</v>
      </c>
      <c r="E161" s="131" t="s">
        <v>142</v>
      </c>
      <c r="F161" s="134" t="s">
        <v>142</v>
      </c>
      <c r="G161" s="134" t="s">
        <v>142</v>
      </c>
      <c r="H161" s="134" t="s">
        <v>142</v>
      </c>
      <c r="I161" s="134" t="s">
        <v>142</v>
      </c>
      <c r="J161" s="134" t="s">
        <v>142</v>
      </c>
      <c r="K161" s="134" t="s">
        <v>142</v>
      </c>
      <c r="L161" s="134" t="s">
        <v>142</v>
      </c>
      <c r="M161" s="370"/>
      <c r="N161" s="137"/>
    </row>
    <row r="162" hidden="1" outlineLevel="1">
      <c r="A162" s="373"/>
      <c r="B162" s="373"/>
      <c r="C162" s="374" t="s">
        <v>199</v>
      </c>
      <c r="D162" s="414">
        <f>AVERAGE(D147:D161)</f>
        <v>1</v>
      </c>
      <c r="E162" s="391"/>
      <c r="F162" s="373"/>
      <c r="G162" s="373"/>
      <c r="H162" s="373"/>
      <c r="I162" s="373"/>
      <c r="J162" s="373"/>
      <c r="K162" s="373"/>
      <c r="L162" s="374" t="s">
        <v>199</v>
      </c>
      <c r="M162" s="377">
        <f>SUM(M147:M161)/75*0.1</f>
        <v>0</v>
      </c>
      <c r="N162" s="373"/>
    </row>
    <row r="163" collapsed="1">
      <c r="A163" s="85" t="s">
        <v>493</v>
      </c>
      <c r="B163" s="86"/>
      <c r="C163" s="86"/>
      <c r="D163" s="88"/>
      <c r="E163" s="361"/>
      <c r="F163" s="361"/>
      <c r="G163" s="361"/>
      <c r="H163" s="361"/>
      <c r="I163" s="361"/>
      <c r="J163" s="361"/>
      <c r="K163" s="361"/>
      <c r="L163" s="361"/>
      <c r="M163" s="361"/>
      <c r="N163" s="361"/>
    </row>
    <row r="164" hidden="1" outlineLevel="1">
      <c r="A164" s="362" t="s">
        <v>89</v>
      </c>
      <c r="B164" s="363" t="s">
        <v>90</v>
      </c>
      <c r="C164" s="363" t="s">
        <v>91</v>
      </c>
      <c r="D164" s="364" t="s">
        <v>93</v>
      </c>
      <c r="E164" s="365" t="s">
        <v>94</v>
      </c>
      <c r="F164" s="365" t="s">
        <v>95</v>
      </c>
      <c r="G164" s="366" t="s">
        <v>96</v>
      </c>
      <c r="H164" s="366" t="s">
        <v>97</v>
      </c>
      <c r="I164" s="366" t="s">
        <v>104</v>
      </c>
      <c r="J164" s="366" t="s">
        <v>106</v>
      </c>
      <c r="K164" s="366" t="s">
        <v>109</v>
      </c>
      <c r="L164" s="366" t="s">
        <v>111</v>
      </c>
      <c r="M164" s="363" t="s">
        <v>114</v>
      </c>
      <c r="N164" s="363" t="s">
        <v>116</v>
      </c>
    </row>
    <row r="165" hidden="1" outlineLevel="1">
      <c r="A165" s="367" t="s">
        <v>1264</v>
      </c>
      <c r="B165" s="309">
        <v>46286.0</v>
      </c>
      <c r="C165" s="368" t="str">
        <f t="shared" ref="C165:C179" si="19">IF(B165="", "", TEXT(B165, "ddd"))</f>
        <v>Mon</v>
      </c>
      <c r="D165" s="128">
        <f t="shared" ref="D165:D179" si="20">IF(E165="Yes",0.05,0)
+IF(F165="Yes",0.1,0)
+IF(G165="Yes",0.15,0)
+IF(H165="Yes",0.15,0)
+IF(I165="Yes",0.05,0)
+IF(J165="Yes",0.05,0)
+IF(K165="Yes",0.15,0)
+IF(L165="Yes",0.3,0)
</f>
        <v>1</v>
      </c>
      <c r="E165" s="131" t="s">
        <v>142</v>
      </c>
      <c r="F165" s="134" t="s">
        <v>142</v>
      </c>
      <c r="G165" s="134" t="s">
        <v>142</v>
      </c>
      <c r="H165" s="134" t="s">
        <v>142</v>
      </c>
      <c r="I165" s="134" t="s">
        <v>142</v>
      </c>
      <c r="J165" s="134" t="s">
        <v>142</v>
      </c>
      <c r="K165" s="134" t="s">
        <v>142</v>
      </c>
      <c r="L165" s="134" t="s">
        <v>142</v>
      </c>
      <c r="M165" s="370"/>
      <c r="N165" s="137"/>
    </row>
    <row r="166" hidden="1" outlineLevel="1">
      <c r="A166" s="367" t="s">
        <v>1266</v>
      </c>
      <c r="B166" s="309">
        <v>46286.0</v>
      </c>
      <c r="C166" s="368" t="str">
        <f t="shared" si="19"/>
        <v>Mon</v>
      </c>
      <c r="D166" s="143">
        <f t="shared" si="20"/>
        <v>1</v>
      </c>
      <c r="E166" s="144" t="s">
        <v>142</v>
      </c>
      <c r="F166" s="134" t="s">
        <v>142</v>
      </c>
      <c r="G166" s="134" t="s">
        <v>142</v>
      </c>
      <c r="H166" s="134" t="s">
        <v>142</v>
      </c>
      <c r="I166" s="134" t="s">
        <v>142</v>
      </c>
      <c r="J166" s="134" t="s">
        <v>142</v>
      </c>
      <c r="K166" s="134" t="s">
        <v>142</v>
      </c>
      <c r="L166" s="134" t="s">
        <v>142</v>
      </c>
      <c r="M166" s="370"/>
      <c r="N166" s="137"/>
    </row>
    <row r="167" hidden="1" outlineLevel="1">
      <c r="A167" s="367" t="s">
        <v>1268</v>
      </c>
      <c r="B167" s="309">
        <v>46286.0</v>
      </c>
      <c r="C167" s="368" t="str">
        <f t="shared" si="19"/>
        <v>Mon</v>
      </c>
      <c r="D167" s="128">
        <f t="shared" si="20"/>
        <v>1</v>
      </c>
      <c r="E167" s="131" t="s">
        <v>142</v>
      </c>
      <c r="F167" s="134" t="s">
        <v>142</v>
      </c>
      <c r="G167" s="134" t="s">
        <v>142</v>
      </c>
      <c r="H167" s="134" t="s">
        <v>142</v>
      </c>
      <c r="I167" s="134" t="s">
        <v>142</v>
      </c>
      <c r="J167" s="134" t="s">
        <v>142</v>
      </c>
      <c r="K167" s="134" t="s">
        <v>142</v>
      </c>
      <c r="L167" s="134" t="s">
        <v>142</v>
      </c>
      <c r="M167" s="370"/>
      <c r="N167" s="137"/>
    </row>
    <row r="168" hidden="1" outlineLevel="1">
      <c r="A168" s="367" t="s">
        <v>1270</v>
      </c>
      <c r="B168" s="309">
        <v>46287.0</v>
      </c>
      <c r="C168" s="368" t="str">
        <f t="shared" si="19"/>
        <v>Tue</v>
      </c>
      <c r="D168" s="143">
        <f t="shared" si="20"/>
        <v>1</v>
      </c>
      <c r="E168" s="144" t="s">
        <v>142</v>
      </c>
      <c r="F168" s="134" t="s">
        <v>142</v>
      </c>
      <c r="G168" s="134" t="s">
        <v>142</v>
      </c>
      <c r="H168" s="134" t="s">
        <v>142</v>
      </c>
      <c r="I168" s="134" t="s">
        <v>142</v>
      </c>
      <c r="J168" s="134" t="s">
        <v>142</v>
      </c>
      <c r="K168" s="134" t="s">
        <v>142</v>
      </c>
      <c r="L168" s="134" t="s">
        <v>142</v>
      </c>
      <c r="M168" s="370"/>
      <c r="N168" s="137"/>
    </row>
    <row r="169" hidden="1" outlineLevel="1">
      <c r="A169" s="367" t="s">
        <v>1272</v>
      </c>
      <c r="B169" s="309">
        <v>46287.0</v>
      </c>
      <c r="C169" s="368" t="str">
        <f t="shared" si="19"/>
        <v>Tue</v>
      </c>
      <c r="D169" s="128">
        <f t="shared" si="20"/>
        <v>1</v>
      </c>
      <c r="E169" s="131" t="s">
        <v>142</v>
      </c>
      <c r="F169" s="134" t="s">
        <v>142</v>
      </c>
      <c r="G169" s="134" t="s">
        <v>142</v>
      </c>
      <c r="H169" s="134" t="s">
        <v>142</v>
      </c>
      <c r="I169" s="134" t="s">
        <v>142</v>
      </c>
      <c r="J169" s="134" t="s">
        <v>142</v>
      </c>
      <c r="K169" s="134" t="s">
        <v>142</v>
      </c>
      <c r="L169" s="134" t="s">
        <v>142</v>
      </c>
      <c r="M169" s="370"/>
      <c r="N169" s="137"/>
    </row>
    <row r="170" hidden="1" outlineLevel="1">
      <c r="A170" s="367" t="s">
        <v>1276</v>
      </c>
      <c r="B170" s="309">
        <v>46287.0</v>
      </c>
      <c r="C170" s="368" t="str">
        <f t="shared" si="19"/>
        <v>Tue</v>
      </c>
      <c r="D170" s="143">
        <f t="shared" si="20"/>
        <v>1</v>
      </c>
      <c r="E170" s="144" t="s">
        <v>142</v>
      </c>
      <c r="F170" s="134" t="s">
        <v>142</v>
      </c>
      <c r="G170" s="134" t="s">
        <v>142</v>
      </c>
      <c r="H170" s="134" t="s">
        <v>142</v>
      </c>
      <c r="I170" s="134" t="s">
        <v>142</v>
      </c>
      <c r="J170" s="134" t="s">
        <v>142</v>
      </c>
      <c r="K170" s="134" t="s">
        <v>142</v>
      </c>
      <c r="L170" s="134" t="s">
        <v>142</v>
      </c>
      <c r="M170" s="370"/>
      <c r="N170" s="137"/>
    </row>
    <row r="171" hidden="1" outlineLevel="1">
      <c r="A171" s="367" t="s">
        <v>1278</v>
      </c>
      <c r="B171" s="309">
        <v>46288.0</v>
      </c>
      <c r="C171" s="368" t="str">
        <f t="shared" si="19"/>
        <v>Wed</v>
      </c>
      <c r="D171" s="128">
        <f t="shared" si="20"/>
        <v>1</v>
      </c>
      <c r="E171" s="131" t="s">
        <v>142</v>
      </c>
      <c r="F171" s="134" t="s">
        <v>142</v>
      </c>
      <c r="G171" s="134" t="s">
        <v>142</v>
      </c>
      <c r="H171" s="134" t="s">
        <v>142</v>
      </c>
      <c r="I171" s="134" t="s">
        <v>142</v>
      </c>
      <c r="J171" s="134" t="s">
        <v>142</v>
      </c>
      <c r="K171" s="134" t="s">
        <v>142</v>
      </c>
      <c r="L171" s="134" t="s">
        <v>142</v>
      </c>
      <c r="M171" s="370"/>
      <c r="N171" s="137"/>
    </row>
    <row r="172" hidden="1" outlineLevel="1">
      <c r="A172" s="367" t="s">
        <v>1280</v>
      </c>
      <c r="B172" s="309">
        <v>46288.0</v>
      </c>
      <c r="C172" s="368" t="str">
        <f t="shared" si="19"/>
        <v>Wed</v>
      </c>
      <c r="D172" s="143">
        <f t="shared" si="20"/>
        <v>1</v>
      </c>
      <c r="E172" s="144" t="s">
        <v>142</v>
      </c>
      <c r="F172" s="134" t="s">
        <v>142</v>
      </c>
      <c r="G172" s="134" t="s">
        <v>142</v>
      </c>
      <c r="H172" s="134" t="s">
        <v>142</v>
      </c>
      <c r="I172" s="134" t="s">
        <v>142</v>
      </c>
      <c r="J172" s="134" t="s">
        <v>142</v>
      </c>
      <c r="K172" s="134" t="s">
        <v>142</v>
      </c>
      <c r="L172" s="134" t="s">
        <v>142</v>
      </c>
      <c r="M172" s="370"/>
      <c r="N172" s="137"/>
    </row>
    <row r="173" hidden="1" outlineLevel="1">
      <c r="A173" s="367" t="s">
        <v>1283</v>
      </c>
      <c r="B173" s="309">
        <v>46288.0</v>
      </c>
      <c r="C173" s="368" t="str">
        <f t="shared" si="19"/>
        <v>Wed</v>
      </c>
      <c r="D173" s="128">
        <f t="shared" si="20"/>
        <v>1</v>
      </c>
      <c r="E173" s="131" t="s">
        <v>142</v>
      </c>
      <c r="F173" s="134" t="s">
        <v>142</v>
      </c>
      <c r="G173" s="134" t="s">
        <v>142</v>
      </c>
      <c r="H173" s="134" t="s">
        <v>142</v>
      </c>
      <c r="I173" s="134" t="s">
        <v>142</v>
      </c>
      <c r="J173" s="134" t="s">
        <v>142</v>
      </c>
      <c r="K173" s="134" t="s">
        <v>142</v>
      </c>
      <c r="L173" s="134" t="s">
        <v>142</v>
      </c>
      <c r="M173" s="370"/>
      <c r="N173" s="137"/>
    </row>
    <row r="174" hidden="1" outlineLevel="1">
      <c r="A174" s="367" t="s">
        <v>1285</v>
      </c>
      <c r="B174" s="309">
        <v>46291.0</v>
      </c>
      <c r="C174" s="368" t="str">
        <f t="shared" si="19"/>
        <v>Sat</v>
      </c>
      <c r="D174" s="143">
        <f t="shared" si="20"/>
        <v>1</v>
      </c>
      <c r="E174" s="144" t="s">
        <v>142</v>
      </c>
      <c r="F174" s="134" t="s">
        <v>142</v>
      </c>
      <c r="G174" s="134" t="s">
        <v>142</v>
      </c>
      <c r="H174" s="134" t="s">
        <v>142</v>
      </c>
      <c r="I174" s="134" t="s">
        <v>142</v>
      </c>
      <c r="J174" s="134" t="s">
        <v>142</v>
      </c>
      <c r="K174" s="134" t="s">
        <v>142</v>
      </c>
      <c r="L174" s="134" t="s">
        <v>142</v>
      </c>
      <c r="M174" s="370"/>
      <c r="N174" s="137"/>
    </row>
    <row r="175" hidden="1" outlineLevel="1">
      <c r="A175" s="367" t="s">
        <v>1286</v>
      </c>
      <c r="B175" s="309">
        <v>46291.0</v>
      </c>
      <c r="C175" s="368" t="str">
        <f t="shared" si="19"/>
        <v>Sat</v>
      </c>
      <c r="D175" s="128">
        <f t="shared" si="20"/>
        <v>1</v>
      </c>
      <c r="E175" s="131" t="s">
        <v>142</v>
      </c>
      <c r="F175" s="134" t="s">
        <v>142</v>
      </c>
      <c r="G175" s="134" t="s">
        <v>142</v>
      </c>
      <c r="H175" s="134" t="s">
        <v>142</v>
      </c>
      <c r="I175" s="134" t="s">
        <v>142</v>
      </c>
      <c r="J175" s="134" t="s">
        <v>142</v>
      </c>
      <c r="K175" s="134" t="s">
        <v>142</v>
      </c>
      <c r="L175" s="134" t="s">
        <v>142</v>
      </c>
      <c r="M175" s="370"/>
      <c r="N175" s="137"/>
    </row>
    <row r="176" hidden="1" outlineLevel="1">
      <c r="A176" s="367" t="s">
        <v>1287</v>
      </c>
      <c r="B176" s="309">
        <v>46291.0</v>
      </c>
      <c r="C176" s="368" t="str">
        <f t="shared" si="19"/>
        <v>Sat</v>
      </c>
      <c r="D176" s="143">
        <f t="shared" si="20"/>
        <v>1</v>
      </c>
      <c r="E176" s="144" t="s">
        <v>142</v>
      </c>
      <c r="F176" s="134" t="s">
        <v>142</v>
      </c>
      <c r="G176" s="134" t="s">
        <v>142</v>
      </c>
      <c r="H176" s="134" t="s">
        <v>142</v>
      </c>
      <c r="I176" s="134" t="s">
        <v>142</v>
      </c>
      <c r="J176" s="134" t="s">
        <v>142</v>
      </c>
      <c r="K176" s="134" t="s">
        <v>142</v>
      </c>
      <c r="L176" s="134" t="s">
        <v>142</v>
      </c>
      <c r="M176" s="370"/>
      <c r="N176" s="137"/>
    </row>
    <row r="177" hidden="1" outlineLevel="1">
      <c r="A177" s="367" t="s">
        <v>1289</v>
      </c>
      <c r="B177" s="309">
        <v>46292.0</v>
      </c>
      <c r="C177" s="368" t="str">
        <f t="shared" si="19"/>
        <v>Sun</v>
      </c>
      <c r="D177" s="128">
        <f t="shared" si="20"/>
        <v>1</v>
      </c>
      <c r="E177" s="131" t="s">
        <v>142</v>
      </c>
      <c r="F177" s="134" t="s">
        <v>142</v>
      </c>
      <c r="G177" s="134" t="s">
        <v>142</v>
      </c>
      <c r="H177" s="134" t="s">
        <v>142</v>
      </c>
      <c r="I177" s="134" t="s">
        <v>142</v>
      </c>
      <c r="J177" s="134" t="s">
        <v>142</v>
      </c>
      <c r="K177" s="134" t="s">
        <v>142</v>
      </c>
      <c r="L177" s="134" t="s">
        <v>142</v>
      </c>
      <c r="M177" s="370"/>
      <c r="N177" s="137"/>
    </row>
    <row r="178" hidden="1" outlineLevel="1">
      <c r="A178" s="367" t="s">
        <v>1290</v>
      </c>
      <c r="B178" s="309">
        <v>46292.0</v>
      </c>
      <c r="C178" s="368" t="str">
        <f t="shared" si="19"/>
        <v>Sun</v>
      </c>
      <c r="D178" s="143">
        <f t="shared" si="20"/>
        <v>1</v>
      </c>
      <c r="E178" s="144" t="s">
        <v>142</v>
      </c>
      <c r="F178" s="134" t="s">
        <v>142</v>
      </c>
      <c r="G178" s="134" t="s">
        <v>142</v>
      </c>
      <c r="H178" s="134" t="s">
        <v>142</v>
      </c>
      <c r="I178" s="134" t="s">
        <v>142</v>
      </c>
      <c r="J178" s="134" t="s">
        <v>142</v>
      </c>
      <c r="K178" s="134" t="s">
        <v>142</v>
      </c>
      <c r="L178" s="134" t="s">
        <v>142</v>
      </c>
      <c r="M178" s="370"/>
      <c r="N178" s="137"/>
    </row>
    <row r="179" hidden="1" outlineLevel="1">
      <c r="A179" s="367" t="s">
        <v>1295</v>
      </c>
      <c r="B179" s="309">
        <v>46292.0</v>
      </c>
      <c r="C179" s="368" t="str">
        <f t="shared" si="19"/>
        <v>Sun</v>
      </c>
      <c r="D179" s="128">
        <f t="shared" si="20"/>
        <v>1</v>
      </c>
      <c r="E179" s="131" t="s">
        <v>142</v>
      </c>
      <c r="F179" s="134" t="s">
        <v>142</v>
      </c>
      <c r="G179" s="134" t="s">
        <v>142</v>
      </c>
      <c r="H179" s="134" t="s">
        <v>142</v>
      </c>
      <c r="I179" s="134" t="s">
        <v>142</v>
      </c>
      <c r="J179" s="134" t="s">
        <v>142</v>
      </c>
      <c r="K179" s="134" t="s">
        <v>142</v>
      </c>
      <c r="L179" s="134" t="s">
        <v>142</v>
      </c>
      <c r="M179" s="370"/>
      <c r="N179" s="137"/>
    </row>
    <row r="180" hidden="1" outlineLevel="1">
      <c r="A180" s="373"/>
      <c r="B180" s="373"/>
      <c r="C180" s="374" t="s">
        <v>199</v>
      </c>
      <c r="D180" s="414">
        <f>AVERAGE(D165:D179)</f>
        <v>1</v>
      </c>
      <c r="E180" s="391"/>
      <c r="F180" s="373"/>
      <c r="G180" s="373"/>
      <c r="H180" s="373"/>
      <c r="I180" s="373"/>
      <c r="J180" s="373"/>
      <c r="K180" s="373"/>
      <c r="L180" s="374" t="s">
        <v>199</v>
      </c>
      <c r="M180" s="377">
        <f>SUM(M165:M179)/75*0.1</f>
        <v>0</v>
      </c>
      <c r="N180" s="373"/>
    </row>
    <row r="181" collapsed="1">
      <c r="A181" s="85" t="s">
        <v>514</v>
      </c>
      <c r="B181" s="86"/>
      <c r="C181" s="86"/>
      <c r="D181" s="88"/>
      <c r="E181" s="361"/>
      <c r="F181" s="361"/>
      <c r="G181" s="361"/>
      <c r="H181" s="361"/>
      <c r="I181" s="361"/>
      <c r="J181" s="361"/>
      <c r="K181" s="361"/>
      <c r="L181" s="361"/>
      <c r="M181" s="361"/>
      <c r="N181" s="361"/>
    </row>
    <row r="182" hidden="1" outlineLevel="1">
      <c r="A182" s="362" t="s">
        <v>89</v>
      </c>
      <c r="B182" s="363" t="s">
        <v>90</v>
      </c>
      <c r="C182" s="363" t="s">
        <v>91</v>
      </c>
      <c r="D182" s="364" t="s">
        <v>93</v>
      </c>
      <c r="E182" s="365" t="s">
        <v>94</v>
      </c>
      <c r="F182" s="365" t="s">
        <v>95</v>
      </c>
      <c r="G182" s="366" t="s">
        <v>96</v>
      </c>
      <c r="H182" s="366" t="s">
        <v>97</v>
      </c>
      <c r="I182" s="366" t="s">
        <v>104</v>
      </c>
      <c r="J182" s="366" t="s">
        <v>106</v>
      </c>
      <c r="K182" s="366" t="s">
        <v>109</v>
      </c>
      <c r="L182" s="366" t="s">
        <v>111</v>
      </c>
      <c r="M182" s="363" t="s">
        <v>114</v>
      </c>
      <c r="N182" s="363" t="s">
        <v>116</v>
      </c>
    </row>
    <row r="183" hidden="1" outlineLevel="1">
      <c r="A183" s="367" t="s">
        <v>1299</v>
      </c>
      <c r="B183" s="309">
        <v>46293.0</v>
      </c>
      <c r="C183" s="368" t="str">
        <f t="shared" ref="C183:C197" si="21">IF(B183="", "", TEXT(B183, "ddd"))</f>
        <v>Mon</v>
      </c>
      <c r="D183" s="128">
        <f t="shared" ref="D183:D197" si="22">IF(E183="Yes",0.05,0)
+IF(F183="Yes",0.1,0)
+IF(G183="Yes",0.15,0)
+IF(H183="Yes",0.15,0)
+IF(I183="Yes",0.05,0)
+IF(J183="Yes",0.05,0)
+IF(K183="Yes",0.15,0)
+IF(L183="Yes",0.3,0)
</f>
        <v>1</v>
      </c>
      <c r="E183" s="131" t="s">
        <v>142</v>
      </c>
      <c r="F183" s="134" t="s">
        <v>142</v>
      </c>
      <c r="G183" s="134" t="s">
        <v>142</v>
      </c>
      <c r="H183" s="134" t="s">
        <v>142</v>
      </c>
      <c r="I183" s="134" t="s">
        <v>142</v>
      </c>
      <c r="J183" s="134" t="s">
        <v>142</v>
      </c>
      <c r="K183" s="134" t="s">
        <v>142</v>
      </c>
      <c r="L183" s="134" t="s">
        <v>142</v>
      </c>
      <c r="M183" s="370"/>
      <c r="N183" s="137"/>
    </row>
    <row r="184" hidden="1" outlineLevel="1">
      <c r="A184" s="367" t="s">
        <v>1303</v>
      </c>
      <c r="B184" s="309">
        <v>46293.0</v>
      </c>
      <c r="C184" s="368" t="str">
        <f t="shared" si="21"/>
        <v>Mon</v>
      </c>
      <c r="D184" s="143">
        <f t="shared" si="22"/>
        <v>1</v>
      </c>
      <c r="E184" s="144" t="s">
        <v>142</v>
      </c>
      <c r="F184" s="134" t="s">
        <v>142</v>
      </c>
      <c r="G184" s="134" t="s">
        <v>142</v>
      </c>
      <c r="H184" s="134" t="s">
        <v>142</v>
      </c>
      <c r="I184" s="134" t="s">
        <v>142</v>
      </c>
      <c r="J184" s="134" t="s">
        <v>142</v>
      </c>
      <c r="K184" s="134" t="s">
        <v>142</v>
      </c>
      <c r="L184" s="134" t="s">
        <v>142</v>
      </c>
      <c r="M184" s="370"/>
      <c r="N184" s="137"/>
    </row>
    <row r="185" hidden="1" outlineLevel="1">
      <c r="A185" s="367" t="s">
        <v>1305</v>
      </c>
      <c r="B185" s="309">
        <v>46293.0</v>
      </c>
      <c r="C185" s="368" t="str">
        <f t="shared" si="21"/>
        <v>Mon</v>
      </c>
      <c r="D185" s="128">
        <f t="shared" si="22"/>
        <v>1</v>
      </c>
      <c r="E185" s="131" t="s">
        <v>142</v>
      </c>
      <c r="F185" s="134" t="s">
        <v>142</v>
      </c>
      <c r="G185" s="134" t="s">
        <v>142</v>
      </c>
      <c r="H185" s="134" t="s">
        <v>142</v>
      </c>
      <c r="I185" s="134" t="s">
        <v>142</v>
      </c>
      <c r="J185" s="134" t="s">
        <v>142</v>
      </c>
      <c r="K185" s="134" t="s">
        <v>142</v>
      </c>
      <c r="L185" s="134" t="s">
        <v>142</v>
      </c>
      <c r="M185" s="370"/>
      <c r="N185" s="137"/>
    </row>
    <row r="186" hidden="1" outlineLevel="1">
      <c r="A186" s="367" t="s">
        <v>1307</v>
      </c>
      <c r="B186" s="309">
        <v>46294.0</v>
      </c>
      <c r="C186" s="368" t="str">
        <f t="shared" si="21"/>
        <v>Tue</v>
      </c>
      <c r="D186" s="143">
        <f t="shared" si="22"/>
        <v>1</v>
      </c>
      <c r="E186" s="144" t="s">
        <v>142</v>
      </c>
      <c r="F186" s="134" t="s">
        <v>142</v>
      </c>
      <c r="G186" s="134" t="s">
        <v>142</v>
      </c>
      <c r="H186" s="134" t="s">
        <v>142</v>
      </c>
      <c r="I186" s="134" t="s">
        <v>142</v>
      </c>
      <c r="J186" s="134" t="s">
        <v>142</v>
      </c>
      <c r="K186" s="134" t="s">
        <v>142</v>
      </c>
      <c r="L186" s="134" t="s">
        <v>142</v>
      </c>
      <c r="M186" s="370"/>
      <c r="N186" s="137"/>
    </row>
    <row r="187" hidden="1" outlineLevel="1">
      <c r="A187" s="367" t="s">
        <v>1309</v>
      </c>
      <c r="B187" s="309">
        <v>46294.0</v>
      </c>
      <c r="C187" s="368" t="str">
        <f t="shared" si="21"/>
        <v>Tue</v>
      </c>
      <c r="D187" s="128">
        <f t="shared" si="22"/>
        <v>1</v>
      </c>
      <c r="E187" s="131" t="s">
        <v>142</v>
      </c>
      <c r="F187" s="134" t="s">
        <v>142</v>
      </c>
      <c r="G187" s="134" t="s">
        <v>142</v>
      </c>
      <c r="H187" s="134" t="s">
        <v>142</v>
      </c>
      <c r="I187" s="134" t="s">
        <v>142</v>
      </c>
      <c r="J187" s="134" t="s">
        <v>142</v>
      </c>
      <c r="K187" s="134" t="s">
        <v>142</v>
      </c>
      <c r="L187" s="134" t="s">
        <v>142</v>
      </c>
      <c r="M187" s="370"/>
      <c r="N187" s="137"/>
    </row>
    <row r="188" hidden="1" outlineLevel="1">
      <c r="A188" s="367" t="s">
        <v>1311</v>
      </c>
      <c r="B188" s="309">
        <v>46294.0</v>
      </c>
      <c r="C188" s="368" t="str">
        <f t="shared" si="21"/>
        <v>Tue</v>
      </c>
      <c r="D188" s="143">
        <f t="shared" si="22"/>
        <v>1</v>
      </c>
      <c r="E188" s="144" t="s">
        <v>142</v>
      </c>
      <c r="F188" s="134" t="s">
        <v>142</v>
      </c>
      <c r="G188" s="134" t="s">
        <v>142</v>
      </c>
      <c r="H188" s="134" t="s">
        <v>142</v>
      </c>
      <c r="I188" s="134" t="s">
        <v>142</v>
      </c>
      <c r="J188" s="134" t="s">
        <v>142</v>
      </c>
      <c r="K188" s="134" t="s">
        <v>142</v>
      </c>
      <c r="L188" s="134" t="s">
        <v>142</v>
      </c>
      <c r="M188" s="370"/>
      <c r="N188" s="137"/>
    </row>
    <row r="189" hidden="1" outlineLevel="1">
      <c r="A189" s="367" t="s">
        <v>1313</v>
      </c>
      <c r="B189" s="309">
        <v>46295.0</v>
      </c>
      <c r="C189" s="368" t="str">
        <f t="shared" si="21"/>
        <v>Wed</v>
      </c>
      <c r="D189" s="128">
        <f t="shared" si="22"/>
        <v>1</v>
      </c>
      <c r="E189" s="131" t="s">
        <v>142</v>
      </c>
      <c r="F189" s="134" t="s">
        <v>142</v>
      </c>
      <c r="G189" s="134" t="s">
        <v>142</v>
      </c>
      <c r="H189" s="134" t="s">
        <v>142</v>
      </c>
      <c r="I189" s="134" t="s">
        <v>142</v>
      </c>
      <c r="J189" s="134" t="s">
        <v>142</v>
      </c>
      <c r="K189" s="134" t="s">
        <v>142</v>
      </c>
      <c r="L189" s="134" t="s">
        <v>142</v>
      </c>
      <c r="M189" s="370"/>
      <c r="N189" s="137"/>
    </row>
    <row r="190" hidden="1" outlineLevel="1">
      <c r="A190" s="367" t="s">
        <v>1315</v>
      </c>
      <c r="B190" s="309">
        <v>46295.0</v>
      </c>
      <c r="C190" s="368" t="str">
        <f t="shared" si="21"/>
        <v>Wed</v>
      </c>
      <c r="D190" s="143">
        <f t="shared" si="22"/>
        <v>1</v>
      </c>
      <c r="E190" s="144" t="s">
        <v>142</v>
      </c>
      <c r="F190" s="134" t="s">
        <v>142</v>
      </c>
      <c r="G190" s="134" t="s">
        <v>142</v>
      </c>
      <c r="H190" s="134" t="s">
        <v>142</v>
      </c>
      <c r="I190" s="134" t="s">
        <v>142</v>
      </c>
      <c r="J190" s="134" t="s">
        <v>142</v>
      </c>
      <c r="K190" s="134" t="s">
        <v>142</v>
      </c>
      <c r="L190" s="134" t="s">
        <v>142</v>
      </c>
      <c r="M190" s="370"/>
      <c r="N190" s="137"/>
    </row>
    <row r="191" hidden="1" outlineLevel="1">
      <c r="A191" s="367" t="s">
        <v>1317</v>
      </c>
      <c r="B191" s="309">
        <v>46295.0</v>
      </c>
      <c r="C191" s="368" t="str">
        <f t="shared" si="21"/>
        <v>Wed</v>
      </c>
      <c r="D191" s="128">
        <f t="shared" si="22"/>
        <v>1</v>
      </c>
      <c r="E191" s="131" t="s">
        <v>142</v>
      </c>
      <c r="F191" s="134" t="s">
        <v>142</v>
      </c>
      <c r="G191" s="134" t="s">
        <v>142</v>
      </c>
      <c r="H191" s="134" t="s">
        <v>142</v>
      </c>
      <c r="I191" s="134" t="s">
        <v>142</v>
      </c>
      <c r="J191" s="134" t="s">
        <v>142</v>
      </c>
      <c r="K191" s="134" t="s">
        <v>142</v>
      </c>
      <c r="L191" s="134" t="s">
        <v>142</v>
      </c>
      <c r="M191" s="370"/>
      <c r="N191" s="137"/>
    </row>
    <row r="192" hidden="1" outlineLevel="1">
      <c r="A192" s="367" t="s">
        <v>1318</v>
      </c>
      <c r="B192" s="309">
        <v>46296.0</v>
      </c>
      <c r="C192" s="368" t="str">
        <f t="shared" si="21"/>
        <v>Thu</v>
      </c>
      <c r="D192" s="143">
        <f t="shared" si="22"/>
        <v>1</v>
      </c>
      <c r="E192" s="144" t="s">
        <v>142</v>
      </c>
      <c r="F192" s="134" t="s">
        <v>142</v>
      </c>
      <c r="G192" s="134" t="s">
        <v>142</v>
      </c>
      <c r="H192" s="134" t="s">
        <v>142</v>
      </c>
      <c r="I192" s="134" t="s">
        <v>142</v>
      </c>
      <c r="J192" s="134" t="s">
        <v>142</v>
      </c>
      <c r="K192" s="134" t="s">
        <v>142</v>
      </c>
      <c r="L192" s="134" t="s">
        <v>142</v>
      </c>
      <c r="M192" s="370"/>
      <c r="N192" s="137"/>
    </row>
    <row r="193" hidden="1" outlineLevel="1">
      <c r="A193" s="367" t="s">
        <v>1319</v>
      </c>
      <c r="B193" s="309">
        <v>46296.0</v>
      </c>
      <c r="C193" s="368" t="str">
        <f t="shared" si="21"/>
        <v>Thu</v>
      </c>
      <c r="D193" s="128">
        <f t="shared" si="22"/>
        <v>1</v>
      </c>
      <c r="E193" s="131" t="s">
        <v>142</v>
      </c>
      <c r="F193" s="134" t="s">
        <v>142</v>
      </c>
      <c r="G193" s="134" t="s">
        <v>142</v>
      </c>
      <c r="H193" s="134" t="s">
        <v>142</v>
      </c>
      <c r="I193" s="134" t="s">
        <v>142</v>
      </c>
      <c r="J193" s="134" t="s">
        <v>142</v>
      </c>
      <c r="K193" s="134" t="s">
        <v>142</v>
      </c>
      <c r="L193" s="134" t="s">
        <v>142</v>
      </c>
      <c r="M193" s="370"/>
      <c r="N193" s="137"/>
    </row>
    <row r="194" hidden="1" outlineLevel="1">
      <c r="A194" s="367" t="s">
        <v>1321</v>
      </c>
      <c r="B194" s="309">
        <v>46296.0</v>
      </c>
      <c r="C194" s="368" t="str">
        <f t="shared" si="21"/>
        <v>Thu</v>
      </c>
      <c r="D194" s="143">
        <f t="shared" si="22"/>
        <v>1</v>
      </c>
      <c r="E194" s="144" t="s">
        <v>142</v>
      </c>
      <c r="F194" s="134" t="s">
        <v>142</v>
      </c>
      <c r="G194" s="134" t="s">
        <v>142</v>
      </c>
      <c r="H194" s="134" t="s">
        <v>142</v>
      </c>
      <c r="I194" s="134" t="s">
        <v>142</v>
      </c>
      <c r="J194" s="134" t="s">
        <v>142</v>
      </c>
      <c r="K194" s="134" t="s">
        <v>142</v>
      </c>
      <c r="L194" s="134" t="s">
        <v>142</v>
      </c>
      <c r="M194" s="370"/>
      <c r="N194" s="137"/>
    </row>
    <row r="195" hidden="1" outlineLevel="1">
      <c r="A195" s="372" t="s">
        <v>1322</v>
      </c>
      <c r="B195" s="309">
        <v>46299.0</v>
      </c>
      <c r="C195" s="368" t="str">
        <f t="shared" si="21"/>
        <v>Sun</v>
      </c>
      <c r="D195" s="128">
        <f t="shared" si="22"/>
        <v>1</v>
      </c>
      <c r="E195" s="131" t="s">
        <v>142</v>
      </c>
      <c r="F195" s="134" t="s">
        <v>142</v>
      </c>
      <c r="G195" s="134" t="s">
        <v>142</v>
      </c>
      <c r="H195" s="134" t="s">
        <v>142</v>
      </c>
      <c r="I195" s="134" t="s">
        <v>142</v>
      </c>
      <c r="J195" s="134" t="s">
        <v>142</v>
      </c>
      <c r="K195" s="134" t="s">
        <v>142</v>
      </c>
      <c r="L195" s="134" t="s">
        <v>142</v>
      </c>
      <c r="M195" s="370"/>
      <c r="N195" s="137"/>
    </row>
    <row r="196" hidden="1" outlineLevel="1">
      <c r="A196" s="372" t="s">
        <v>1324</v>
      </c>
      <c r="B196" s="309">
        <v>46299.0</v>
      </c>
      <c r="C196" s="368" t="str">
        <f t="shared" si="21"/>
        <v>Sun</v>
      </c>
      <c r="D196" s="143">
        <f t="shared" si="22"/>
        <v>1</v>
      </c>
      <c r="E196" s="144" t="s">
        <v>142</v>
      </c>
      <c r="F196" s="134" t="s">
        <v>142</v>
      </c>
      <c r="G196" s="134" t="s">
        <v>142</v>
      </c>
      <c r="H196" s="134" t="s">
        <v>142</v>
      </c>
      <c r="I196" s="134" t="s">
        <v>142</v>
      </c>
      <c r="J196" s="134" t="s">
        <v>142</v>
      </c>
      <c r="K196" s="134" t="s">
        <v>142</v>
      </c>
      <c r="L196" s="134" t="s">
        <v>142</v>
      </c>
      <c r="M196" s="370"/>
      <c r="N196" s="137"/>
    </row>
    <row r="197" hidden="1" outlineLevel="1">
      <c r="A197" s="372" t="s">
        <v>1325</v>
      </c>
      <c r="B197" s="309">
        <v>46299.0</v>
      </c>
      <c r="C197" s="368" t="str">
        <f t="shared" si="21"/>
        <v>Sun</v>
      </c>
      <c r="D197" s="128">
        <f t="shared" si="22"/>
        <v>1</v>
      </c>
      <c r="E197" s="131" t="s">
        <v>142</v>
      </c>
      <c r="F197" s="134" t="s">
        <v>142</v>
      </c>
      <c r="G197" s="134" t="s">
        <v>142</v>
      </c>
      <c r="H197" s="134" t="s">
        <v>142</v>
      </c>
      <c r="I197" s="134" t="s">
        <v>142</v>
      </c>
      <c r="J197" s="134" t="s">
        <v>142</v>
      </c>
      <c r="K197" s="134" t="s">
        <v>142</v>
      </c>
      <c r="L197" s="134" t="s">
        <v>142</v>
      </c>
      <c r="M197" s="370"/>
      <c r="N197" s="137"/>
    </row>
    <row r="198" hidden="1" outlineLevel="1">
      <c r="A198" s="373"/>
      <c r="B198" s="373"/>
      <c r="C198" s="374" t="s">
        <v>199</v>
      </c>
      <c r="D198" s="414">
        <f>AVERAGE(D183:D197)</f>
        <v>1</v>
      </c>
      <c r="E198" s="391"/>
      <c r="F198" s="373"/>
      <c r="G198" s="373"/>
      <c r="H198" s="373"/>
      <c r="I198" s="373"/>
      <c r="J198" s="373"/>
      <c r="K198" s="373"/>
      <c r="L198" s="374" t="s">
        <v>199</v>
      </c>
      <c r="M198" s="377">
        <f>SUM(M183:M197)/75*0.1</f>
        <v>0</v>
      </c>
      <c r="N198" s="373"/>
    </row>
    <row r="199">
      <c r="A199" s="85" t="s">
        <v>537</v>
      </c>
      <c r="B199" s="86"/>
      <c r="C199" s="86"/>
      <c r="D199" s="88"/>
      <c r="E199" s="376"/>
      <c r="F199" s="376"/>
      <c r="G199" s="376"/>
      <c r="H199" s="376"/>
      <c r="I199" s="376"/>
      <c r="J199" s="376"/>
      <c r="K199" s="376"/>
      <c r="L199" s="376"/>
      <c r="M199" s="376"/>
      <c r="N199" s="376"/>
    </row>
    <row r="200" outlineLevel="1">
      <c r="A200" s="425" t="s">
        <v>89</v>
      </c>
      <c r="B200" s="392" t="s">
        <v>90</v>
      </c>
      <c r="C200" s="392" t="s">
        <v>91</v>
      </c>
      <c r="D200" s="426" t="s">
        <v>93</v>
      </c>
      <c r="E200" s="427" t="s">
        <v>94</v>
      </c>
      <c r="F200" s="395" t="s">
        <v>95</v>
      </c>
      <c r="G200" s="396" t="s">
        <v>96</v>
      </c>
      <c r="H200" s="396" t="s">
        <v>97</v>
      </c>
      <c r="I200" s="396" t="s">
        <v>104</v>
      </c>
      <c r="J200" s="396" t="s">
        <v>106</v>
      </c>
      <c r="K200" s="396" t="s">
        <v>109</v>
      </c>
      <c r="L200" s="396" t="s">
        <v>111</v>
      </c>
      <c r="M200" s="392" t="s">
        <v>114</v>
      </c>
      <c r="N200" s="392" t="s">
        <v>116</v>
      </c>
    </row>
    <row r="201" outlineLevel="1">
      <c r="A201" s="372" t="s">
        <v>1330</v>
      </c>
      <c r="B201" s="309">
        <v>46300.0</v>
      </c>
      <c r="C201" s="368" t="str">
        <f t="shared" ref="C201:C215" si="23">IF(B201="", "", TEXT(B201, "ddd"))</f>
        <v>Mon</v>
      </c>
      <c r="D201" s="128">
        <f t="shared" ref="D201:D215" si="24">IF(E201="Yes",0.05,0)
+IF(F201="Yes",0.1,0)
+IF(G201="Yes",0.15,0)
+IF(H201="Yes",0.15,0)
+IF(I201="Yes",0.05,0)
+IF(J201="Yes",0.05,0)
+IF(K201="Yes",0.15,0)
+IF(L201="Yes",0.3,0)
</f>
        <v>1</v>
      </c>
      <c r="E201" s="370" t="s">
        <v>142</v>
      </c>
      <c r="F201" s="7" t="s">
        <v>142</v>
      </c>
      <c r="G201" s="7" t="s">
        <v>142</v>
      </c>
      <c r="H201" s="7" t="s">
        <v>142</v>
      </c>
      <c r="I201" s="7" t="s">
        <v>142</v>
      </c>
      <c r="J201" s="7" t="s">
        <v>142</v>
      </c>
      <c r="K201" s="7" t="s">
        <v>142</v>
      </c>
      <c r="L201" s="7" t="s">
        <v>142</v>
      </c>
      <c r="M201" s="370"/>
      <c r="N201" s="137"/>
    </row>
    <row r="202" outlineLevel="1">
      <c r="A202" s="372" t="s">
        <v>1333</v>
      </c>
      <c r="B202" s="309">
        <v>46300.0</v>
      </c>
      <c r="C202" s="368" t="str">
        <f t="shared" si="23"/>
        <v>Mon</v>
      </c>
      <c r="D202" s="143">
        <f t="shared" si="24"/>
        <v>1</v>
      </c>
      <c r="E202" s="369" t="s">
        <v>142</v>
      </c>
      <c r="F202" s="7" t="s">
        <v>142</v>
      </c>
      <c r="G202" s="7" t="s">
        <v>142</v>
      </c>
      <c r="H202" s="7" t="s">
        <v>142</v>
      </c>
      <c r="I202" s="7" t="s">
        <v>142</v>
      </c>
      <c r="J202" s="7" t="s">
        <v>142</v>
      </c>
      <c r="K202" s="7" t="s">
        <v>142</v>
      </c>
      <c r="L202" s="7" t="s">
        <v>142</v>
      </c>
      <c r="M202" s="370"/>
      <c r="N202" s="137"/>
    </row>
    <row r="203" outlineLevel="1">
      <c r="A203" s="372" t="s">
        <v>1335</v>
      </c>
      <c r="B203" s="309">
        <v>46300.0</v>
      </c>
      <c r="C203" s="368" t="str">
        <f t="shared" si="23"/>
        <v>Mon</v>
      </c>
      <c r="D203" s="128">
        <f t="shared" si="24"/>
        <v>1</v>
      </c>
      <c r="E203" s="370" t="s">
        <v>142</v>
      </c>
      <c r="F203" s="7" t="s">
        <v>142</v>
      </c>
      <c r="G203" s="7" t="s">
        <v>142</v>
      </c>
      <c r="H203" s="7" t="s">
        <v>142</v>
      </c>
      <c r="I203" s="7" t="s">
        <v>142</v>
      </c>
      <c r="J203" s="7" t="s">
        <v>142</v>
      </c>
      <c r="K203" s="7" t="s">
        <v>142</v>
      </c>
      <c r="L203" s="7" t="s">
        <v>142</v>
      </c>
      <c r="M203" s="370"/>
      <c r="N203" s="137"/>
    </row>
    <row r="204" outlineLevel="1">
      <c r="A204" s="372" t="s">
        <v>1337</v>
      </c>
      <c r="B204" s="309">
        <v>46301.0</v>
      </c>
      <c r="C204" s="368" t="str">
        <f t="shared" si="23"/>
        <v>Tue</v>
      </c>
      <c r="D204" s="143">
        <f t="shared" si="24"/>
        <v>1</v>
      </c>
      <c r="E204" s="369" t="s">
        <v>142</v>
      </c>
      <c r="F204" s="7" t="s">
        <v>142</v>
      </c>
      <c r="G204" s="7" t="s">
        <v>142</v>
      </c>
      <c r="H204" s="7" t="s">
        <v>142</v>
      </c>
      <c r="I204" s="7" t="s">
        <v>142</v>
      </c>
      <c r="J204" s="7" t="s">
        <v>142</v>
      </c>
      <c r="K204" s="7" t="s">
        <v>142</v>
      </c>
      <c r="L204" s="7" t="s">
        <v>142</v>
      </c>
      <c r="M204" s="370"/>
      <c r="N204" s="137"/>
    </row>
    <row r="205" outlineLevel="1">
      <c r="A205" s="372" t="s">
        <v>1339</v>
      </c>
      <c r="B205" s="309">
        <v>46301.0</v>
      </c>
      <c r="C205" s="368" t="str">
        <f t="shared" si="23"/>
        <v>Tue</v>
      </c>
      <c r="D205" s="128">
        <f t="shared" si="24"/>
        <v>1</v>
      </c>
      <c r="E205" s="370" t="s">
        <v>142</v>
      </c>
      <c r="F205" s="7" t="s">
        <v>142</v>
      </c>
      <c r="G205" s="7" t="s">
        <v>142</v>
      </c>
      <c r="H205" s="7" t="s">
        <v>142</v>
      </c>
      <c r="I205" s="7" t="s">
        <v>142</v>
      </c>
      <c r="J205" s="7" t="s">
        <v>142</v>
      </c>
      <c r="K205" s="7" t="s">
        <v>142</v>
      </c>
      <c r="L205" s="7" t="s">
        <v>142</v>
      </c>
      <c r="M205" s="370"/>
      <c r="N205" s="137"/>
    </row>
    <row r="206" outlineLevel="1">
      <c r="A206" s="372" t="s">
        <v>1341</v>
      </c>
      <c r="B206" s="309">
        <v>46301.0</v>
      </c>
      <c r="C206" s="368" t="str">
        <f t="shared" si="23"/>
        <v>Tue</v>
      </c>
      <c r="D206" s="143">
        <f t="shared" si="24"/>
        <v>1</v>
      </c>
      <c r="E206" s="369" t="s">
        <v>142</v>
      </c>
      <c r="F206" s="7" t="s">
        <v>142</v>
      </c>
      <c r="G206" s="7" t="s">
        <v>142</v>
      </c>
      <c r="H206" s="7" t="s">
        <v>142</v>
      </c>
      <c r="I206" s="7" t="s">
        <v>142</v>
      </c>
      <c r="J206" s="7" t="s">
        <v>142</v>
      </c>
      <c r="K206" s="7" t="s">
        <v>142</v>
      </c>
      <c r="L206" s="7" t="s">
        <v>142</v>
      </c>
      <c r="M206" s="370"/>
      <c r="N206" s="137"/>
    </row>
    <row r="207" outlineLevel="1">
      <c r="A207" s="372" t="s">
        <v>1343</v>
      </c>
      <c r="B207" s="309">
        <v>46302.0</v>
      </c>
      <c r="C207" s="368" t="str">
        <f t="shared" si="23"/>
        <v>Wed</v>
      </c>
      <c r="D207" s="128">
        <f t="shared" si="24"/>
        <v>1</v>
      </c>
      <c r="E207" s="370" t="s">
        <v>142</v>
      </c>
      <c r="F207" s="7" t="s">
        <v>142</v>
      </c>
      <c r="G207" s="7" t="s">
        <v>142</v>
      </c>
      <c r="H207" s="7" t="s">
        <v>142</v>
      </c>
      <c r="I207" s="7" t="s">
        <v>142</v>
      </c>
      <c r="J207" s="7" t="s">
        <v>142</v>
      </c>
      <c r="K207" s="7" t="s">
        <v>142</v>
      </c>
      <c r="L207" s="7" t="s">
        <v>142</v>
      </c>
      <c r="M207" s="370"/>
      <c r="N207" s="137"/>
    </row>
    <row r="208" outlineLevel="1">
      <c r="A208" s="372" t="s">
        <v>1345</v>
      </c>
      <c r="B208" s="309">
        <v>46302.0</v>
      </c>
      <c r="C208" s="368" t="str">
        <f t="shared" si="23"/>
        <v>Wed</v>
      </c>
      <c r="D208" s="143">
        <f t="shared" si="24"/>
        <v>1</v>
      </c>
      <c r="E208" s="369" t="s">
        <v>142</v>
      </c>
      <c r="F208" s="7" t="s">
        <v>142</v>
      </c>
      <c r="G208" s="7" t="s">
        <v>142</v>
      </c>
      <c r="H208" s="7" t="s">
        <v>142</v>
      </c>
      <c r="I208" s="7" t="s">
        <v>142</v>
      </c>
      <c r="J208" s="7" t="s">
        <v>142</v>
      </c>
      <c r="K208" s="7" t="s">
        <v>142</v>
      </c>
      <c r="L208" s="7" t="s">
        <v>142</v>
      </c>
      <c r="M208" s="370"/>
      <c r="N208" s="137"/>
    </row>
    <row r="209" outlineLevel="1">
      <c r="A209" s="372" t="s">
        <v>1347</v>
      </c>
      <c r="B209" s="309">
        <v>46302.0</v>
      </c>
      <c r="C209" s="368" t="str">
        <f t="shared" si="23"/>
        <v>Wed</v>
      </c>
      <c r="D209" s="128">
        <f t="shared" si="24"/>
        <v>1</v>
      </c>
      <c r="E209" s="370" t="s">
        <v>142</v>
      </c>
      <c r="F209" s="7" t="s">
        <v>142</v>
      </c>
      <c r="G209" s="7" t="s">
        <v>142</v>
      </c>
      <c r="H209" s="7" t="s">
        <v>142</v>
      </c>
      <c r="I209" s="7" t="s">
        <v>142</v>
      </c>
      <c r="J209" s="7" t="s">
        <v>142</v>
      </c>
      <c r="K209" s="7" t="s">
        <v>142</v>
      </c>
      <c r="L209" s="7" t="s">
        <v>142</v>
      </c>
      <c r="M209" s="370"/>
      <c r="N209" s="137"/>
    </row>
    <row r="210" outlineLevel="1">
      <c r="A210" s="367"/>
      <c r="B210" s="270"/>
      <c r="C210" s="368" t="str">
        <f t="shared" si="23"/>
        <v/>
      </c>
      <c r="D210" s="143">
        <f t="shared" si="24"/>
        <v>0</v>
      </c>
      <c r="E210" s="369"/>
      <c r="F210" s="7"/>
      <c r="G210" s="7"/>
      <c r="H210" s="7"/>
      <c r="I210" s="7"/>
      <c r="J210" s="7"/>
      <c r="K210" s="7"/>
      <c r="L210" s="7"/>
      <c r="M210" s="370"/>
      <c r="N210" s="137"/>
    </row>
    <row r="211" outlineLevel="1">
      <c r="A211" s="367"/>
      <c r="B211" s="270"/>
      <c r="C211" s="368" t="str">
        <f t="shared" si="23"/>
        <v/>
      </c>
      <c r="D211" s="128">
        <f t="shared" si="24"/>
        <v>0</v>
      </c>
      <c r="E211" s="370"/>
      <c r="F211" s="7"/>
      <c r="G211" s="7"/>
      <c r="H211" s="7"/>
      <c r="I211" s="7"/>
      <c r="J211" s="7"/>
      <c r="K211" s="7"/>
      <c r="L211" s="7"/>
      <c r="M211" s="370"/>
      <c r="N211" s="137"/>
    </row>
    <row r="212" outlineLevel="1">
      <c r="A212" s="367"/>
      <c r="B212" s="270"/>
      <c r="C212" s="368" t="str">
        <f t="shared" si="23"/>
        <v/>
      </c>
      <c r="D212" s="143">
        <f t="shared" si="24"/>
        <v>0</v>
      </c>
      <c r="E212" s="369"/>
      <c r="F212" s="7"/>
      <c r="G212" s="7"/>
      <c r="H212" s="7"/>
      <c r="I212" s="7"/>
      <c r="J212" s="7"/>
      <c r="K212" s="7"/>
      <c r="L212" s="7"/>
      <c r="M212" s="370"/>
      <c r="N212" s="137"/>
    </row>
    <row r="213" outlineLevel="1">
      <c r="A213" s="367"/>
      <c r="B213" s="270"/>
      <c r="C213" s="368" t="str">
        <f t="shared" si="23"/>
        <v/>
      </c>
      <c r="D213" s="128">
        <f t="shared" si="24"/>
        <v>0</v>
      </c>
      <c r="E213" s="370"/>
      <c r="F213" s="7"/>
      <c r="G213" s="7"/>
      <c r="H213" s="7"/>
      <c r="I213" s="7"/>
      <c r="J213" s="7"/>
      <c r="K213" s="7"/>
      <c r="L213" s="7"/>
      <c r="M213" s="370"/>
      <c r="N213" s="137"/>
    </row>
    <row r="214" outlineLevel="1">
      <c r="A214" s="367"/>
      <c r="B214" s="270"/>
      <c r="C214" s="368" t="str">
        <f t="shared" si="23"/>
        <v/>
      </c>
      <c r="D214" s="143">
        <f t="shared" si="24"/>
        <v>0</v>
      </c>
      <c r="E214" s="369"/>
      <c r="F214" s="7"/>
      <c r="G214" s="7"/>
      <c r="H214" s="7"/>
      <c r="I214" s="7"/>
      <c r="J214" s="7"/>
      <c r="K214" s="7"/>
      <c r="L214" s="7"/>
      <c r="M214" s="370"/>
      <c r="N214" s="137"/>
    </row>
    <row r="215" outlineLevel="1">
      <c r="A215" s="367"/>
      <c r="B215" s="270"/>
      <c r="C215" s="368" t="str">
        <f t="shared" si="23"/>
        <v/>
      </c>
      <c r="D215" s="128">
        <f t="shared" si="24"/>
        <v>0</v>
      </c>
      <c r="E215" s="370"/>
      <c r="F215" s="7"/>
      <c r="G215" s="7"/>
      <c r="H215" s="7"/>
      <c r="I215" s="7"/>
      <c r="J215" s="7"/>
      <c r="K215" s="7"/>
      <c r="L215" s="7"/>
      <c r="M215" s="370"/>
      <c r="N215" s="137"/>
    </row>
    <row r="216" outlineLevel="1">
      <c r="A216" s="373"/>
      <c r="B216" s="373"/>
      <c r="C216" s="374" t="s">
        <v>199</v>
      </c>
      <c r="D216" s="414">
        <f>AVERAGE(D201:D215)</f>
        <v>0.6</v>
      </c>
      <c r="E216" s="391"/>
      <c r="F216" s="373"/>
      <c r="G216" s="373"/>
      <c r="H216" s="373"/>
      <c r="I216" s="373"/>
      <c r="J216" s="373"/>
      <c r="K216" s="373"/>
      <c r="L216" s="374" t="s">
        <v>199</v>
      </c>
      <c r="M216" s="377">
        <f>SUM(M201:M215)/75*0.1</f>
        <v>0</v>
      </c>
      <c r="N216" s="373"/>
    </row>
    <row r="217">
      <c r="B217" s="215"/>
    </row>
    <row r="218">
      <c r="B218" s="215"/>
    </row>
    <row r="219">
      <c r="B219" s="215"/>
    </row>
    <row r="220">
      <c r="B220" s="215"/>
    </row>
    <row r="221">
      <c r="B221" s="215"/>
    </row>
    <row r="222">
      <c r="B222" s="215"/>
    </row>
    <row r="223">
      <c r="B223" s="215"/>
    </row>
    <row r="224">
      <c r="B224" s="215"/>
    </row>
    <row r="225">
      <c r="B225" s="215"/>
    </row>
    <row r="226">
      <c r="B226" s="215"/>
    </row>
    <row r="227">
      <c r="B227" s="215"/>
    </row>
    <row r="228">
      <c r="B228" s="215"/>
    </row>
    <row r="229">
      <c r="B229" s="215"/>
    </row>
    <row r="230">
      <c r="B230" s="215"/>
    </row>
    <row r="231">
      <c r="B231" s="215"/>
    </row>
    <row r="232">
      <c r="B232" s="215"/>
    </row>
    <row r="233">
      <c r="B233" s="215"/>
    </row>
    <row r="234">
      <c r="B234" s="215"/>
    </row>
    <row r="235">
      <c r="B235" s="215"/>
    </row>
    <row r="236">
      <c r="B236" s="215"/>
    </row>
    <row r="237">
      <c r="B237" s="215"/>
    </row>
    <row r="238">
      <c r="B238" s="215"/>
    </row>
    <row r="239">
      <c r="B239" s="215"/>
    </row>
    <row r="240">
      <c r="B240" s="215"/>
    </row>
    <row r="241">
      <c r="B241" s="215"/>
    </row>
    <row r="242">
      <c r="B242" s="215"/>
    </row>
    <row r="243">
      <c r="B243" s="215"/>
    </row>
    <row r="244">
      <c r="B244" s="215"/>
    </row>
    <row r="245">
      <c r="B245" s="215"/>
    </row>
    <row r="246">
      <c r="B246" s="215"/>
    </row>
    <row r="247">
      <c r="B247" s="215"/>
    </row>
    <row r="248">
      <c r="B248" s="215"/>
    </row>
    <row r="249">
      <c r="B249" s="215"/>
    </row>
    <row r="250">
      <c r="B250" s="215"/>
    </row>
    <row r="251">
      <c r="B251" s="215"/>
    </row>
    <row r="252">
      <c r="B252" s="215"/>
    </row>
    <row r="253">
      <c r="B253" s="215"/>
    </row>
    <row r="254">
      <c r="B254" s="215"/>
    </row>
    <row r="255">
      <c r="B255" s="215"/>
    </row>
    <row r="256">
      <c r="B256" s="215"/>
    </row>
    <row r="257">
      <c r="B257" s="215"/>
    </row>
    <row r="258">
      <c r="B258" s="215"/>
    </row>
    <row r="259">
      <c r="B259" s="215"/>
    </row>
    <row r="260">
      <c r="B260" s="215"/>
    </row>
    <row r="261">
      <c r="B261" s="215"/>
    </row>
    <row r="262">
      <c r="B262" s="215"/>
    </row>
    <row r="263">
      <c r="B263" s="215"/>
    </row>
    <row r="264">
      <c r="B264" s="215"/>
    </row>
    <row r="265">
      <c r="B265" s="215"/>
    </row>
    <row r="266">
      <c r="B266" s="215"/>
    </row>
    <row r="267">
      <c r="B267" s="215"/>
    </row>
    <row r="268">
      <c r="B268" s="215"/>
    </row>
    <row r="269">
      <c r="B269" s="215"/>
    </row>
    <row r="270">
      <c r="B270" s="215"/>
    </row>
    <row r="271">
      <c r="B271" s="215"/>
    </row>
    <row r="272">
      <c r="B272" s="215"/>
    </row>
    <row r="273">
      <c r="B273" s="215"/>
    </row>
    <row r="274">
      <c r="B274" s="215"/>
    </row>
    <row r="275">
      <c r="B275" s="215"/>
    </row>
    <row r="276">
      <c r="B276" s="215"/>
    </row>
    <row r="277">
      <c r="B277" s="215"/>
    </row>
    <row r="278">
      <c r="B278" s="215"/>
    </row>
    <row r="279">
      <c r="B279" s="215"/>
    </row>
    <row r="280">
      <c r="B280" s="215"/>
    </row>
    <row r="281">
      <c r="B281" s="215"/>
    </row>
    <row r="282">
      <c r="B282" s="215"/>
    </row>
    <row r="283">
      <c r="B283" s="215"/>
    </row>
    <row r="284">
      <c r="B284" s="215"/>
    </row>
    <row r="285">
      <c r="B285" s="215"/>
    </row>
    <row r="286">
      <c r="B286" s="215"/>
    </row>
    <row r="287">
      <c r="B287" s="215"/>
    </row>
    <row r="288">
      <c r="B288" s="215"/>
    </row>
    <row r="289">
      <c r="B289" s="215"/>
    </row>
    <row r="290">
      <c r="B290" s="215"/>
    </row>
    <row r="291">
      <c r="B291" s="215"/>
    </row>
    <row r="292">
      <c r="B292" s="215"/>
    </row>
    <row r="293">
      <c r="B293" s="215"/>
    </row>
    <row r="294">
      <c r="B294" s="215"/>
    </row>
    <row r="295">
      <c r="B295" s="215"/>
    </row>
    <row r="296">
      <c r="B296" s="215"/>
    </row>
    <row r="297">
      <c r="B297" s="215"/>
    </row>
    <row r="298">
      <c r="B298" s="215"/>
    </row>
    <row r="299">
      <c r="B299" s="215"/>
    </row>
    <row r="300">
      <c r="B300" s="215"/>
    </row>
    <row r="301">
      <c r="B301" s="215"/>
    </row>
    <row r="302">
      <c r="B302" s="215"/>
    </row>
    <row r="303">
      <c r="B303" s="215"/>
    </row>
    <row r="304">
      <c r="B304" s="215"/>
    </row>
    <row r="305">
      <c r="B305" s="215"/>
    </row>
    <row r="306">
      <c r="B306" s="215"/>
    </row>
    <row r="307">
      <c r="B307" s="215"/>
    </row>
    <row r="308">
      <c r="B308" s="215"/>
    </row>
    <row r="309">
      <c r="B309" s="215"/>
    </row>
    <row r="310">
      <c r="B310" s="215"/>
    </row>
    <row r="311">
      <c r="B311" s="215"/>
    </row>
    <row r="312">
      <c r="B312" s="215"/>
    </row>
    <row r="313">
      <c r="B313" s="215"/>
    </row>
    <row r="314">
      <c r="B314" s="215"/>
    </row>
    <row r="315">
      <c r="B315" s="215"/>
    </row>
    <row r="316">
      <c r="B316" s="215"/>
    </row>
    <row r="317">
      <c r="B317" s="215"/>
    </row>
    <row r="318">
      <c r="B318" s="215"/>
    </row>
    <row r="319">
      <c r="B319" s="215"/>
    </row>
    <row r="320">
      <c r="B320" s="215"/>
    </row>
    <row r="321">
      <c r="B321" s="215"/>
    </row>
    <row r="322">
      <c r="B322" s="215"/>
    </row>
    <row r="323">
      <c r="B323" s="215"/>
    </row>
    <row r="324">
      <c r="B324" s="215"/>
    </row>
    <row r="325">
      <c r="B325" s="215"/>
    </row>
    <row r="326">
      <c r="B326" s="215"/>
    </row>
    <row r="327">
      <c r="B327" s="215"/>
    </row>
    <row r="328">
      <c r="B328" s="215"/>
    </row>
    <row r="329">
      <c r="B329" s="215"/>
    </row>
    <row r="330">
      <c r="B330" s="215"/>
    </row>
    <row r="331">
      <c r="B331" s="215"/>
    </row>
    <row r="332">
      <c r="B332" s="215"/>
    </row>
    <row r="333">
      <c r="B333" s="215"/>
    </row>
    <row r="334">
      <c r="B334" s="215"/>
    </row>
    <row r="335">
      <c r="B335" s="215"/>
    </row>
    <row r="336">
      <c r="B336" s="215"/>
    </row>
    <row r="337">
      <c r="B337" s="215"/>
    </row>
    <row r="338">
      <c r="B338" s="215"/>
    </row>
    <row r="339">
      <c r="B339" s="215"/>
    </row>
    <row r="340">
      <c r="B340" s="215"/>
    </row>
    <row r="341">
      <c r="B341" s="215"/>
    </row>
    <row r="342">
      <c r="B342" s="215"/>
    </row>
    <row r="343">
      <c r="B343" s="215"/>
    </row>
    <row r="344">
      <c r="B344" s="215"/>
    </row>
    <row r="345">
      <c r="B345" s="215"/>
    </row>
    <row r="346">
      <c r="B346" s="215"/>
    </row>
    <row r="347">
      <c r="B347" s="215"/>
    </row>
    <row r="348">
      <c r="B348" s="215"/>
    </row>
    <row r="349">
      <c r="B349" s="215"/>
    </row>
    <row r="350">
      <c r="B350" s="215"/>
    </row>
    <row r="351">
      <c r="B351" s="215"/>
    </row>
    <row r="352">
      <c r="B352" s="215"/>
    </row>
  </sheetData>
  <mergeCells count="12">
    <mergeCell ref="A127:D127"/>
    <mergeCell ref="A145:D145"/>
    <mergeCell ref="A163:D163"/>
    <mergeCell ref="A181:D181"/>
    <mergeCell ref="A199:D199"/>
    <mergeCell ref="A1:D1"/>
    <mergeCell ref="A19:D19"/>
    <mergeCell ref="A37:D37"/>
    <mergeCell ref="A55:D55"/>
    <mergeCell ref="A73:D73"/>
    <mergeCell ref="A91:D91"/>
    <mergeCell ref="A109:D109"/>
  </mergeCells>
  <conditionalFormatting sqref="A1:N216">
    <cfRule type="cellIs" dxfId="10" priority="1" operator="equal">
      <formula>"Absent"</formula>
    </cfRule>
  </conditionalFormatting>
  <conditionalFormatting sqref="A1:D1 A19:D19 A37:D37 A55:D55 A73:D73">
    <cfRule type="cellIs" dxfId="9" priority="2" operator="equal">
      <formula>"LWOP"</formula>
    </cfRule>
  </conditionalFormatting>
  <conditionalFormatting sqref="A1:D1 A19:D19 A37:D37 A55:D55 A73:D73">
    <cfRule type="cellIs" dxfId="7" priority="3" operator="equal">
      <formula>"OFF"</formula>
    </cfRule>
  </conditionalFormatting>
  <conditionalFormatting sqref="A1:D1 A19:D19 A37:D37 A55:D55 A73:D73">
    <cfRule type="cellIs" dxfId="8" priority="4" operator="equal">
      <formula>"A"</formula>
    </cfRule>
  </conditionalFormatting>
  <conditionalFormatting sqref="A1:N352">
    <cfRule type="cellIs" dxfId="6" priority="5" operator="equal">
      <formula>"LWOP"</formula>
    </cfRule>
  </conditionalFormatting>
  <dataValidations>
    <dataValidation type="list" allowBlank="1" showErrorMessage="1" sqref="E3:L17 E21:L35 E39:L53 E57:L71 E75:L89 E93:L107 E111:L125 E129:L143 E147:L161 E165:L179 E183:L197 E201:L215">
      <formula1>"Yes,No"</formula1>
    </dataValidation>
  </dataValidations>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21"/>
    <hyperlink r:id="rId17" ref="A22"/>
    <hyperlink r:id="rId18" ref="A23"/>
    <hyperlink r:id="rId19" ref="A24"/>
    <hyperlink r:id="rId20" ref="A25"/>
    <hyperlink r:id="rId21" ref="A26"/>
    <hyperlink r:id="rId22" ref="A27"/>
    <hyperlink r:id="rId23" ref="A28"/>
    <hyperlink r:id="rId24" ref="A29"/>
    <hyperlink r:id="rId25" ref="A30"/>
    <hyperlink r:id="rId26" ref="A31"/>
    <hyperlink r:id="rId27" ref="A32"/>
    <hyperlink r:id="rId28" ref="A33"/>
    <hyperlink r:id="rId29" ref="A34"/>
    <hyperlink r:id="rId30" ref="A35"/>
    <hyperlink r:id="rId31" ref="A39"/>
    <hyperlink r:id="rId32" ref="A40"/>
    <hyperlink r:id="rId33" ref="A41"/>
    <hyperlink r:id="rId34" ref="A42"/>
    <hyperlink r:id="rId35" ref="A43"/>
    <hyperlink r:id="rId36" ref="A44"/>
    <hyperlink r:id="rId37" ref="A45"/>
    <hyperlink r:id="rId38" ref="A46"/>
    <hyperlink r:id="rId39" ref="A47"/>
    <hyperlink r:id="rId40" ref="A48"/>
    <hyperlink r:id="rId41" ref="A49"/>
    <hyperlink r:id="rId42" ref="A50"/>
    <hyperlink r:id="rId43" ref="A51"/>
    <hyperlink r:id="rId44" ref="A52"/>
    <hyperlink r:id="rId45" ref="A53"/>
    <hyperlink r:id="rId46" ref="A57"/>
    <hyperlink r:id="rId47" ref="A58"/>
    <hyperlink r:id="rId48" ref="A59"/>
    <hyperlink r:id="rId49" ref="A60"/>
    <hyperlink r:id="rId50" ref="A61"/>
    <hyperlink r:id="rId51" ref="A62"/>
    <hyperlink r:id="rId52" ref="A63"/>
    <hyperlink r:id="rId53" ref="A64"/>
    <hyperlink r:id="rId54" ref="A65"/>
    <hyperlink r:id="rId55" ref="A66"/>
    <hyperlink r:id="rId56" ref="A67"/>
    <hyperlink r:id="rId57" ref="A68"/>
    <hyperlink r:id="rId58" ref="A69"/>
    <hyperlink r:id="rId59" ref="A70"/>
    <hyperlink r:id="rId60" ref="A71"/>
    <hyperlink r:id="rId61" ref="A75"/>
    <hyperlink r:id="rId62" ref="A76"/>
    <hyperlink r:id="rId63" ref="A77"/>
    <hyperlink r:id="rId64" ref="A78"/>
    <hyperlink r:id="rId65" ref="A79"/>
    <hyperlink r:id="rId66" ref="A80"/>
    <hyperlink r:id="rId67" ref="A81"/>
    <hyperlink r:id="rId68" ref="A82"/>
    <hyperlink r:id="rId69" ref="A83"/>
    <hyperlink r:id="rId70" ref="A84"/>
    <hyperlink r:id="rId71" ref="A85"/>
    <hyperlink r:id="rId72" ref="A86"/>
    <hyperlink r:id="rId73" ref="A87"/>
    <hyperlink r:id="rId74" ref="A88"/>
    <hyperlink r:id="rId75" ref="A89"/>
    <hyperlink r:id="rId76" ref="A93"/>
    <hyperlink r:id="rId77" ref="A94"/>
    <hyperlink r:id="rId78" ref="A95"/>
    <hyperlink r:id="rId79" ref="A96"/>
    <hyperlink r:id="rId80" ref="A97"/>
    <hyperlink r:id="rId81" ref="A98"/>
    <hyperlink r:id="rId82" ref="A99"/>
    <hyperlink r:id="rId83" ref="A100"/>
    <hyperlink r:id="rId84" ref="A101"/>
    <hyperlink r:id="rId85" ref="A102"/>
    <hyperlink r:id="rId86" ref="A103"/>
    <hyperlink r:id="rId87" ref="A104"/>
    <hyperlink r:id="rId88" ref="A105"/>
    <hyperlink r:id="rId89" ref="A106"/>
    <hyperlink r:id="rId90" ref="A107"/>
    <hyperlink r:id="rId91" ref="A111"/>
    <hyperlink r:id="rId92" ref="A112"/>
    <hyperlink r:id="rId93" ref="A113"/>
    <hyperlink r:id="rId94" ref="A114"/>
    <hyperlink r:id="rId95" ref="A115"/>
    <hyperlink r:id="rId96" ref="A116"/>
    <hyperlink r:id="rId97" ref="A117"/>
    <hyperlink r:id="rId98" ref="A118"/>
    <hyperlink r:id="rId99" ref="A119"/>
    <hyperlink r:id="rId100" ref="A120"/>
    <hyperlink r:id="rId101" ref="A121"/>
    <hyperlink r:id="rId102" ref="A122"/>
    <hyperlink r:id="rId103" ref="A123"/>
    <hyperlink r:id="rId104" ref="A124"/>
    <hyperlink r:id="rId105" ref="A125"/>
    <hyperlink r:id="rId106" ref="A129"/>
    <hyperlink r:id="rId107" ref="A130"/>
    <hyperlink r:id="rId108" ref="A131"/>
    <hyperlink r:id="rId109" ref="A132"/>
    <hyperlink r:id="rId110" ref="A133"/>
    <hyperlink r:id="rId111" ref="A134"/>
    <hyperlink r:id="rId112" ref="A135"/>
    <hyperlink r:id="rId113" ref="A136"/>
    <hyperlink r:id="rId114" ref="A137"/>
    <hyperlink r:id="rId115" ref="A138"/>
    <hyperlink r:id="rId116" ref="A139"/>
    <hyperlink r:id="rId117" ref="A140"/>
    <hyperlink r:id="rId118" ref="A141"/>
    <hyperlink r:id="rId119" ref="A142"/>
    <hyperlink r:id="rId120" ref="A143"/>
    <hyperlink r:id="rId121" ref="A147"/>
    <hyperlink r:id="rId122" ref="A148"/>
    <hyperlink r:id="rId123" ref="A149"/>
    <hyperlink r:id="rId124" ref="A150"/>
    <hyperlink r:id="rId125" ref="A151"/>
    <hyperlink r:id="rId126" ref="A152"/>
    <hyperlink r:id="rId127" ref="A153"/>
    <hyperlink r:id="rId128" ref="A154"/>
    <hyperlink r:id="rId129" ref="A155"/>
    <hyperlink r:id="rId130" ref="A156"/>
    <hyperlink r:id="rId131" ref="A157"/>
    <hyperlink r:id="rId132" ref="A158"/>
    <hyperlink r:id="rId133" ref="A159"/>
    <hyperlink r:id="rId134" ref="A160"/>
    <hyperlink r:id="rId135" ref="A161"/>
    <hyperlink r:id="rId136" ref="A165"/>
    <hyperlink r:id="rId137" ref="A166"/>
    <hyperlink r:id="rId138" ref="A167"/>
    <hyperlink r:id="rId139" ref="A168"/>
    <hyperlink r:id="rId140" ref="A169"/>
    <hyperlink r:id="rId141" ref="A170"/>
    <hyperlink r:id="rId142" ref="A171"/>
    <hyperlink r:id="rId143" ref="A172"/>
    <hyperlink r:id="rId144" ref="A173"/>
    <hyperlink r:id="rId145" ref="A174"/>
    <hyperlink r:id="rId146" ref="A175"/>
    <hyperlink r:id="rId147" ref="A176"/>
    <hyperlink r:id="rId148" ref="A177"/>
    <hyperlink r:id="rId149" ref="A178"/>
    <hyperlink r:id="rId150" ref="A179"/>
    <hyperlink r:id="rId151" ref="A183"/>
    <hyperlink r:id="rId152" ref="A184"/>
    <hyperlink r:id="rId153" ref="A185"/>
    <hyperlink r:id="rId154" ref="A186"/>
    <hyperlink r:id="rId155" ref="A187"/>
    <hyperlink r:id="rId156" ref="A188"/>
    <hyperlink r:id="rId157" ref="A189"/>
    <hyperlink r:id="rId158" ref="A190"/>
    <hyperlink r:id="rId159" ref="A191"/>
    <hyperlink r:id="rId160" ref="A192"/>
    <hyperlink r:id="rId161" ref="A193"/>
    <hyperlink r:id="rId162" ref="A194"/>
    <hyperlink r:id="rId163" ref="A195"/>
    <hyperlink r:id="rId164" ref="A196"/>
    <hyperlink r:id="rId165" ref="A197"/>
    <hyperlink r:id="rId166" ref="A201"/>
    <hyperlink r:id="rId167" ref="A202"/>
    <hyperlink r:id="rId168" ref="A203"/>
    <hyperlink r:id="rId169" ref="A204"/>
    <hyperlink r:id="rId170" ref="A205"/>
    <hyperlink r:id="rId171" ref="A206"/>
    <hyperlink r:id="rId172" ref="A207"/>
    <hyperlink r:id="rId173" ref="A208"/>
    <hyperlink r:id="rId174" ref="A209"/>
  </hyperlinks>
  <drawing r:id="rId17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41.5"/>
    <col hidden="1" min="13" max="13" width="12.63"/>
    <col customWidth="1" min="14" max="14" width="72.13"/>
  </cols>
  <sheetData>
    <row r="1" hidden="1" collapsed="1">
      <c r="A1" s="85" t="s">
        <v>246</v>
      </c>
      <c r="B1" s="86"/>
      <c r="C1" s="86"/>
      <c r="D1" s="88"/>
      <c r="E1" s="89"/>
      <c r="F1" s="89"/>
      <c r="G1" s="91"/>
      <c r="H1" s="91"/>
      <c r="I1" s="91"/>
      <c r="J1" s="91"/>
      <c r="K1" s="91"/>
      <c r="L1" s="91"/>
      <c r="M1" s="93"/>
      <c r="N1" s="95"/>
    </row>
    <row r="2" hidden="1" outlineLevel="1">
      <c r="A2" s="96" t="s">
        <v>89</v>
      </c>
      <c r="B2" s="98" t="s">
        <v>90</v>
      </c>
      <c r="C2" s="98" t="s">
        <v>91</v>
      </c>
      <c r="D2" s="101" t="s">
        <v>93</v>
      </c>
      <c r="E2" s="102" t="s">
        <v>94</v>
      </c>
      <c r="F2" s="102" t="s">
        <v>95</v>
      </c>
      <c r="G2" s="105" t="s">
        <v>96</v>
      </c>
      <c r="H2" s="107" t="s">
        <v>97</v>
      </c>
      <c r="I2" s="107" t="s">
        <v>104</v>
      </c>
      <c r="J2" s="105" t="s">
        <v>106</v>
      </c>
      <c r="K2" s="107" t="s">
        <v>109</v>
      </c>
      <c r="L2" s="105" t="s">
        <v>111</v>
      </c>
      <c r="M2" s="98" t="s">
        <v>114</v>
      </c>
      <c r="N2" s="101" t="s">
        <v>116</v>
      </c>
    </row>
    <row r="3" hidden="1" outlineLevel="1">
      <c r="A3" s="353" t="s">
        <v>985</v>
      </c>
      <c r="B3" s="115">
        <v>46223.0</v>
      </c>
      <c r="C3" s="118" t="str">
        <f t="shared" ref="C3:C17" si="1">IF(B3="", "", TEXT(B3, "ddd"))</f>
        <v>Mon</v>
      </c>
      <c r="D3" s="128">
        <f t="shared" ref="D3:D17" si="2">IF(E3="Yes",0.05,0)
+IF(F3="Yes",0.1,0)
+IF(G3="Yes",0.15,0)
+IF(H3="Yes",0.15,0)
+IF(I3="Yes",0.05,0)
+IF(J3="Yes",0.05,0)
+IF(K3="Yes",0.15,0)
+IF(L3="Yes",0.3,0)
</f>
        <v>1</v>
      </c>
      <c r="E3" s="131" t="s">
        <v>142</v>
      </c>
      <c r="F3" s="134" t="s">
        <v>142</v>
      </c>
      <c r="G3" s="134" t="s">
        <v>142</v>
      </c>
      <c r="H3" s="134" t="s">
        <v>142</v>
      </c>
      <c r="I3" s="134" t="s">
        <v>142</v>
      </c>
      <c r="J3" s="134" t="s">
        <v>142</v>
      </c>
      <c r="K3" s="134" t="s">
        <v>142</v>
      </c>
      <c r="L3" s="134" t="s">
        <v>142</v>
      </c>
      <c r="M3" s="136"/>
      <c r="N3" s="137"/>
    </row>
    <row r="4" hidden="1" outlineLevel="1">
      <c r="A4" s="353" t="s">
        <v>992</v>
      </c>
      <c r="B4" s="115">
        <v>46223.0</v>
      </c>
      <c r="C4" s="118" t="str">
        <f t="shared" si="1"/>
        <v>Mon</v>
      </c>
      <c r="D4" s="143">
        <f t="shared" si="2"/>
        <v>1</v>
      </c>
      <c r="E4" s="144" t="s">
        <v>142</v>
      </c>
      <c r="F4" s="134" t="s">
        <v>142</v>
      </c>
      <c r="G4" s="134" t="s">
        <v>142</v>
      </c>
      <c r="H4" s="134" t="s">
        <v>142</v>
      </c>
      <c r="I4" s="134" t="s">
        <v>142</v>
      </c>
      <c r="J4" s="134" t="s">
        <v>142</v>
      </c>
      <c r="K4" s="134" t="s">
        <v>142</v>
      </c>
      <c r="L4" s="134" t="s">
        <v>142</v>
      </c>
      <c r="M4" s="136"/>
      <c r="N4" s="131"/>
    </row>
    <row r="5" hidden="1" outlineLevel="1">
      <c r="A5" s="353" t="s">
        <v>994</v>
      </c>
      <c r="B5" s="115">
        <v>46223.0</v>
      </c>
      <c r="C5" s="118" t="str">
        <f t="shared" si="1"/>
        <v>Mon</v>
      </c>
      <c r="D5" s="128">
        <f t="shared" si="2"/>
        <v>1</v>
      </c>
      <c r="E5" s="131" t="s">
        <v>142</v>
      </c>
      <c r="F5" s="134" t="s">
        <v>142</v>
      </c>
      <c r="G5" s="134" t="s">
        <v>142</v>
      </c>
      <c r="H5" s="134" t="s">
        <v>142</v>
      </c>
      <c r="I5" s="134" t="s">
        <v>142</v>
      </c>
      <c r="J5" s="134" t="s">
        <v>142</v>
      </c>
      <c r="K5" s="134" t="s">
        <v>142</v>
      </c>
      <c r="L5" s="134" t="s">
        <v>142</v>
      </c>
      <c r="M5" s="136"/>
      <c r="N5" s="131"/>
    </row>
    <row r="6" hidden="1" outlineLevel="1">
      <c r="A6" s="353" t="s">
        <v>996</v>
      </c>
      <c r="B6" s="115">
        <v>46224.0</v>
      </c>
      <c r="C6" s="118" t="str">
        <f t="shared" si="1"/>
        <v>Tue</v>
      </c>
      <c r="D6" s="143">
        <f t="shared" si="2"/>
        <v>1</v>
      </c>
      <c r="E6" s="144" t="s">
        <v>142</v>
      </c>
      <c r="F6" s="134" t="s">
        <v>142</v>
      </c>
      <c r="G6" s="134" t="s">
        <v>142</v>
      </c>
      <c r="H6" s="134" t="s">
        <v>142</v>
      </c>
      <c r="I6" s="134" t="s">
        <v>142</v>
      </c>
      <c r="J6" s="134" t="s">
        <v>142</v>
      </c>
      <c r="K6" s="134" t="s">
        <v>142</v>
      </c>
      <c r="L6" s="134" t="s">
        <v>142</v>
      </c>
      <c r="M6" s="136"/>
      <c r="N6" s="137"/>
    </row>
    <row r="7" hidden="1" outlineLevel="1">
      <c r="A7" s="353" t="s">
        <v>998</v>
      </c>
      <c r="B7" s="115">
        <v>46224.0</v>
      </c>
      <c r="C7" s="118" t="str">
        <f t="shared" si="1"/>
        <v>Tue</v>
      </c>
      <c r="D7" s="128">
        <f t="shared" si="2"/>
        <v>1</v>
      </c>
      <c r="E7" s="131" t="s">
        <v>142</v>
      </c>
      <c r="F7" s="134" t="s">
        <v>142</v>
      </c>
      <c r="G7" s="134" t="s">
        <v>142</v>
      </c>
      <c r="H7" s="134" t="s">
        <v>142</v>
      </c>
      <c r="I7" s="134" t="s">
        <v>142</v>
      </c>
      <c r="J7" s="134" t="s">
        <v>142</v>
      </c>
      <c r="K7" s="134" t="s">
        <v>142</v>
      </c>
      <c r="L7" s="134" t="s">
        <v>142</v>
      </c>
      <c r="M7" s="136"/>
      <c r="N7" s="137"/>
    </row>
    <row r="8" hidden="1" outlineLevel="1">
      <c r="A8" s="353" t="s">
        <v>1000</v>
      </c>
      <c r="B8" s="115">
        <v>46224.0</v>
      </c>
      <c r="C8" s="118" t="str">
        <f t="shared" si="1"/>
        <v>Tue</v>
      </c>
      <c r="D8" s="143">
        <f t="shared" si="2"/>
        <v>1</v>
      </c>
      <c r="E8" s="144" t="s">
        <v>142</v>
      </c>
      <c r="F8" s="134" t="s">
        <v>142</v>
      </c>
      <c r="G8" s="134" t="s">
        <v>142</v>
      </c>
      <c r="H8" s="134" t="s">
        <v>142</v>
      </c>
      <c r="I8" s="134" t="s">
        <v>142</v>
      </c>
      <c r="J8" s="134" t="s">
        <v>142</v>
      </c>
      <c r="K8" s="134" t="s">
        <v>142</v>
      </c>
      <c r="L8" s="134" t="s">
        <v>142</v>
      </c>
      <c r="M8" s="136"/>
      <c r="N8" s="137"/>
    </row>
    <row r="9" hidden="1" outlineLevel="1">
      <c r="A9" s="353" t="s">
        <v>1004</v>
      </c>
      <c r="B9" s="115">
        <v>46225.0</v>
      </c>
      <c r="C9" s="118" t="str">
        <f t="shared" si="1"/>
        <v>Wed</v>
      </c>
      <c r="D9" s="128">
        <f t="shared" si="2"/>
        <v>1</v>
      </c>
      <c r="E9" s="131" t="s">
        <v>142</v>
      </c>
      <c r="F9" s="134" t="s">
        <v>142</v>
      </c>
      <c r="G9" s="134" t="s">
        <v>142</v>
      </c>
      <c r="H9" s="134" t="s">
        <v>142</v>
      </c>
      <c r="I9" s="134" t="s">
        <v>142</v>
      </c>
      <c r="J9" s="134" t="s">
        <v>142</v>
      </c>
      <c r="K9" s="134" t="s">
        <v>142</v>
      </c>
      <c r="L9" s="134" t="s">
        <v>142</v>
      </c>
      <c r="M9" s="136"/>
      <c r="N9" s="137"/>
    </row>
    <row r="10" hidden="1" outlineLevel="1">
      <c r="A10" s="353" t="s">
        <v>1005</v>
      </c>
      <c r="B10" s="115">
        <v>46225.0</v>
      </c>
      <c r="C10" s="118" t="str">
        <f t="shared" si="1"/>
        <v>Wed</v>
      </c>
      <c r="D10" s="143">
        <f t="shared" si="2"/>
        <v>1</v>
      </c>
      <c r="E10" s="144" t="s">
        <v>142</v>
      </c>
      <c r="F10" s="134" t="s">
        <v>142</v>
      </c>
      <c r="G10" s="134" t="s">
        <v>142</v>
      </c>
      <c r="H10" s="134" t="s">
        <v>142</v>
      </c>
      <c r="I10" s="134" t="s">
        <v>142</v>
      </c>
      <c r="J10" s="134" t="s">
        <v>142</v>
      </c>
      <c r="K10" s="134" t="s">
        <v>142</v>
      </c>
      <c r="L10" s="134" t="s">
        <v>142</v>
      </c>
      <c r="M10" s="136"/>
      <c r="N10" s="131"/>
    </row>
    <row r="11" hidden="1" outlineLevel="1">
      <c r="A11" s="353" t="s">
        <v>1006</v>
      </c>
      <c r="B11" s="115">
        <v>46225.0</v>
      </c>
      <c r="C11" s="118" t="str">
        <f t="shared" si="1"/>
        <v>Wed</v>
      </c>
      <c r="D11" s="128">
        <f t="shared" si="2"/>
        <v>1</v>
      </c>
      <c r="E11" s="131" t="s">
        <v>142</v>
      </c>
      <c r="F11" s="134" t="s">
        <v>142</v>
      </c>
      <c r="G11" s="134" t="s">
        <v>142</v>
      </c>
      <c r="H11" s="134" t="s">
        <v>142</v>
      </c>
      <c r="I11" s="134" t="s">
        <v>142</v>
      </c>
      <c r="J11" s="134" t="s">
        <v>142</v>
      </c>
      <c r="K11" s="134" t="s">
        <v>142</v>
      </c>
      <c r="L11" s="134" t="s">
        <v>142</v>
      </c>
      <c r="M11" s="136"/>
      <c r="N11" s="137"/>
    </row>
    <row r="12" hidden="1" outlineLevel="1">
      <c r="A12" s="113" t="s">
        <v>1008</v>
      </c>
      <c r="B12" s="115">
        <v>46228.0</v>
      </c>
      <c r="C12" s="118" t="str">
        <f t="shared" si="1"/>
        <v>Sat</v>
      </c>
      <c r="D12" s="143">
        <f t="shared" si="2"/>
        <v>1</v>
      </c>
      <c r="E12" s="144" t="s">
        <v>142</v>
      </c>
      <c r="F12" s="134" t="s">
        <v>142</v>
      </c>
      <c r="G12" s="134" t="s">
        <v>142</v>
      </c>
      <c r="H12" s="134" t="s">
        <v>142</v>
      </c>
      <c r="I12" s="134" t="s">
        <v>142</v>
      </c>
      <c r="J12" s="134" t="s">
        <v>142</v>
      </c>
      <c r="K12" s="134" t="s">
        <v>142</v>
      </c>
      <c r="L12" s="134" t="s">
        <v>142</v>
      </c>
      <c r="M12" s="136"/>
      <c r="N12" s="131"/>
    </row>
    <row r="13" hidden="1" outlineLevel="1">
      <c r="A13" s="113" t="s">
        <v>1009</v>
      </c>
      <c r="B13" s="115">
        <v>46228.0</v>
      </c>
      <c r="C13" s="118" t="str">
        <f t="shared" si="1"/>
        <v>Sat</v>
      </c>
      <c r="D13" s="128">
        <f t="shared" si="2"/>
        <v>1</v>
      </c>
      <c r="E13" s="131" t="s">
        <v>142</v>
      </c>
      <c r="F13" s="134" t="s">
        <v>142</v>
      </c>
      <c r="G13" s="134" t="s">
        <v>142</v>
      </c>
      <c r="H13" s="134" t="s">
        <v>142</v>
      </c>
      <c r="I13" s="134" t="s">
        <v>142</v>
      </c>
      <c r="J13" s="134" t="s">
        <v>142</v>
      </c>
      <c r="K13" s="134" t="s">
        <v>142</v>
      </c>
      <c r="L13" s="134" t="s">
        <v>142</v>
      </c>
      <c r="M13" s="136"/>
      <c r="N13" s="131"/>
    </row>
    <row r="14" hidden="1" outlineLevel="1">
      <c r="A14" s="113" t="s">
        <v>1011</v>
      </c>
      <c r="B14" s="115">
        <v>46228.0</v>
      </c>
      <c r="C14" s="118" t="str">
        <f t="shared" si="1"/>
        <v>Sat</v>
      </c>
      <c r="D14" s="143">
        <f t="shared" si="2"/>
        <v>1</v>
      </c>
      <c r="E14" s="144" t="s">
        <v>142</v>
      </c>
      <c r="F14" s="134" t="s">
        <v>142</v>
      </c>
      <c r="G14" s="134" t="s">
        <v>142</v>
      </c>
      <c r="H14" s="134" t="s">
        <v>142</v>
      </c>
      <c r="I14" s="134" t="s">
        <v>142</v>
      </c>
      <c r="J14" s="134" t="s">
        <v>142</v>
      </c>
      <c r="K14" s="134" t="s">
        <v>142</v>
      </c>
      <c r="L14" s="134" t="s">
        <v>142</v>
      </c>
      <c r="M14" s="136"/>
      <c r="N14" s="131"/>
    </row>
    <row r="15" hidden="1" outlineLevel="1">
      <c r="A15" s="113" t="s">
        <v>1013</v>
      </c>
      <c r="B15" s="115">
        <v>46229.0</v>
      </c>
      <c r="C15" s="118" t="str">
        <f t="shared" si="1"/>
        <v>Sun</v>
      </c>
      <c r="D15" s="128">
        <f t="shared" si="2"/>
        <v>1</v>
      </c>
      <c r="E15" s="131" t="s">
        <v>142</v>
      </c>
      <c r="F15" s="134" t="s">
        <v>142</v>
      </c>
      <c r="G15" s="134" t="s">
        <v>142</v>
      </c>
      <c r="H15" s="134" t="s">
        <v>142</v>
      </c>
      <c r="I15" s="134" t="s">
        <v>142</v>
      </c>
      <c r="J15" s="134" t="s">
        <v>142</v>
      </c>
      <c r="K15" s="134" t="s">
        <v>142</v>
      </c>
      <c r="L15" s="134" t="s">
        <v>142</v>
      </c>
      <c r="M15" s="136"/>
      <c r="N15" s="137"/>
    </row>
    <row r="16" hidden="1" outlineLevel="1">
      <c r="A16" s="113" t="s">
        <v>1015</v>
      </c>
      <c r="B16" s="115">
        <v>46229.0</v>
      </c>
      <c r="C16" s="118" t="str">
        <f t="shared" si="1"/>
        <v>Sun</v>
      </c>
      <c r="D16" s="143">
        <f t="shared" si="2"/>
        <v>1</v>
      </c>
      <c r="E16" s="144" t="s">
        <v>142</v>
      </c>
      <c r="F16" s="134" t="s">
        <v>142</v>
      </c>
      <c r="G16" s="134" t="s">
        <v>142</v>
      </c>
      <c r="H16" s="134" t="s">
        <v>142</v>
      </c>
      <c r="I16" s="134" t="s">
        <v>142</v>
      </c>
      <c r="J16" s="134" t="s">
        <v>142</v>
      </c>
      <c r="K16" s="134" t="s">
        <v>142</v>
      </c>
      <c r="L16" s="134" t="s">
        <v>142</v>
      </c>
      <c r="M16" s="136"/>
      <c r="N16" s="137"/>
    </row>
    <row r="17" ht="15.0" hidden="1" customHeight="1" outlineLevel="1">
      <c r="A17" s="113" t="s">
        <v>1017</v>
      </c>
      <c r="B17" s="115">
        <v>46229.0</v>
      </c>
      <c r="C17" s="118" t="str">
        <f t="shared" si="1"/>
        <v>Sun</v>
      </c>
      <c r="D17" s="128">
        <f t="shared" si="2"/>
        <v>1</v>
      </c>
      <c r="E17" s="131" t="s">
        <v>142</v>
      </c>
      <c r="F17" s="134" t="s">
        <v>142</v>
      </c>
      <c r="G17" s="134" t="s">
        <v>142</v>
      </c>
      <c r="H17" s="134" t="s">
        <v>142</v>
      </c>
      <c r="I17" s="134" t="s">
        <v>142</v>
      </c>
      <c r="J17" s="134" t="s">
        <v>142</v>
      </c>
      <c r="K17" s="134" t="s">
        <v>142</v>
      </c>
      <c r="L17" s="134" t="s">
        <v>142</v>
      </c>
      <c r="M17" s="136"/>
      <c r="N17" s="131"/>
    </row>
    <row r="18" hidden="1" outlineLevel="1">
      <c r="B18" s="215"/>
      <c r="C18" s="216" t="s">
        <v>199</v>
      </c>
      <c r="D18" s="217">
        <f>AVERAGE(D3:D17)</f>
        <v>1</v>
      </c>
      <c r="E18" s="218"/>
      <c r="L18" s="216" t="s">
        <v>199</v>
      </c>
      <c r="M18" s="217">
        <f>SUM(M3:M17)/75*0.1</f>
        <v>0</v>
      </c>
    </row>
    <row r="19" hidden="1" collapsed="1">
      <c r="A19" s="85" t="s">
        <v>286</v>
      </c>
      <c r="B19" s="86"/>
      <c r="C19" s="86"/>
      <c r="D19" s="88"/>
      <c r="E19" s="89"/>
      <c r="F19" s="89"/>
      <c r="G19" s="91"/>
      <c r="H19" s="91"/>
      <c r="I19" s="91"/>
      <c r="J19" s="91"/>
      <c r="K19" s="91"/>
      <c r="L19" s="91"/>
      <c r="M19" s="93"/>
      <c r="N19" s="95"/>
    </row>
    <row r="20" hidden="1" outlineLevel="1">
      <c r="A20" s="96" t="s">
        <v>89</v>
      </c>
      <c r="B20" s="98" t="s">
        <v>90</v>
      </c>
      <c r="C20" s="98" t="s">
        <v>91</v>
      </c>
      <c r="D20" s="101" t="s">
        <v>93</v>
      </c>
      <c r="E20" s="102" t="s">
        <v>94</v>
      </c>
      <c r="F20" s="102" t="s">
        <v>95</v>
      </c>
      <c r="G20" s="105" t="s">
        <v>96</v>
      </c>
      <c r="H20" s="107" t="s">
        <v>97</v>
      </c>
      <c r="I20" s="107" t="s">
        <v>104</v>
      </c>
      <c r="J20" s="105" t="s">
        <v>106</v>
      </c>
      <c r="K20" s="107" t="s">
        <v>109</v>
      </c>
      <c r="L20" s="105" t="s">
        <v>111</v>
      </c>
      <c r="M20" s="98" t="s">
        <v>114</v>
      </c>
      <c r="N20" s="101" t="s">
        <v>116</v>
      </c>
    </row>
    <row r="21" hidden="1" outlineLevel="1">
      <c r="A21" s="113" t="s">
        <v>1023</v>
      </c>
      <c r="B21" s="309">
        <v>46230.0</v>
      </c>
      <c r="C21" s="118" t="str">
        <f t="shared" ref="C21:C35" si="3">IF(B21="", "", TEXT(B21, "ddd"))</f>
        <v>Mon</v>
      </c>
      <c r="D21" s="128">
        <f t="shared" ref="D21:D35" si="4">IF(E21="Yes",0.05,0)
+IF(F21="Yes",0.1,0)
+IF(G21="Yes",0.15,0)
+IF(H21="Yes",0.15,0)
+IF(I21="Yes",0.05,0)
+IF(J21="Yes",0.05,0)
+IF(K21="Yes",0.15,0)
+IF(L21="Yes",0.3,0)
</f>
        <v>1</v>
      </c>
      <c r="E21" s="131" t="s">
        <v>142</v>
      </c>
      <c r="F21" s="134" t="s">
        <v>142</v>
      </c>
      <c r="G21" s="134" t="s">
        <v>142</v>
      </c>
      <c r="H21" s="134" t="s">
        <v>142</v>
      </c>
      <c r="I21" s="134" t="s">
        <v>142</v>
      </c>
      <c r="J21" s="134" t="s">
        <v>142</v>
      </c>
      <c r="K21" s="134" t="s">
        <v>142</v>
      </c>
      <c r="L21" s="134" t="s">
        <v>142</v>
      </c>
      <c r="M21" s="136"/>
      <c r="N21" s="137"/>
    </row>
    <row r="22" hidden="1" outlineLevel="1">
      <c r="A22" s="113" t="s">
        <v>1027</v>
      </c>
      <c r="B22" s="309">
        <v>46230.0</v>
      </c>
      <c r="C22" s="118" t="str">
        <f t="shared" si="3"/>
        <v>Mon</v>
      </c>
      <c r="D22" s="143">
        <f t="shared" si="4"/>
        <v>1</v>
      </c>
      <c r="E22" s="144" t="s">
        <v>142</v>
      </c>
      <c r="F22" s="134" t="s">
        <v>142</v>
      </c>
      <c r="G22" s="134" t="s">
        <v>142</v>
      </c>
      <c r="H22" s="134" t="s">
        <v>142</v>
      </c>
      <c r="I22" s="134" t="s">
        <v>142</v>
      </c>
      <c r="J22" s="134" t="s">
        <v>142</v>
      </c>
      <c r="K22" s="134" t="s">
        <v>142</v>
      </c>
      <c r="L22" s="134" t="s">
        <v>142</v>
      </c>
      <c r="M22" s="136"/>
      <c r="N22" s="131"/>
    </row>
    <row r="23" hidden="1" outlineLevel="1">
      <c r="A23" s="113" t="s">
        <v>1030</v>
      </c>
      <c r="B23" s="309">
        <v>46230.0</v>
      </c>
      <c r="C23" s="118" t="str">
        <f t="shared" si="3"/>
        <v>Mon</v>
      </c>
      <c r="D23" s="128">
        <f t="shared" si="4"/>
        <v>1</v>
      </c>
      <c r="E23" s="131" t="s">
        <v>142</v>
      </c>
      <c r="F23" s="134" t="s">
        <v>142</v>
      </c>
      <c r="G23" s="134" t="s">
        <v>142</v>
      </c>
      <c r="H23" s="134" t="s">
        <v>142</v>
      </c>
      <c r="I23" s="134" t="s">
        <v>142</v>
      </c>
      <c r="J23" s="134" t="s">
        <v>142</v>
      </c>
      <c r="K23" s="134" t="s">
        <v>142</v>
      </c>
      <c r="L23" s="134" t="s">
        <v>142</v>
      </c>
      <c r="M23" s="136"/>
      <c r="N23" s="131"/>
    </row>
    <row r="24" hidden="1" outlineLevel="1">
      <c r="A24" s="353" t="s">
        <v>1032</v>
      </c>
      <c r="B24" s="309">
        <v>46231.0</v>
      </c>
      <c r="C24" s="118" t="str">
        <f t="shared" si="3"/>
        <v>Tue</v>
      </c>
      <c r="D24" s="143">
        <f t="shared" si="4"/>
        <v>1</v>
      </c>
      <c r="E24" s="144" t="s">
        <v>142</v>
      </c>
      <c r="F24" s="134" t="s">
        <v>142</v>
      </c>
      <c r="G24" s="134" t="s">
        <v>142</v>
      </c>
      <c r="H24" s="134" t="s">
        <v>142</v>
      </c>
      <c r="I24" s="134" t="s">
        <v>142</v>
      </c>
      <c r="J24" s="134" t="s">
        <v>142</v>
      </c>
      <c r="K24" s="134" t="s">
        <v>142</v>
      </c>
      <c r="L24" s="134" t="s">
        <v>142</v>
      </c>
      <c r="M24" s="136"/>
      <c r="N24" s="137"/>
    </row>
    <row r="25" hidden="1" outlineLevel="1">
      <c r="A25" s="353" t="s">
        <v>1034</v>
      </c>
      <c r="B25" s="309">
        <v>46231.0</v>
      </c>
      <c r="C25" s="118" t="str">
        <f t="shared" si="3"/>
        <v>Tue</v>
      </c>
      <c r="D25" s="128">
        <f t="shared" si="4"/>
        <v>1</v>
      </c>
      <c r="E25" s="131" t="s">
        <v>142</v>
      </c>
      <c r="F25" s="134" t="s">
        <v>142</v>
      </c>
      <c r="G25" s="134" t="s">
        <v>142</v>
      </c>
      <c r="H25" s="134" t="s">
        <v>142</v>
      </c>
      <c r="I25" s="134" t="s">
        <v>142</v>
      </c>
      <c r="J25" s="134" t="s">
        <v>142</v>
      </c>
      <c r="K25" s="134" t="s">
        <v>142</v>
      </c>
      <c r="L25" s="134" t="s">
        <v>142</v>
      </c>
      <c r="M25" s="136"/>
      <c r="N25" s="137"/>
    </row>
    <row r="26" hidden="1" outlineLevel="1">
      <c r="A26" s="353" t="s">
        <v>1035</v>
      </c>
      <c r="B26" s="309">
        <v>46231.0</v>
      </c>
      <c r="C26" s="118" t="str">
        <f t="shared" si="3"/>
        <v>Tue</v>
      </c>
      <c r="D26" s="143">
        <f t="shared" si="4"/>
        <v>1</v>
      </c>
      <c r="E26" s="144" t="s">
        <v>142</v>
      </c>
      <c r="F26" s="134" t="s">
        <v>142</v>
      </c>
      <c r="G26" s="134" t="s">
        <v>142</v>
      </c>
      <c r="H26" s="134" t="s">
        <v>142</v>
      </c>
      <c r="I26" s="134" t="s">
        <v>142</v>
      </c>
      <c r="J26" s="134" t="s">
        <v>142</v>
      </c>
      <c r="K26" s="134" t="s">
        <v>142</v>
      </c>
      <c r="L26" s="134" t="s">
        <v>142</v>
      </c>
      <c r="M26" s="136"/>
      <c r="N26" s="137"/>
    </row>
    <row r="27" hidden="1" outlineLevel="1">
      <c r="A27" s="353" t="s">
        <v>1036</v>
      </c>
      <c r="B27" s="309">
        <v>46232.0</v>
      </c>
      <c r="C27" s="118" t="str">
        <f t="shared" si="3"/>
        <v>Wed</v>
      </c>
      <c r="D27" s="128">
        <f t="shared" si="4"/>
        <v>1</v>
      </c>
      <c r="E27" s="131" t="s">
        <v>142</v>
      </c>
      <c r="F27" s="134" t="s">
        <v>142</v>
      </c>
      <c r="G27" s="134" t="s">
        <v>142</v>
      </c>
      <c r="H27" s="134" t="s">
        <v>142</v>
      </c>
      <c r="I27" s="134" t="s">
        <v>142</v>
      </c>
      <c r="J27" s="134" t="s">
        <v>142</v>
      </c>
      <c r="K27" s="134" t="s">
        <v>142</v>
      </c>
      <c r="L27" s="134" t="s">
        <v>142</v>
      </c>
      <c r="M27" s="136"/>
      <c r="N27" s="137"/>
    </row>
    <row r="28" hidden="1" outlineLevel="1">
      <c r="A28" s="353" t="s">
        <v>1038</v>
      </c>
      <c r="B28" s="309">
        <v>46232.0</v>
      </c>
      <c r="C28" s="118" t="str">
        <f t="shared" si="3"/>
        <v>Wed</v>
      </c>
      <c r="D28" s="143">
        <f t="shared" si="4"/>
        <v>1</v>
      </c>
      <c r="E28" s="144" t="s">
        <v>142</v>
      </c>
      <c r="F28" s="134" t="s">
        <v>142</v>
      </c>
      <c r="G28" s="134" t="s">
        <v>142</v>
      </c>
      <c r="H28" s="134" t="s">
        <v>142</v>
      </c>
      <c r="I28" s="134" t="s">
        <v>142</v>
      </c>
      <c r="J28" s="134" t="s">
        <v>142</v>
      </c>
      <c r="K28" s="134" t="s">
        <v>142</v>
      </c>
      <c r="L28" s="134" t="s">
        <v>142</v>
      </c>
      <c r="M28" s="136"/>
      <c r="N28" s="131"/>
    </row>
    <row r="29" hidden="1" outlineLevel="1">
      <c r="A29" s="353" t="s">
        <v>1039</v>
      </c>
      <c r="B29" s="309">
        <v>46232.0</v>
      </c>
      <c r="C29" s="118" t="str">
        <f t="shared" si="3"/>
        <v>Wed</v>
      </c>
      <c r="D29" s="128">
        <f t="shared" si="4"/>
        <v>1</v>
      </c>
      <c r="E29" s="131" t="s">
        <v>142</v>
      </c>
      <c r="F29" s="134" t="s">
        <v>142</v>
      </c>
      <c r="G29" s="134" t="s">
        <v>142</v>
      </c>
      <c r="H29" s="134" t="s">
        <v>142</v>
      </c>
      <c r="I29" s="134" t="s">
        <v>142</v>
      </c>
      <c r="J29" s="134" t="s">
        <v>142</v>
      </c>
      <c r="K29" s="134" t="s">
        <v>142</v>
      </c>
      <c r="L29" s="134" t="s">
        <v>142</v>
      </c>
      <c r="M29" s="136"/>
      <c r="N29" s="137"/>
    </row>
    <row r="30" hidden="1" outlineLevel="1">
      <c r="A30" s="353" t="s">
        <v>1041</v>
      </c>
      <c r="B30" s="309">
        <v>46235.0</v>
      </c>
      <c r="C30" s="118" t="str">
        <f t="shared" si="3"/>
        <v>Sat</v>
      </c>
      <c r="D30" s="143">
        <f t="shared" si="4"/>
        <v>1</v>
      </c>
      <c r="E30" s="144" t="s">
        <v>142</v>
      </c>
      <c r="F30" s="134" t="s">
        <v>142</v>
      </c>
      <c r="G30" s="134" t="s">
        <v>142</v>
      </c>
      <c r="H30" s="134" t="s">
        <v>142</v>
      </c>
      <c r="I30" s="134" t="s">
        <v>142</v>
      </c>
      <c r="J30" s="134" t="s">
        <v>142</v>
      </c>
      <c r="K30" s="134" t="s">
        <v>142</v>
      </c>
      <c r="L30" s="134" t="s">
        <v>142</v>
      </c>
      <c r="M30" s="136"/>
      <c r="N30" s="137"/>
    </row>
    <row r="31" hidden="1" outlineLevel="1">
      <c r="A31" s="353" t="s">
        <v>1044</v>
      </c>
      <c r="B31" s="309">
        <v>46235.0</v>
      </c>
      <c r="C31" s="118" t="str">
        <f t="shared" si="3"/>
        <v>Sat</v>
      </c>
      <c r="D31" s="128">
        <f t="shared" si="4"/>
        <v>1</v>
      </c>
      <c r="E31" s="131" t="s">
        <v>142</v>
      </c>
      <c r="F31" s="134" t="s">
        <v>142</v>
      </c>
      <c r="G31" s="134" t="s">
        <v>142</v>
      </c>
      <c r="H31" s="134" t="s">
        <v>142</v>
      </c>
      <c r="I31" s="134" t="s">
        <v>142</v>
      </c>
      <c r="J31" s="134" t="s">
        <v>142</v>
      </c>
      <c r="K31" s="134" t="s">
        <v>142</v>
      </c>
      <c r="L31" s="134" t="s">
        <v>142</v>
      </c>
      <c r="M31" s="136"/>
      <c r="N31" s="137"/>
    </row>
    <row r="32" hidden="1" outlineLevel="1">
      <c r="A32" s="353" t="s">
        <v>1046</v>
      </c>
      <c r="B32" s="309">
        <v>46235.0</v>
      </c>
      <c r="C32" s="118" t="str">
        <f t="shared" si="3"/>
        <v>Sat</v>
      </c>
      <c r="D32" s="143">
        <f t="shared" si="4"/>
        <v>1</v>
      </c>
      <c r="E32" s="144" t="s">
        <v>142</v>
      </c>
      <c r="F32" s="134" t="s">
        <v>142</v>
      </c>
      <c r="G32" s="134" t="s">
        <v>142</v>
      </c>
      <c r="H32" s="134" t="s">
        <v>142</v>
      </c>
      <c r="I32" s="134" t="s">
        <v>142</v>
      </c>
      <c r="J32" s="134" t="s">
        <v>142</v>
      </c>
      <c r="K32" s="134" t="s">
        <v>142</v>
      </c>
      <c r="L32" s="134" t="s">
        <v>142</v>
      </c>
      <c r="M32" s="136"/>
      <c r="N32" s="137"/>
    </row>
    <row r="33" hidden="1" outlineLevel="1">
      <c r="A33" s="353" t="s">
        <v>1048</v>
      </c>
      <c r="B33" s="270"/>
      <c r="C33" s="118" t="str">
        <f t="shared" si="3"/>
        <v/>
      </c>
      <c r="D33" s="128">
        <f t="shared" si="4"/>
        <v>0</v>
      </c>
      <c r="E33" s="131"/>
      <c r="F33" s="134"/>
      <c r="G33" s="134"/>
      <c r="H33" s="134"/>
      <c r="I33" s="134"/>
      <c r="J33" s="134"/>
      <c r="K33" s="134"/>
      <c r="L33" s="134"/>
      <c r="M33" s="136"/>
      <c r="N33" s="137"/>
    </row>
    <row r="34" hidden="1" outlineLevel="1">
      <c r="A34" s="353" t="s">
        <v>1050</v>
      </c>
      <c r="B34" s="270"/>
      <c r="C34" s="118" t="str">
        <f t="shared" si="3"/>
        <v/>
      </c>
      <c r="D34" s="143">
        <f t="shared" si="4"/>
        <v>0</v>
      </c>
      <c r="E34" s="144"/>
      <c r="F34" s="134"/>
      <c r="G34" s="134"/>
      <c r="H34" s="134"/>
      <c r="I34" s="134"/>
      <c r="J34" s="134"/>
      <c r="K34" s="134"/>
      <c r="L34" s="134"/>
      <c r="M34" s="136"/>
      <c r="N34" s="137"/>
    </row>
    <row r="35" ht="15.0" hidden="1" customHeight="1" outlineLevel="1">
      <c r="A35" s="353" t="s">
        <v>1052</v>
      </c>
      <c r="B35" s="270"/>
      <c r="C35" s="118" t="str">
        <f t="shared" si="3"/>
        <v/>
      </c>
      <c r="D35" s="128">
        <f t="shared" si="4"/>
        <v>0</v>
      </c>
      <c r="E35" s="131"/>
      <c r="F35" s="134"/>
      <c r="G35" s="134"/>
      <c r="H35" s="134"/>
      <c r="I35" s="134"/>
      <c r="J35" s="134"/>
      <c r="K35" s="134"/>
      <c r="L35" s="134"/>
      <c r="M35" s="136"/>
      <c r="N35" s="131"/>
    </row>
    <row r="36" hidden="1" outlineLevel="1">
      <c r="B36" s="215"/>
      <c r="C36" s="216" t="s">
        <v>199</v>
      </c>
      <c r="D36" s="217">
        <f>AVERAGE(D21:D35)</f>
        <v>0.8</v>
      </c>
      <c r="E36" s="218"/>
      <c r="L36" s="216" t="s">
        <v>199</v>
      </c>
      <c r="M36" s="217">
        <f>SUM(M21:M35)/75*0.1</f>
        <v>0</v>
      </c>
    </row>
    <row r="37" hidden="1" collapsed="1">
      <c r="A37" s="85" t="s">
        <v>315</v>
      </c>
      <c r="B37" s="86"/>
      <c r="C37" s="86"/>
      <c r="D37" s="88"/>
      <c r="E37" s="89"/>
      <c r="F37" s="89"/>
      <c r="G37" s="91"/>
      <c r="H37" s="91"/>
      <c r="I37" s="91"/>
      <c r="J37" s="91"/>
      <c r="K37" s="91"/>
      <c r="L37" s="91"/>
      <c r="M37" s="93"/>
      <c r="N37" s="95"/>
    </row>
    <row r="38" hidden="1" outlineLevel="1">
      <c r="A38" s="96" t="s">
        <v>89</v>
      </c>
      <c r="B38" s="98" t="s">
        <v>90</v>
      </c>
      <c r="C38" s="98" t="s">
        <v>91</v>
      </c>
      <c r="D38" s="101" t="s">
        <v>93</v>
      </c>
      <c r="E38" s="102" t="s">
        <v>94</v>
      </c>
      <c r="F38" s="102" t="s">
        <v>95</v>
      </c>
      <c r="G38" s="105" t="s">
        <v>96</v>
      </c>
      <c r="H38" s="107" t="s">
        <v>97</v>
      </c>
      <c r="I38" s="107" t="s">
        <v>104</v>
      </c>
      <c r="J38" s="105" t="s">
        <v>106</v>
      </c>
      <c r="K38" s="107" t="s">
        <v>109</v>
      </c>
      <c r="L38" s="105" t="s">
        <v>111</v>
      </c>
      <c r="M38" s="98" t="s">
        <v>114</v>
      </c>
      <c r="N38" s="101" t="s">
        <v>116</v>
      </c>
    </row>
    <row r="39" hidden="1" outlineLevel="1">
      <c r="A39" s="113" t="s">
        <v>1056</v>
      </c>
      <c r="B39" s="309">
        <v>46237.0</v>
      </c>
      <c r="C39" s="118" t="str">
        <f t="shared" ref="C39:C53" si="5">IF(B39="", "", TEXT(B39, "ddd"))</f>
        <v>Mon</v>
      </c>
      <c r="D39" s="128">
        <f t="shared" ref="D39:D53" si="6">IF(E39="Yes",0.05,0)
+IF(F39="Yes",0.1,0)
+IF(G39="Yes",0.15,0)
+IF(H39="Yes",0.15,0)
+IF(I39="Yes",0.05,0)
+IF(J39="Yes",0.05,0)
+IF(K39="Yes",0.15,0)
+IF(L39="Yes",0.3,0)
</f>
        <v>1</v>
      </c>
      <c r="E39" s="131" t="s">
        <v>142</v>
      </c>
      <c r="F39" s="134" t="s">
        <v>142</v>
      </c>
      <c r="G39" s="134" t="s">
        <v>142</v>
      </c>
      <c r="H39" s="134" t="s">
        <v>142</v>
      </c>
      <c r="I39" s="134" t="s">
        <v>142</v>
      </c>
      <c r="J39" s="134" t="s">
        <v>142</v>
      </c>
      <c r="K39" s="134" t="s">
        <v>142</v>
      </c>
      <c r="L39" s="134" t="s">
        <v>142</v>
      </c>
      <c r="M39" s="136"/>
      <c r="N39" s="137"/>
    </row>
    <row r="40" hidden="1" outlineLevel="1">
      <c r="A40" s="113" t="s">
        <v>1060</v>
      </c>
      <c r="B40" s="309">
        <v>46237.0</v>
      </c>
      <c r="C40" s="118" t="str">
        <f t="shared" si="5"/>
        <v>Mon</v>
      </c>
      <c r="D40" s="143">
        <f t="shared" si="6"/>
        <v>1</v>
      </c>
      <c r="E40" s="144" t="s">
        <v>142</v>
      </c>
      <c r="F40" s="134" t="s">
        <v>142</v>
      </c>
      <c r="G40" s="134" t="s">
        <v>142</v>
      </c>
      <c r="H40" s="134" t="s">
        <v>142</v>
      </c>
      <c r="I40" s="134" t="s">
        <v>142</v>
      </c>
      <c r="J40" s="134" t="s">
        <v>142</v>
      </c>
      <c r="K40" s="134" t="s">
        <v>142</v>
      </c>
      <c r="L40" s="134" t="s">
        <v>142</v>
      </c>
      <c r="M40" s="136"/>
      <c r="N40" s="131"/>
    </row>
    <row r="41" hidden="1" outlineLevel="1">
      <c r="A41" s="113" t="s">
        <v>1063</v>
      </c>
      <c r="B41" s="309">
        <v>46237.0</v>
      </c>
      <c r="C41" s="118" t="str">
        <f t="shared" si="5"/>
        <v>Mon</v>
      </c>
      <c r="D41" s="128">
        <f t="shared" si="6"/>
        <v>1</v>
      </c>
      <c r="E41" s="131" t="s">
        <v>142</v>
      </c>
      <c r="F41" s="134" t="s">
        <v>142</v>
      </c>
      <c r="G41" s="134" t="s">
        <v>142</v>
      </c>
      <c r="H41" s="134" t="s">
        <v>142</v>
      </c>
      <c r="I41" s="134" t="s">
        <v>142</v>
      </c>
      <c r="J41" s="134" t="s">
        <v>142</v>
      </c>
      <c r="K41" s="134" t="s">
        <v>142</v>
      </c>
      <c r="L41" s="134" t="s">
        <v>142</v>
      </c>
      <c r="M41" s="136"/>
      <c r="N41" s="131"/>
    </row>
    <row r="42" hidden="1" outlineLevel="1">
      <c r="A42" s="113" t="s">
        <v>1065</v>
      </c>
      <c r="B42" s="309">
        <v>46238.0</v>
      </c>
      <c r="C42" s="118" t="str">
        <f t="shared" si="5"/>
        <v>Tue</v>
      </c>
      <c r="D42" s="143">
        <f t="shared" si="6"/>
        <v>1</v>
      </c>
      <c r="E42" s="144" t="s">
        <v>142</v>
      </c>
      <c r="F42" s="134" t="s">
        <v>142</v>
      </c>
      <c r="G42" s="134" t="s">
        <v>142</v>
      </c>
      <c r="H42" s="134" t="s">
        <v>142</v>
      </c>
      <c r="I42" s="134" t="s">
        <v>142</v>
      </c>
      <c r="J42" s="134" t="s">
        <v>142</v>
      </c>
      <c r="K42" s="134" t="s">
        <v>142</v>
      </c>
      <c r="L42" s="134" t="s">
        <v>142</v>
      </c>
      <c r="M42" s="136"/>
      <c r="N42" s="131"/>
    </row>
    <row r="43" hidden="1" outlineLevel="1">
      <c r="A43" s="113" t="s">
        <v>1066</v>
      </c>
      <c r="B43" s="309">
        <v>46238.0</v>
      </c>
      <c r="C43" s="118" t="str">
        <f t="shared" si="5"/>
        <v>Tue</v>
      </c>
      <c r="D43" s="128">
        <f t="shared" si="6"/>
        <v>1</v>
      </c>
      <c r="E43" s="131" t="s">
        <v>142</v>
      </c>
      <c r="F43" s="134" t="s">
        <v>142</v>
      </c>
      <c r="G43" s="134" t="s">
        <v>142</v>
      </c>
      <c r="H43" s="134" t="s">
        <v>142</v>
      </c>
      <c r="I43" s="134" t="s">
        <v>142</v>
      </c>
      <c r="J43" s="134" t="s">
        <v>142</v>
      </c>
      <c r="K43" s="134" t="s">
        <v>142</v>
      </c>
      <c r="L43" s="134" t="s">
        <v>142</v>
      </c>
      <c r="M43" s="136"/>
      <c r="N43" s="131"/>
    </row>
    <row r="44" hidden="1" outlineLevel="1">
      <c r="A44" s="113" t="s">
        <v>1068</v>
      </c>
      <c r="B44" s="309">
        <v>46238.0</v>
      </c>
      <c r="C44" s="118" t="str">
        <f t="shared" si="5"/>
        <v>Tue</v>
      </c>
      <c r="D44" s="143">
        <f t="shared" si="6"/>
        <v>1</v>
      </c>
      <c r="E44" s="144" t="s">
        <v>142</v>
      </c>
      <c r="F44" s="134" t="s">
        <v>142</v>
      </c>
      <c r="G44" s="134" t="s">
        <v>142</v>
      </c>
      <c r="H44" s="134" t="s">
        <v>142</v>
      </c>
      <c r="I44" s="134" t="s">
        <v>142</v>
      </c>
      <c r="J44" s="134" t="s">
        <v>142</v>
      </c>
      <c r="K44" s="134" t="s">
        <v>142</v>
      </c>
      <c r="L44" s="134" t="s">
        <v>142</v>
      </c>
      <c r="M44" s="136"/>
      <c r="N44" s="131"/>
    </row>
    <row r="45" hidden="1" outlineLevel="1">
      <c r="A45" s="113" t="s">
        <v>1069</v>
      </c>
      <c r="B45" s="309">
        <v>46239.0</v>
      </c>
      <c r="C45" s="118" t="str">
        <f t="shared" si="5"/>
        <v>Wed</v>
      </c>
      <c r="D45" s="128">
        <f t="shared" si="6"/>
        <v>1</v>
      </c>
      <c r="E45" s="131" t="s">
        <v>142</v>
      </c>
      <c r="F45" s="134" t="s">
        <v>142</v>
      </c>
      <c r="G45" s="134" t="s">
        <v>142</v>
      </c>
      <c r="H45" s="134" t="s">
        <v>142</v>
      </c>
      <c r="I45" s="134" t="s">
        <v>142</v>
      </c>
      <c r="J45" s="134" t="s">
        <v>142</v>
      </c>
      <c r="K45" s="134" t="s">
        <v>142</v>
      </c>
      <c r="L45" s="134" t="s">
        <v>142</v>
      </c>
      <c r="M45" s="136"/>
      <c r="N45" s="131"/>
    </row>
    <row r="46" hidden="1" outlineLevel="1">
      <c r="A46" s="113" t="s">
        <v>1070</v>
      </c>
      <c r="B46" s="309">
        <v>46239.0</v>
      </c>
      <c r="C46" s="118" t="str">
        <f t="shared" si="5"/>
        <v>Wed</v>
      </c>
      <c r="D46" s="143">
        <f t="shared" si="6"/>
        <v>1</v>
      </c>
      <c r="E46" s="144" t="s">
        <v>142</v>
      </c>
      <c r="F46" s="134" t="s">
        <v>142</v>
      </c>
      <c r="G46" s="134" t="s">
        <v>142</v>
      </c>
      <c r="H46" s="134" t="s">
        <v>142</v>
      </c>
      <c r="I46" s="134" t="s">
        <v>142</v>
      </c>
      <c r="J46" s="134" t="s">
        <v>142</v>
      </c>
      <c r="K46" s="134" t="s">
        <v>142</v>
      </c>
      <c r="L46" s="134" t="s">
        <v>142</v>
      </c>
      <c r="M46" s="136"/>
      <c r="N46" s="131"/>
    </row>
    <row r="47" hidden="1" outlineLevel="1">
      <c r="A47" s="113" t="s">
        <v>1072</v>
      </c>
      <c r="B47" s="309">
        <v>46239.0</v>
      </c>
      <c r="C47" s="118" t="str">
        <f t="shared" si="5"/>
        <v>Wed</v>
      </c>
      <c r="D47" s="128">
        <f t="shared" si="6"/>
        <v>1</v>
      </c>
      <c r="E47" s="131" t="s">
        <v>142</v>
      </c>
      <c r="F47" s="134" t="s">
        <v>142</v>
      </c>
      <c r="G47" s="134" t="s">
        <v>142</v>
      </c>
      <c r="H47" s="134" t="s">
        <v>142</v>
      </c>
      <c r="I47" s="134" t="s">
        <v>142</v>
      </c>
      <c r="J47" s="134" t="s">
        <v>142</v>
      </c>
      <c r="K47" s="134" t="s">
        <v>142</v>
      </c>
      <c r="L47" s="134" t="s">
        <v>142</v>
      </c>
      <c r="M47" s="136"/>
      <c r="N47" s="131"/>
    </row>
    <row r="48" hidden="1" outlineLevel="1">
      <c r="A48" s="353" t="s">
        <v>1074</v>
      </c>
      <c r="B48" s="309">
        <v>46242.0</v>
      </c>
      <c r="C48" s="118" t="str">
        <f t="shared" si="5"/>
        <v>Sat</v>
      </c>
      <c r="D48" s="143">
        <f t="shared" si="6"/>
        <v>1</v>
      </c>
      <c r="E48" s="144" t="s">
        <v>142</v>
      </c>
      <c r="F48" s="134" t="s">
        <v>142</v>
      </c>
      <c r="G48" s="134" t="s">
        <v>142</v>
      </c>
      <c r="H48" s="134" t="s">
        <v>142</v>
      </c>
      <c r="I48" s="134" t="s">
        <v>142</v>
      </c>
      <c r="J48" s="134" t="s">
        <v>142</v>
      </c>
      <c r="K48" s="134" t="s">
        <v>142</v>
      </c>
      <c r="L48" s="134" t="s">
        <v>142</v>
      </c>
      <c r="M48" s="136"/>
      <c r="N48" s="131"/>
    </row>
    <row r="49" hidden="1" outlineLevel="1">
      <c r="A49" s="353" t="s">
        <v>1076</v>
      </c>
      <c r="B49" s="309">
        <v>46242.0</v>
      </c>
      <c r="C49" s="118" t="str">
        <f t="shared" si="5"/>
        <v>Sat</v>
      </c>
      <c r="D49" s="128">
        <f t="shared" si="6"/>
        <v>1</v>
      </c>
      <c r="E49" s="131" t="s">
        <v>142</v>
      </c>
      <c r="F49" s="134" t="s">
        <v>142</v>
      </c>
      <c r="G49" s="134" t="s">
        <v>142</v>
      </c>
      <c r="H49" s="134" t="s">
        <v>142</v>
      </c>
      <c r="I49" s="134" t="s">
        <v>142</v>
      </c>
      <c r="J49" s="134" t="s">
        <v>142</v>
      </c>
      <c r="K49" s="134" t="s">
        <v>142</v>
      </c>
      <c r="L49" s="134" t="s">
        <v>142</v>
      </c>
      <c r="M49" s="136"/>
      <c r="N49" s="131"/>
    </row>
    <row r="50" hidden="1" outlineLevel="1">
      <c r="A50" s="353" t="s">
        <v>1078</v>
      </c>
      <c r="B50" s="309">
        <v>46242.0</v>
      </c>
      <c r="C50" s="118" t="str">
        <f t="shared" si="5"/>
        <v>Sat</v>
      </c>
      <c r="D50" s="143">
        <f t="shared" si="6"/>
        <v>1</v>
      </c>
      <c r="E50" s="144" t="s">
        <v>142</v>
      </c>
      <c r="F50" s="134" t="s">
        <v>142</v>
      </c>
      <c r="G50" s="134" t="s">
        <v>142</v>
      </c>
      <c r="H50" s="134" t="s">
        <v>142</v>
      </c>
      <c r="I50" s="134" t="s">
        <v>142</v>
      </c>
      <c r="J50" s="134" t="s">
        <v>142</v>
      </c>
      <c r="K50" s="134" t="s">
        <v>142</v>
      </c>
      <c r="L50" s="134" t="s">
        <v>142</v>
      </c>
      <c r="M50" s="136"/>
      <c r="N50" s="131"/>
    </row>
    <row r="51" hidden="1" outlineLevel="1">
      <c r="A51" s="353" t="s">
        <v>1080</v>
      </c>
      <c r="B51" s="309">
        <v>46243.0</v>
      </c>
      <c r="C51" s="118" t="str">
        <f t="shared" si="5"/>
        <v>Sun</v>
      </c>
      <c r="D51" s="128">
        <f t="shared" si="6"/>
        <v>1</v>
      </c>
      <c r="E51" s="131" t="s">
        <v>142</v>
      </c>
      <c r="F51" s="134" t="s">
        <v>142</v>
      </c>
      <c r="G51" s="134" t="s">
        <v>142</v>
      </c>
      <c r="H51" s="134" t="s">
        <v>142</v>
      </c>
      <c r="I51" s="134" t="s">
        <v>142</v>
      </c>
      <c r="J51" s="134" t="s">
        <v>142</v>
      </c>
      <c r="K51" s="134" t="s">
        <v>142</v>
      </c>
      <c r="L51" s="134" t="s">
        <v>142</v>
      </c>
      <c r="M51" s="136"/>
      <c r="N51" s="131"/>
    </row>
    <row r="52" hidden="1" outlineLevel="1">
      <c r="A52" s="353" t="s">
        <v>1082</v>
      </c>
      <c r="B52" s="309">
        <v>46243.0</v>
      </c>
      <c r="C52" s="118" t="str">
        <f t="shared" si="5"/>
        <v>Sun</v>
      </c>
      <c r="D52" s="143">
        <f t="shared" si="6"/>
        <v>1</v>
      </c>
      <c r="E52" s="144" t="s">
        <v>142</v>
      </c>
      <c r="F52" s="134" t="s">
        <v>142</v>
      </c>
      <c r="G52" s="134" t="s">
        <v>142</v>
      </c>
      <c r="H52" s="134" t="s">
        <v>142</v>
      </c>
      <c r="I52" s="134" t="s">
        <v>142</v>
      </c>
      <c r="J52" s="134" t="s">
        <v>142</v>
      </c>
      <c r="K52" s="134" t="s">
        <v>142</v>
      </c>
      <c r="L52" s="134" t="s">
        <v>142</v>
      </c>
      <c r="M52" s="136"/>
      <c r="N52" s="131"/>
    </row>
    <row r="53" ht="15.0" hidden="1" customHeight="1" outlineLevel="1">
      <c r="A53" s="353" t="s">
        <v>1086</v>
      </c>
      <c r="B53" s="309">
        <v>46243.0</v>
      </c>
      <c r="C53" s="118" t="str">
        <f t="shared" si="5"/>
        <v>Sun</v>
      </c>
      <c r="D53" s="128">
        <f t="shared" si="6"/>
        <v>1</v>
      </c>
      <c r="E53" s="131" t="s">
        <v>142</v>
      </c>
      <c r="F53" s="134" t="s">
        <v>142</v>
      </c>
      <c r="G53" s="134" t="s">
        <v>142</v>
      </c>
      <c r="H53" s="134" t="s">
        <v>142</v>
      </c>
      <c r="I53" s="134" t="s">
        <v>142</v>
      </c>
      <c r="J53" s="134" t="s">
        <v>142</v>
      </c>
      <c r="K53" s="134" t="s">
        <v>142</v>
      </c>
      <c r="L53" s="134" t="s">
        <v>142</v>
      </c>
      <c r="M53" s="136"/>
      <c r="N53" s="131"/>
    </row>
    <row r="54" hidden="1" outlineLevel="1">
      <c r="B54" s="215"/>
      <c r="C54" s="216" t="s">
        <v>199</v>
      </c>
      <c r="D54" s="217">
        <f>AVERAGE(D39:D53)</f>
        <v>1</v>
      </c>
      <c r="E54" s="218"/>
      <c r="L54" s="216" t="s">
        <v>199</v>
      </c>
      <c r="M54" s="217">
        <f>SUM(M39:M53)/75*0.1</f>
        <v>0</v>
      </c>
    </row>
    <row r="55" hidden="1" collapsed="1">
      <c r="A55" s="85" t="s">
        <v>347</v>
      </c>
      <c r="B55" s="86"/>
      <c r="C55" s="86"/>
      <c r="D55" s="88"/>
      <c r="E55" s="89"/>
      <c r="F55" s="89"/>
      <c r="G55" s="91"/>
      <c r="H55" s="91"/>
      <c r="I55" s="91"/>
      <c r="J55" s="91"/>
      <c r="K55" s="91"/>
      <c r="L55" s="91"/>
      <c r="M55" s="93"/>
      <c r="N55" s="95"/>
    </row>
    <row r="56" hidden="1" outlineLevel="1">
      <c r="A56" s="96" t="s">
        <v>89</v>
      </c>
      <c r="B56" s="98" t="s">
        <v>90</v>
      </c>
      <c r="C56" s="98" t="s">
        <v>91</v>
      </c>
      <c r="D56" s="101" t="s">
        <v>93</v>
      </c>
      <c r="E56" s="102" t="s">
        <v>94</v>
      </c>
      <c r="F56" s="102" t="s">
        <v>95</v>
      </c>
      <c r="G56" s="105" t="s">
        <v>96</v>
      </c>
      <c r="H56" s="107" t="s">
        <v>97</v>
      </c>
      <c r="I56" s="107" t="s">
        <v>104</v>
      </c>
      <c r="J56" s="105" t="s">
        <v>106</v>
      </c>
      <c r="K56" s="107" t="s">
        <v>109</v>
      </c>
      <c r="L56" s="105" t="s">
        <v>111</v>
      </c>
      <c r="M56" s="98" t="s">
        <v>114</v>
      </c>
      <c r="N56" s="101" t="s">
        <v>116</v>
      </c>
    </row>
    <row r="57" hidden="1" outlineLevel="1">
      <c r="A57" s="398" t="s">
        <v>1089</v>
      </c>
      <c r="B57" s="309">
        <v>46244.0</v>
      </c>
      <c r="C57" s="118" t="str">
        <f t="shared" ref="C57:C71" si="7">IF(B57="", "", TEXT(B57, "ddd"))</f>
        <v>Mon</v>
      </c>
      <c r="D57" s="128">
        <f t="shared" ref="D57:D71" si="8">IF(E57="Yes",0.05,0)
+IF(F57="Yes",0.1,0)
+IF(G57="Yes",0.15,0)
+IF(H57="Yes",0.15,0)
+IF(I57="Yes",0.05,0)
+IF(J57="Yes",0.05,0)
+IF(K57="Yes",0.15,0)
+IF(L57="Yes",0.3,0)
</f>
        <v>1</v>
      </c>
      <c r="E57" s="131" t="s">
        <v>142</v>
      </c>
      <c r="F57" s="134" t="s">
        <v>142</v>
      </c>
      <c r="G57" s="134" t="s">
        <v>142</v>
      </c>
      <c r="H57" s="134" t="s">
        <v>142</v>
      </c>
      <c r="I57" s="134" t="s">
        <v>142</v>
      </c>
      <c r="J57" s="134" t="s">
        <v>142</v>
      </c>
      <c r="K57" s="134" t="s">
        <v>142</v>
      </c>
      <c r="L57" s="134" t="s">
        <v>142</v>
      </c>
      <c r="M57" s="136"/>
      <c r="N57" s="137"/>
    </row>
    <row r="58" hidden="1" outlineLevel="1">
      <c r="A58" s="398" t="s">
        <v>1094</v>
      </c>
      <c r="B58" s="309">
        <v>46244.0</v>
      </c>
      <c r="C58" s="118" t="str">
        <f t="shared" si="7"/>
        <v>Mon</v>
      </c>
      <c r="D58" s="143">
        <f t="shared" si="8"/>
        <v>1</v>
      </c>
      <c r="E58" s="144" t="s">
        <v>142</v>
      </c>
      <c r="F58" s="134" t="s">
        <v>142</v>
      </c>
      <c r="G58" s="134" t="s">
        <v>142</v>
      </c>
      <c r="H58" s="134" t="s">
        <v>142</v>
      </c>
      <c r="I58" s="134" t="s">
        <v>142</v>
      </c>
      <c r="J58" s="134" t="s">
        <v>142</v>
      </c>
      <c r="K58" s="134" t="s">
        <v>142</v>
      </c>
      <c r="L58" s="134" t="s">
        <v>142</v>
      </c>
      <c r="M58" s="136"/>
      <c r="N58" s="131"/>
    </row>
    <row r="59" hidden="1" outlineLevel="1">
      <c r="A59" s="353" t="s">
        <v>1096</v>
      </c>
      <c r="B59" s="309">
        <v>46244.0</v>
      </c>
      <c r="C59" s="118" t="str">
        <f t="shared" si="7"/>
        <v>Mon</v>
      </c>
      <c r="D59" s="128">
        <f t="shared" si="8"/>
        <v>1</v>
      </c>
      <c r="E59" s="131" t="s">
        <v>142</v>
      </c>
      <c r="F59" s="134" t="s">
        <v>142</v>
      </c>
      <c r="G59" s="134" t="s">
        <v>142</v>
      </c>
      <c r="H59" s="134" t="s">
        <v>142</v>
      </c>
      <c r="I59" s="134" t="s">
        <v>142</v>
      </c>
      <c r="J59" s="134" t="s">
        <v>142</v>
      </c>
      <c r="K59" s="134" t="s">
        <v>142</v>
      </c>
      <c r="L59" s="134" t="s">
        <v>142</v>
      </c>
      <c r="M59" s="136"/>
      <c r="N59" s="131"/>
    </row>
    <row r="60" hidden="1" outlineLevel="1">
      <c r="A60" s="353" t="s">
        <v>1098</v>
      </c>
      <c r="B60" s="309">
        <v>46245.0</v>
      </c>
      <c r="C60" s="118" t="str">
        <f t="shared" si="7"/>
        <v>Tue</v>
      </c>
      <c r="D60" s="143">
        <f t="shared" si="8"/>
        <v>1</v>
      </c>
      <c r="E60" s="144" t="s">
        <v>142</v>
      </c>
      <c r="F60" s="134" t="s">
        <v>142</v>
      </c>
      <c r="G60" s="134" t="s">
        <v>142</v>
      </c>
      <c r="H60" s="134" t="s">
        <v>142</v>
      </c>
      <c r="I60" s="134" t="s">
        <v>142</v>
      </c>
      <c r="J60" s="134" t="s">
        <v>142</v>
      </c>
      <c r="K60" s="134" t="s">
        <v>142</v>
      </c>
      <c r="L60" s="134" t="s">
        <v>142</v>
      </c>
      <c r="M60" s="136"/>
      <c r="N60" s="131"/>
    </row>
    <row r="61" hidden="1" outlineLevel="1">
      <c r="A61" s="353" t="s">
        <v>1099</v>
      </c>
      <c r="B61" s="309">
        <v>46245.0</v>
      </c>
      <c r="C61" s="118" t="str">
        <f t="shared" si="7"/>
        <v>Tue</v>
      </c>
      <c r="D61" s="128">
        <f t="shared" si="8"/>
        <v>1</v>
      </c>
      <c r="E61" s="131" t="s">
        <v>142</v>
      </c>
      <c r="F61" s="134" t="s">
        <v>142</v>
      </c>
      <c r="G61" s="134" t="s">
        <v>142</v>
      </c>
      <c r="H61" s="134" t="s">
        <v>142</v>
      </c>
      <c r="I61" s="134" t="s">
        <v>142</v>
      </c>
      <c r="J61" s="134" t="s">
        <v>142</v>
      </c>
      <c r="K61" s="134" t="s">
        <v>142</v>
      </c>
      <c r="L61" s="134" t="s">
        <v>142</v>
      </c>
      <c r="M61" s="136"/>
      <c r="N61" s="131"/>
    </row>
    <row r="62" hidden="1" outlineLevel="1">
      <c r="A62" s="353" t="s">
        <v>1100</v>
      </c>
      <c r="B62" s="309">
        <v>46245.0</v>
      </c>
      <c r="C62" s="118" t="str">
        <f t="shared" si="7"/>
        <v>Tue</v>
      </c>
      <c r="D62" s="143">
        <f t="shared" si="8"/>
        <v>1</v>
      </c>
      <c r="E62" s="144" t="s">
        <v>142</v>
      </c>
      <c r="F62" s="134" t="s">
        <v>142</v>
      </c>
      <c r="G62" s="134" t="s">
        <v>142</v>
      </c>
      <c r="H62" s="134" t="s">
        <v>142</v>
      </c>
      <c r="I62" s="134" t="s">
        <v>142</v>
      </c>
      <c r="J62" s="134" t="s">
        <v>142</v>
      </c>
      <c r="K62" s="134" t="s">
        <v>142</v>
      </c>
      <c r="L62" s="134" t="s">
        <v>142</v>
      </c>
      <c r="M62" s="136"/>
      <c r="N62" s="131"/>
    </row>
    <row r="63" hidden="1" outlineLevel="1">
      <c r="A63" s="353" t="s">
        <v>1102</v>
      </c>
      <c r="B63" s="309">
        <v>46246.0</v>
      </c>
      <c r="C63" s="118" t="str">
        <f t="shared" si="7"/>
        <v>Wed</v>
      </c>
      <c r="D63" s="128">
        <f t="shared" si="8"/>
        <v>1</v>
      </c>
      <c r="E63" s="131" t="s">
        <v>142</v>
      </c>
      <c r="F63" s="134" t="s">
        <v>142</v>
      </c>
      <c r="G63" s="134" t="s">
        <v>142</v>
      </c>
      <c r="H63" s="134" t="s">
        <v>142</v>
      </c>
      <c r="I63" s="134" t="s">
        <v>142</v>
      </c>
      <c r="J63" s="134" t="s">
        <v>142</v>
      </c>
      <c r="K63" s="134" t="s">
        <v>142</v>
      </c>
      <c r="L63" s="134" t="s">
        <v>142</v>
      </c>
      <c r="M63" s="136"/>
      <c r="N63" s="131"/>
    </row>
    <row r="64" hidden="1" outlineLevel="1">
      <c r="A64" s="398" t="s">
        <v>1104</v>
      </c>
      <c r="B64" s="309">
        <v>46246.0</v>
      </c>
      <c r="C64" s="118" t="str">
        <f t="shared" si="7"/>
        <v>Wed</v>
      </c>
      <c r="D64" s="143">
        <f t="shared" si="8"/>
        <v>1</v>
      </c>
      <c r="E64" s="144" t="s">
        <v>142</v>
      </c>
      <c r="F64" s="134" t="s">
        <v>142</v>
      </c>
      <c r="G64" s="134" t="s">
        <v>142</v>
      </c>
      <c r="H64" s="134" t="s">
        <v>142</v>
      </c>
      <c r="I64" s="134" t="s">
        <v>142</v>
      </c>
      <c r="J64" s="134" t="s">
        <v>142</v>
      </c>
      <c r="K64" s="134" t="s">
        <v>142</v>
      </c>
      <c r="L64" s="134" t="s">
        <v>142</v>
      </c>
      <c r="M64" s="136"/>
      <c r="N64" s="131"/>
    </row>
    <row r="65" hidden="1" outlineLevel="1">
      <c r="A65" s="398" t="s">
        <v>1106</v>
      </c>
      <c r="B65" s="309">
        <v>46246.0</v>
      </c>
      <c r="C65" s="118" t="str">
        <f t="shared" si="7"/>
        <v>Wed</v>
      </c>
      <c r="D65" s="128">
        <f t="shared" si="8"/>
        <v>1</v>
      </c>
      <c r="E65" s="131" t="s">
        <v>142</v>
      </c>
      <c r="F65" s="134" t="s">
        <v>142</v>
      </c>
      <c r="G65" s="134" t="s">
        <v>142</v>
      </c>
      <c r="H65" s="134" t="s">
        <v>142</v>
      </c>
      <c r="I65" s="134" t="s">
        <v>142</v>
      </c>
      <c r="J65" s="134" t="s">
        <v>142</v>
      </c>
      <c r="K65" s="134" t="s">
        <v>142</v>
      </c>
      <c r="L65" s="134" t="s">
        <v>142</v>
      </c>
      <c r="M65" s="136"/>
      <c r="N65" s="131"/>
    </row>
    <row r="66" hidden="1" outlineLevel="1">
      <c r="A66" s="353" t="s">
        <v>1108</v>
      </c>
      <c r="B66" s="309">
        <v>46247.0</v>
      </c>
      <c r="C66" s="118" t="str">
        <f t="shared" si="7"/>
        <v>Thu</v>
      </c>
      <c r="D66" s="143">
        <f t="shared" si="8"/>
        <v>1</v>
      </c>
      <c r="E66" s="144" t="s">
        <v>142</v>
      </c>
      <c r="F66" s="134" t="s">
        <v>142</v>
      </c>
      <c r="G66" s="134" t="s">
        <v>142</v>
      </c>
      <c r="H66" s="134" t="s">
        <v>142</v>
      </c>
      <c r="I66" s="134" t="s">
        <v>142</v>
      </c>
      <c r="J66" s="134" t="s">
        <v>142</v>
      </c>
      <c r="K66" s="134" t="s">
        <v>142</v>
      </c>
      <c r="L66" s="134" t="s">
        <v>142</v>
      </c>
      <c r="M66" s="136"/>
      <c r="N66" s="131"/>
    </row>
    <row r="67" hidden="1" outlineLevel="1">
      <c r="A67" s="353" t="s">
        <v>1109</v>
      </c>
      <c r="B67" s="309">
        <v>46247.0</v>
      </c>
      <c r="C67" s="118" t="str">
        <f t="shared" si="7"/>
        <v>Thu</v>
      </c>
      <c r="D67" s="128">
        <f t="shared" si="8"/>
        <v>1</v>
      </c>
      <c r="E67" s="131" t="s">
        <v>142</v>
      </c>
      <c r="F67" s="134" t="s">
        <v>142</v>
      </c>
      <c r="G67" s="134" t="s">
        <v>142</v>
      </c>
      <c r="H67" s="134" t="s">
        <v>142</v>
      </c>
      <c r="I67" s="134" t="s">
        <v>142</v>
      </c>
      <c r="J67" s="134" t="s">
        <v>142</v>
      </c>
      <c r="K67" s="134" t="s">
        <v>142</v>
      </c>
      <c r="L67" s="134" t="s">
        <v>142</v>
      </c>
      <c r="M67" s="136"/>
      <c r="N67" s="131"/>
    </row>
    <row r="68" hidden="1" outlineLevel="1">
      <c r="A68" s="353" t="s">
        <v>1112</v>
      </c>
      <c r="B68" s="309">
        <v>46247.0</v>
      </c>
      <c r="C68" s="118" t="str">
        <f t="shared" si="7"/>
        <v>Thu</v>
      </c>
      <c r="D68" s="143">
        <f t="shared" si="8"/>
        <v>1</v>
      </c>
      <c r="E68" s="144" t="s">
        <v>142</v>
      </c>
      <c r="F68" s="134" t="s">
        <v>142</v>
      </c>
      <c r="G68" s="134" t="s">
        <v>142</v>
      </c>
      <c r="H68" s="134" t="s">
        <v>142</v>
      </c>
      <c r="I68" s="134" t="s">
        <v>142</v>
      </c>
      <c r="J68" s="134" t="s">
        <v>142</v>
      </c>
      <c r="K68" s="134" t="s">
        <v>142</v>
      </c>
      <c r="L68" s="134" t="s">
        <v>142</v>
      </c>
      <c r="M68" s="136"/>
      <c r="N68" s="131"/>
    </row>
    <row r="69" hidden="1" outlineLevel="1">
      <c r="A69" s="353" t="s">
        <v>1114</v>
      </c>
      <c r="B69" s="309">
        <v>46249.0</v>
      </c>
      <c r="C69" s="118" t="str">
        <f t="shared" si="7"/>
        <v>Sat</v>
      </c>
      <c r="D69" s="128">
        <f t="shared" si="8"/>
        <v>1</v>
      </c>
      <c r="E69" s="131" t="s">
        <v>142</v>
      </c>
      <c r="F69" s="134" t="s">
        <v>142</v>
      </c>
      <c r="G69" s="134" t="s">
        <v>142</v>
      </c>
      <c r="H69" s="134" t="s">
        <v>142</v>
      </c>
      <c r="I69" s="134" t="s">
        <v>142</v>
      </c>
      <c r="J69" s="134" t="s">
        <v>142</v>
      </c>
      <c r="K69" s="134" t="s">
        <v>142</v>
      </c>
      <c r="L69" s="134" t="s">
        <v>142</v>
      </c>
      <c r="M69" s="136"/>
      <c r="N69" s="131"/>
    </row>
    <row r="70" hidden="1" outlineLevel="1">
      <c r="A70" s="353" t="s">
        <v>1116</v>
      </c>
      <c r="B70" s="309">
        <v>46249.0</v>
      </c>
      <c r="C70" s="118" t="str">
        <f t="shared" si="7"/>
        <v>Sat</v>
      </c>
      <c r="D70" s="143">
        <f t="shared" si="8"/>
        <v>1</v>
      </c>
      <c r="E70" s="144" t="s">
        <v>142</v>
      </c>
      <c r="F70" s="134" t="s">
        <v>142</v>
      </c>
      <c r="G70" s="134" t="s">
        <v>142</v>
      </c>
      <c r="H70" s="134" t="s">
        <v>142</v>
      </c>
      <c r="I70" s="134" t="s">
        <v>142</v>
      </c>
      <c r="J70" s="134" t="s">
        <v>142</v>
      </c>
      <c r="K70" s="134" t="s">
        <v>142</v>
      </c>
      <c r="L70" s="134" t="s">
        <v>142</v>
      </c>
      <c r="M70" s="136"/>
      <c r="N70" s="131"/>
    </row>
    <row r="71" ht="15.0" hidden="1" customHeight="1" outlineLevel="1">
      <c r="A71" s="353" t="s">
        <v>1117</v>
      </c>
      <c r="B71" s="309">
        <v>46249.0</v>
      </c>
      <c r="C71" s="118" t="str">
        <f t="shared" si="7"/>
        <v>Sat</v>
      </c>
      <c r="D71" s="128">
        <f t="shared" si="8"/>
        <v>1</v>
      </c>
      <c r="E71" s="131" t="s">
        <v>142</v>
      </c>
      <c r="F71" s="134" t="s">
        <v>142</v>
      </c>
      <c r="G71" s="134" t="s">
        <v>142</v>
      </c>
      <c r="H71" s="134" t="s">
        <v>142</v>
      </c>
      <c r="I71" s="134" t="s">
        <v>142</v>
      </c>
      <c r="J71" s="134" t="s">
        <v>142</v>
      </c>
      <c r="K71" s="134" t="s">
        <v>142</v>
      </c>
      <c r="L71" s="134" t="s">
        <v>142</v>
      </c>
      <c r="M71" s="136"/>
      <c r="N71" s="131"/>
    </row>
    <row r="72" hidden="1" outlineLevel="1">
      <c r="B72" s="215"/>
      <c r="C72" s="216" t="s">
        <v>199</v>
      </c>
      <c r="D72" s="217">
        <f>AVERAGE(D57:D71)</f>
        <v>1</v>
      </c>
      <c r="E72" s="218"/>
      <c r="L72" s="216" t="s">
        <v>199</v>
      </c>
      <c r="M72" s="217">
        <f>SUM(M57:M71)/75*0.1</f>
        <v>0</v>
      </c>
    </row>
    <row r="73" hidden="1" collapsed="1">
      <c r="A73" s="85" t="s">
        <v>368</v>
      </c>
      <c r="B73" s="86"/>
      <c r="C73" s="86"/>
      <c r="D73" s="88"/>
      <c r="E73" s="89"/>
      <c r="F73" s="89"/>
      <c r="G73" s="91"/>
      <c r="H73" s="91"/>
      <c r="I73" s="91"/>
      <c r="J73" s="91"/>
      <c r="K73" s="91"/>
      <c r="L73" s="91"/>
      <c r="M73" s="93"/>
      <c r="N73" s="95"/>
    </row>
    <row r="74" hidden="1" outlineLevel="1">
      <c r="A74" s="96" t="s">
        <v>89</v>
      </c>
      <c r="B74" s="98" t="s">
        <v>90</v>
      </c>
      <c r="C74" s="98" t="s">
        <v>91</v>
      </c>
      <c r="D74" s="101" t="s">
        <v>93</v>
      </c>
      <c r="E74" s="102" t="s">
        <v>94</v>
      </c>
      <c r="F74" s="102" t="s">
        <v>95</v>
      </c>
      <c r="G74" s="105" t="s">
        <v>96</v>
      </c>
      <c r="H74" s="107" t="s">
        <v>97</v>
      </c>
      <c r="I74" s="107" t="s">
        <v>104</v>
      </c>
      <c r="J74" s="105" t="s">
        <v>106</v>
      </c>
      <c r="K74" s="107" t="s">
        <v>109</v>
      </c>
      <c r="L74" s="105" t="s">
        <v>111</v>
      </c>
      <c r="M74" s="98" t="s">
        <v>114</v>
      </c>
      <c r="N74" s="101" t="s">
        <v>116</v>
      </c>
    </row>
    <row r="75" hidden="1" outlineLevel="1">
      <c r="A75" s="353" t="s">
        <v>1121</v>
      </c>
      <c r="B75" s="309">
        <v>46251.0</v>
      </c>
      <c r="C75" s="118" t="str">
        <f t="shared" ref="C75:C89" si="9">IF(B75="", "", TEXT(B75, "ddd"))</f>
        <v>Mon</v>
      </c>
      <c r="D75" s="128">
        <f t="shared" ref="D75:D89" si="10">IF(E75="Yes",0.05,0)
+IF(F75="Yes",0.1,0)
+IF(G75="Yes",0.15,0)
+IF(H75="Yes",0.15,0)
+IF(I75="Yes",0.05,0)
+IF(J75="Yes",0.05,0)
+IF(K75="Yes",0.15,0)
+IF(L75="Yes",0.3,0)
</f>
        <v>1</v>
      </c>
      <c r="E75" s="131" t="s">
        <v>142</v>
      </c>
      <c r="F75" s="134" t="s">
        <v>142</v>
      </c>
      <c r="G75" s="134" t="s">
        <v>142</v>
      </c>
      <c r="H75" s="134" t="s">
        <v>142</v>
      </c>
      <c r="I75" s="134" t="s">
        <v>142</v>
      </c>
      <c r="J75" s="134" t="s">
        <v>142</v>
      </c>
      <c r="K75" s="134" t="s">
        <v>142</v>
      </c>
      <c r="L75" s="134" t="s">
        <v>142</v>
      </c>
      <c r="M75" s="136"/>
      <c r="N75" s="137"/>
    </row>
    <row r="76" hidden="1" outlineLevel="1">
      <c r="A76" s="398" t="s">
        <v>1125</v>
      </c>
      <c r="B76" s="309">
        <v>46251.0</v>
      </c>
      <c r="C76" s="118" t="str">
        <f t="shared" si="9"/>
        <v>Mon</v>
      </c>
      <c r="D76" s="143">
        <f t="shared" si="10"/>
        <v>1</v>
      </c>
      <c r="E76" s="144" t="s">
        <v>142</v>
      </c>
      <c r="F76" s="134" t="s">
        <v>142</v>
      </c>
      <c r="G76" s="134" t="s">
        <v>142</v>
      </c>
      <c r="H76" s="134" t="s">
        <v>142</v>
      </c>
      <c r="I76" s="134" t="s">
        <v>142</v>
      </c>
      <c r="J76" s="134" t="s">
        <v>142</v>
      </c>
      <c r="K76" s="134" t="s">
        <v>142</v>
      </c>
      <c r="L76" s="134" t="s">
        <v>142</v>
      </c>
      <c r="M76" s="136"/>
      <c r="N76" s="137"/>
    </row>
    <row r="77" hidden="1" outlineLevel="1">
      <c r="A77" s="398" t="s">
        <v>1127</v>
      </c>
      <c r="B77" s="309">
        <v>46251.0</v>
      </c>
      <c r="C77" s="118" t="str">
        <f t="shared" si="9"/>
        <v>Mon</v>
      </c>
      <c r="D77" s="128">
        <f t="shared" si="10"/>
        <v>1</v>
      </c>
      <c r="E77" s="131" t="s">
        <v>142</v>
      </c>
      <c r="F77" s="134" t="s">
        <v>142</v>
      </c>
      <c r="G77" s="134" t="s">
        <v>142</v>
      </c>
      <c r="H77" s="134" t="s">
        <v>142</v>
      </c>
      <c r="I77" s="134" t="s">
        <v>142</v>
      </c>
      <c r="J77" s="134" t="s">
        <v>142</v>
      </c>
      <c r="K77" s="134" t="s">
        <v>142</v>
      </c>
      <c r="L77" s="134" t="s">
        <v>142</v>
      </c>
      <c r="M77" s="136"/>
      <c r="N77" s="137"/>
    </row>
    <row r="78" hidden="1" outlineLevel="1">
      <c r="A78" s="353" t="s">
        <v>1129</v>
      </c>
      <c r="B78" s="309">
        <v>46252.0</v>
      </c>
      <c r="C78" s="118" t="str">
        <f t="shared" si="9"/>
        <v>Tue</v>
      </c>
      <c r="D78" s="143">
        <f t="shared" si="10"/>
        <v>1</v>
      </c>
      <c r="E78" s="144" t="s">
        <v>142</v>
      </c>
      <c r="F78" s="134" t="s">
        <v>142</v>
      </c>
      <c r="G78" s="134" t="s">
        <v>142</v>
      </c>
      <c r="H78" s="134" t="s">
        <v>142</v>
      </c>
      <c r="I78" s="134" t="s">
        <v>142</v>
      </c>
      <c r="J78" s="134" t="s">
        <v>142</v>
      </c>
      <c r="K78" s="134" t="s">
        <v>142</v>
      </c>
      <c r="L78" s="134" t="s">
        <v>142</v>
      </c>
      <c r="M78" s="136"/>
      <c r="N78" s="137"/>
    </row>
    <row r="79" hidden="1" outlineLevel="1">
      <c r="A79" s="353" t="s">
        <v>1132</v>
      </c>
      <c r="B79" s="309">
        <v>46252.0</v>
      </c>
      <c r="C79" s="118" t="str">
        <f t="shared" si="9"/>
        <v>Tue</v>
      </c>
      <c r="D79" s="128">
        <f t="shared" si="10"/>
        <v>1</v>
      </c>
      <c r="E79" s="131" t="s">
        <v>142</v>
      </c>
      <c r="F79" s="134" t="s">
        <v>142</v>
      </c>
      <c r="G79" s="134" t="s">
        <v>142</v>
      </c>
      <c r="H79" s="134" t="s">
        <v>142</v>
      </c>
      <c r="I79" s="134" t="s">
        <v>142</v>
      </c>
      <c r="J79" s="134" t="s">
        <v>142</v>
      </c>
      <c r="K79" s="134" t="s">
        <v>142</v>
      </c>
      <c r="L79" s="134" t="s">
        <v>142</v>
      </c>
      <c r="M79" s="136"/>
      <c r="N79" s="137"/>
    </row>
    <row r="80" hidden="1" outlineLevel="1">
      <c r="A80" s="113" t="s">
        <v>1133</v>
      </c>
      <c r="B80" s="309">
        <v>46252.0</v>
      </c>
      <c r="C80" s="118" t="str">
        <f t="shared" si="9"/>
        <v>Tue</v>
      </c>
      <c r="D80" s="143">
        <f t="shared" si="10"/>
        <v>1</v>
      </c>
      <c r="E80" s="144" t="s">
        <v>142</v>
      </c>
      <c r="F80" s="134" t="s">
        <v>142</v>
      </c>
      <c r="G80" s="134" t="s">
        <v>142</v>
      </c>
      <c r="H80" s="134" t="s">
        <v>142</v>
      </c>
      <c r="I80" s="134" t="s">
        <v>142</v>
      </c>
      <c r="J80" s="134" t="s">
        <v>142</v>
      </c>
      <c r="K80" s="134" t="s">
        <v>142</v>
      </c>
      <c r="L80" s="134" t="s">
        <v>142</v>
      </c>
      <c r="M80" s="136"/>
      <c r="N80" s="137"/>
    </row>
    <row r="81" hidden="1" outlineLevel="1">
      <c r="A81" s="113" t="s">
        <v>1135</v>
      </c>
      <c r="B81" s="309">
        <v>46253.0</v>
      </c>
      <c r="C81" s="118" t="str">
        <f t="shared" si="9"/>
        <v>Wed</v>
      </c>
      <c r="D81" s="128">
        <f t="shared" si="10"/>
        <v>1</v>
      </c>
      <c r="E81" s="131" t="s">
        <v>142</v>
      </c>
      <c r="F81" s="134" t="s">
        <v>142</v>
      </c>
      <c r="G81" s="134" t="s">
        <v>142</v>
      </c>
      <c r="H81" s="134" t="s">
        <v>142</v>
      </c>
      <c r="I81" s="134" t="s">
        <v>142</v>
      </c>
      <c r="J81" s="134" t="s">
        <v>142</v>
      </c>
      <c r="K81" s="134" t="s">
        <v>142</v>
      </c>
      <c r="L81" s="134" t="s">
        <v>142</v>
      </c>
      <c r="M81" s="136"/>
      <c r="N81" s="137"/>
    </row>
    <row r="82" hidden="1" outlineLevel="1">
      <c r="A82" s="113" t="s">
        <v>1137</v>
      </c>
      <c r="B82" s="309">
        <v>46253.0</v>
      </c>
      <c r="C82" s="118" t="str">
        <f t="shared" si="9"/>
        <v>Wed</v>
      </c>
      <c r="D82" s="143">
        <f t="shared" si="10"/>
        <v>1</v>
      </c>
      <c r="E82" s="144" t="s">
        <v>142</v>
      </c>
      <c r="F82" s="134" t="s">
        <v>142</v>
      </c>
      <c r="G82" s="134" t="s">
        <v>142</v>
      </c>
      <c r="H82" s="134" t="s">
        <v>142</v>
      </c>
      <c r="I82" s="134" t="s">
        <v>142</v>
      </c>
      <c r="J82" s="134" t="s">
        <v>142</v>
      </c>
      <c r="K82" s="134" t="s">
        <v>142</v>
      </c>
      <c r="L82" s="134" t="s">
        <v>142</v>
      </c>
      <c r="M82" s="136"/>
      <c r="N82" s="137"/>
    </row>
    <row r="83" hidden="1" outlineLevel="1">
      <c r="A83" s="113" t="s">
        <v>1139</v>
      </c>
      <c r="B83" s="309">
        <v>46253.0</v>
      </c>
      <c r="C83" s="118" t="str">
        <f t="shared" si="9"/>
        <v>Wed</v>
      </c>
      <c r="D83" s="128">
        <f t="shared" si="10"/>
        <v>1</v>
      </c>
      <c r="E83" s="131" t="s">
        <v>142</v>
      </c>
      <c r="F83" s="134" t="s">
        <v>142</v>
      </c>
      <c r="G83" s="134" t="s">
        <v>142</v>
      </c>
      <c r="H83" s="134" t="s">
        <v>142</v>
      </c>
      <c r="I83" s="134" t="s">
        <v>142</v>
      </c>
      <c r="J83" s="134" t="s">
        <v>142</v>
      </c>
      <c r="K83" s="134" t="s">
        <v>142</v>
      </c>
      <c r="L83" s="134" t="s">
        <v>142</v>
      </c>
      <c r="M83" s="136"/>
      <c r="N83" s="137"/>
    </row>
    <row r="84" hidden="1" outlineLevel="1">
      <c r="A84" s="113" t="s">
        <v>1141</v>
      </c>
      <c r="B84" s="309">
        <v>46254.0</v>
      </c>
      <c r="C84" s="118" t="str">
        <f t="shared" si="9"/>
        <v>Thu</v>
      </c>
      <c r="D84" s="143">
        <f t="shared" si="10"/>
        <v>1</v>
      </c>
      <c r="E84" s="144" t="s">
        <v>142</v>
      </c>
      <c r="F84" s="134" t="s">
        <v>142</v>
      </c>
      <c r="G84" s="134" t="s">
        <v>142</v>
      </c>
      <c r="H84" s="134" t="s">
        <v>142</v>
      </c>
      <c r="I84" s="134" t="s">
        <v>142</v>
      </c>
      <c r="J84" s="134" t="s">
        <v>142</v>
      </c>
      <c r="K84" s="134" t="s">
        <v>142</v>
      </c>
      <c r="L84" s="134" t="s">
        <v>142</v>
      </c>
      <c r="M84" s="136"/>
      <c r="N84" s="137"/>
    </row>
    <row r="85" hidden="1" outlineLevel="1">
      <c r="A85" s="113" t="s">
        <v>1143</v>
      </c>
      <c r="B85" s="309">
        <v>46254.0</v>
      </c>
      <c r="C85" s="118" t="str">
        <f t="shared" si="9"/>
        <v>Thu</v>
      </c>
      <c r="D85" s="128">
        <f t="shared" si="10"/>
        <v>1</v>
      </c>
      <c r="E85" s="131" t="s">
        <v>142</v>
      </c>
      <c r="F85" s="134" t="s">
        <v>142</v>
      </c>
      <c r="G85" s="134" t="s">
        <v>142</v>
      </c>
      <c r="H85" s="134" t="s">
        <v>142</v>
      </c>
      <c r="I85" s="134" t="s">
        <v>142</v>
      </c>
      <c r="J85" s="134" t="s">
        <v>142</v>
      </c>
      <c r="K85" s="134" t="s">
        <v>142</v>
      </c>
      <c r="L85" s="134" t="s">
        <v>142</v>
      </c>
      <c r="M85" s="136"/>
      <c r="N85" s="137"/>
    </row>
    <row r="86" hidden="1" outlineLevel="1">
      <c r="A86" s="113" t="s">
        <v>1145</v>
      </c>
      <c r="B86" s="309">
        <v>46254.0</v>
      </c>
      <c r="C86" s="118" t="str">
        <f t="shared" si="9"/>
        <v>Thu</v>
      </c>
      <c r="D86" s="143">
        <f t="shared" si="10"/>
        <v>1</v>
      </c>
      <c r="E86" s="144" t="s">
        <v>142</v>
      </c>
      <c r="F86" s="134" t="s">
        <v>142</v>
      </c>
      <c r="G86" s="134" t="s">
        <v>142</v>
      </c>
      <c r="H86" s="134" t="s">
        <v>142</v>
      </c>
      <c r="I86" s="134" t="s">
        <v>142</v>
      </c>
      <c r="J86" s="134" t="s">
        <v>142</v>
      </c>
      <c r="K86" s="134" t="s">
        <v>142</v>
      </c>
      <c r="L86" s="134" t="s">
        <v>142</v>
      </c>
      <c r="M86" s="136"/>
      <c r="N86" s="137"/>
    </row>
    <row r="87" hidden="1" outlineLevel="1">
      <c r="A87" s="113" t="s">
        <v>1149</v>
      </c>
      <c r="B87" s="309">
        <v>46255.0</v>
      </c>
      <c r="C87" s="118" t="str">
        <f t="shared" si="9"/>
        <v>Fri</v>
      </c>
      <c r="D87" s="128">
        <f t="shared" si="10"/>
        <v>1</v>
      </c>
      <c r="E87" s="131" t="s">
        <v>142</v>
      </c>
      <c r="F87" s="134" t="s">
        <v>142</v>
      </c>
      <c r="G87" s="134" t="s">
        <v>142</v>
      </c>
      <c r="H87" s="134" t="s">
        <v>142</v>
      </c>
      <c r="I87" s="134" t="s">
        <v>142</v>
      </c>
      <c r="J87" s="134" t="s">
        <v>142</v>
      </c>
      <c r="K87" s="134" t="s">
        <v>142</v>
      </c>
      <c r="L87" s="134" t="s">
        <v>142</v>
      </c>
      <c r="M87" s="136"/>
      <c r="N87" s="137"/>
    </row>
    <row r="88" hidden="1" outlineLevel="1">
      <c r="A88" s="113" t="s">
        <v>1151</v>
      </c>
      <c r="B88" s="309">
        <v>46255.0</v>
      </c>
      <c r="C88" s="118" t="str">
        <f t="shared" si="9"/>
        <v>Fri</v>
      </c>
      <c r="D88" s="143">
        <f t="shared" si="10"/>
        <v>1</v>
      </c>
      <c r="E88" s="144" t="s">
        <v>142</v>
      </c>
      <c r="F88" s="134" t="s">
        <v>142</v>
      </c>
      <c r="G88" s="134" t="s">
        <v>142</v>
      </c>
      <c r="H88" s="134" t="s">
        <v>142</v>
      </c>
      <c r="I88" s="134" t="s">
        <v>142</v>
      </c>
      <c r="J88" s="134" t="s">
        <v>142</v>
      </c>
      <c r="K88" s="134" t="s">
        <v>142</v>
      </c>
      <c r="L88" s="134" t="s">
        <v>142</v>
      </c>
      <c r="M88" s="136"/>
      <c r="N88" s="137"/>
    </row>
    <row r="89" ht="15.75" hidden="1" customHeight="1" outlineLevel="1">
      <c r="A89" s="113" t="s">
        <v>1154</v>
      </c>
      <c r="B89" s="309">
        <v>46255.0</v>
      </c>
      <c r="C89" s="118" t="str">
        <f t="shared" si="9"/>
        <v>Fri</v>
      </c>
      <c r="D89" s="128">
        <f t="shared" si="10"/>
        <v>1</v>
      </c>
      <c r="E89" s="131" t="s">
        <v>142</v>
      </c>
      <c r="F89" s="134" t="s">
        <v>142</v>
      </c>
      <c r="G89" s="134" t="s">
        <v>142</v>
      </c>
      <c r="H89" s="134" t="s">
        <v>142</v>
      </c>
      <c r="I89" s="134" t="s">
        <v>142</v>
      </c>
      <c r="J89" s="134" t="s">
        <v>142</v>
      </c>
      <c r="K89" s="134" t="s">
        <v>142</v>
      </c>
      <c r="L89" s="134" t="s">
        <v>142</v>
      </c>
      <c r="M89" s="136"/>
      <c r="N89" s="137"/>
    </row>
    <row r="90" hidden="1" outlineLevel="1">
      <c r="B90" s="215"/>
      <c r="C90" s="216" t="s">
        <v>199</v>
      </c>
      <c r="D90" s="217">
        <f>AVERAGE(D75:D89)</f>
        <v>1</v>
      </c>
      <c r="E90" s="218"/>
      <c r="L90" s="216" t="s">
        <v>199</v>
      </c>
      <c r="M90" s="217">
        <f>SUM(M75:M89)/75*0.1</f>
        <v>0</v>
      </c>
    </row>
    <row r="91" collapsed="1">
      <c r="A91" s="85" t="s">
        <v>397</v>
      </c>
      <c r="B91" s="86"/>
      <c r="C91" s="86"/>
      <c r="D91" s="88"/>
      <c r="E91" s="361"/>
      <c r="F91" s="361"/>
      <c r="G91" s="361"/>
      <c r="H91" s="361"/>
      <c r="I91" s="361"/>
      <c r="J91" s="361"/>
      <c r="K91" s="361"/>
      <c r="L91" s="361"/>
      <c r="M91" s="361"/>
      <c r="N91" s="361"/>
    </row>
    <row r="92" hidden="1" outlineLevel="1">
      <c r="A92" s="362" t="s">
        <v>89</v>
      </c>
      <c r="B92" s="363" t="s">
        <v>90</v>
      </c>
      <c r="C92" s="363" t="s">
        <v>91</v>
      </c>
      <c r="D92" s="364" t="s">
        <v>93</v>
      </c>
      <c r="E92" s="365" t="s">
        <v>94</v>
      </c>
      <c r="F92" s="365" t="s">
        <v>95</v>
      </c>
      <c r="G92" s="366" t="s">
        <v>96</v>
      </c>
      <c r="H92" s="366" t="s">
        <v>97</v>
      </c>
      <c r="I92" s="366" t="s">
        <v>104</v>
      </c>
      <c r="J92" s="366" t="s">
        <v>106</v>
      </c>
      <c r="K92" s="366" t="s">
        <v>109</v>
      </c>
      <c r="L92" s="366" t="s">
        <v>111</v>
      </c>
      <c r="M92" s="363" t="s">
        <v>114</v>
      </c>
      <c r="N92" s="363" t="s">
        <v>116</v>
      </c>
    </row>
    <row r="93" hidden="1" outlineLevel="1">
      <c r="A93" s="372" t="s">
        <v>1156</v>
      </c>
      <c r="B93" s="309">
        <v>46260.0</v>
      </c>
      <c r="C93" s="368" t="str">
        <f t="shared" ref="C93:C107" si="11">IF(B93="", "", TEXT(B93, "ddd"))</f>
        <v>Wed</v>
      </c>
      <c r="D93" s="128">
        <f t="shared" ref="D93:D107" si="12">IF(E93="Yes",0.05,0)
+IF(F93="Yes",0.1,0)
+IF(G93="Yes",0.15,0)
+IF(H93="Yes",0.15,0)
+IF(I93="Yes",0.05,0)
+IF(J93="Yes",0.05,0)
+IF(K93="Yes",0.15,0)
+IF(L93="Yes",0.3,0)
</f>
        <v>1</v>
      </c>
      <c r="E93" s="131" t="s">
        <v>142</v>
      </c>
      <c r="F93" s="134" t="s">
        <v>142</v>
      </c>
      <c r="G93" s="134" t="s">
        <v>142</v>
      </c>
      <c r="H93" s="134" t="s">
        <v>142</v>
      </c>
      <c r="I93" s="134" t="s">
        <v>142</v>
      </c>
      <c r="J93" s="134" t="s">
        <v>142</v>
      </c>
      <c r="K93" s="134" t="s">
        <v>142</v>
      </c>
      <c r="L93" s="134" t="s">
        <v>142</v>
      </c>
      <c r="M93" s="370"/>
      <c r="N93" s="137"/>
    </row>
    <row r="94" hidden="1" outlineLevel="1">
      <c r="A94" s="372" t="s">
        <v>1161</v>
      </c>
      <c r="B94" s="309">
        <v>46260.0</v>
      </c>
      <c r="C94" s="368" t="str">
        <f t="shared" si="11"/>
        <v>Wed</v>
      </c>
      <c r="D94" s="143">
        <f t="shared" si="12"/>
        <v>1</v>
      </c>
      <c r="E94" s="144" t="s">
        <v>142</v>
      </c>
      <c r="F94" s="134" t="s">
        <v>142</v>
      </c>
      <c r="G94" s="134" t="s">
        <v>142</v>
      </c>
      <c r="H94" s="134" t="s">
        <v>142</v>
      </c>
      <c r="I94" s="134" t="s">
        <v>142</v>
      </c>
      <c r="J94" s="134" t="s">
        <v>142</v>
      </c>
      <c r="K94" s="134" t="s">
        <v>142</v>
      </c>
      <c r="L94" s="134" t="s">
        <v>142</v>
      </c>
      <c r="M94" s="370"/>
      <c r="N94" s="137"/>
    </row>
    <row r="95" hidden="1" outlineLevel="1">
      <c r="A95" s="372" t="s">
        <v>1162</v>
      </c>
      <c r="B95" s="309">
        <v>46260.0</v>
      </c>
      <c r="C95" s="368" t="str">
        <f t="shared" si="11"/>
        <v>Wed</v>
      </c>
      <c r="D95" s="128">
        <f t="shared" si="12"/>
        <v>1</v>
      </c>
      <c r="E95" s="131" t="s">
        <v>142</v>
      </c>
      <c r="F95" s="134" t="s">
        <v>142</v>
      </c>
      <c r="G95" s="134" t="s">
        <v>142</v>
      </c>
      <c r="H95" s="134" t="s">
        <v>142</v>
      </c>
      <c r="I95" s="134" t="s">
        <v>142</v>
      </c>
      <c r="J95" s="134" t="s">
        <v>142</v>
      </c>
      <c r="K95" s="134" t="s">
        <v>142</v>
      </c>
      <c r="L95" s="134" t="s">
        <v>142</v>
      </c>
      <c r="M95" s="370"/>
      <c r="N95" s="137"/>
    </row>
    <row r="96" hidden="1" outlineLevel="1">
      <c r="A96" s="372" t="s">
        <v>1163</v>
      </c>
      <c r="B96" s="309">
        <v>46261.0</v>
      </c>
      <c r="C96" s="368" t="str">
        <f t="shared" si="11"/>
        <v>Thu</v>
      </c>
      <c r="D96" s="143">
        <f t="shared" si="12"/>
        <v>1</v>
      </c>
      <c r="E96" s="144" t="s">
        <v>142</v>
      </c>
      <c r="F96" s="134" t="s">
        <v>142</v>
      </c>
      <c r="G96" s="134" t="s">
        <v>142</v>
      </c>
      <c r="H96" s="134" t="s">
        <v>142</v>
      </c>
      <c r="I96" s="134" t="s">
        <v>142</v>
      </c>
      <c r="J96" s="134" t="s">
        <v>142</v>
      </c>
      <c r="K96" s="134" t="s">
        <v>142</v>
      </c>
      <c r="L96" s="134" t="s">
        <v>142</v>
      </c>
      <c r="M96" s="370"/>
      <c r="N96" s="137"/>
    </row>
    <row r="97" hidden="1" outlineLevel="1">
      <c r="A97" s="372" t="s">
        <v>1165</v>
      </c>
      <c r="B97" s="309">
        <v>46261.0</v>
      </c>
      <c r="C97" s="368" t="str">
        <f t="shared" si="11"/>
        <v>Thu</v>
      </c>
      <c r="D97" s="128">
        <f t="shared" si="12"/>
        <v>1</v>
      </c>
      <c r="E97" s="131" t="s">
        <v>142</v>
      </c>
      <c r="F97" s="134" t="s">
        <v>142</v>
      </c>
      <c r="G97" s="134" t="s">
        <v>142</v>
      </c>
      <c r="H97" s="134" t="s">
        <v>142</v>
      </c>
      <c r="I97" s="134" t="s">
        <v>142</v>
      </c>
      <c r="J97" s="134" t="s">
        <v>142</v>
      </c>
      <c r="K97" s="134" t="s">
        <v>142</v>
      </c>
      <c r="L97" s="134" t="s">
        <v>142</v>
      </c>
      <c r="M97" s="370"/>
      <c r="N97" s="137"/>
    </row>
    <row r="98" hidden="1" outlineLevel="1">
      <c r="A98" s="372" t="s">
        <v>1166</v>
      </c>
      <c r="B98" s="309">
        <v>46261.0</v>
      </c>
      <c r="C98" s="368" t="str">
        <f t="shared" si="11"/>
        <v>Thu</v>
      </c>
      <c r="D98" s="143">
        <f t="shared" si="12"/>
        <v>1</v>
      </c>
      <c r="E98" s="144" t="s">
        <v>142</v>
      </c>
      <c r="F98" s="134" t="s">
        <v>142</v>
      </c>
      <c r="G98" s="134" t="s">
        <v>142</v>
      </c>
      <c r="H98" s="134" t="s">
        <v>142</v>
      </c>
      <c r="I98" s="134" t="s">
        <v>142</v>
      </c>
      <c r="J98" s="134" t="s">
        <v>142</v>
      </c>
      <c r="K98" s="134" t="s">
        <v>142</v>
      </c>
      <c r="L98" s="134" t="s">
        <v>142</v>
      </c>
      <c r="M98" s="370"/>
      <c r="N98" s="137"/>
    </row>
    <row r="99" hidden="1" outlineLevel="1">
      <c r="A99" s="372" t="s">
        <v>1168</v>
      </c>
      <c r="B99" s="309">
        <v>46262.0</v>
      </c>
      <c r="C99" s="368" t="str">
        <f t="shared" si="11"/>
        <v>Fri</v>
      </c>
      <c r="D99" s="128">
        <f t="shared" si="12"/>
        <v>1</v>
      </c>
      <c r="E99" s="131" t="s">
        <v>142</v>
      </c>
      <c r="F99" s="134" t="s">
        <v>142</v>
      </c>
      <c r="G99" s="134" t="s">
        <v>142</v>
      </c>
      <c r="H99" s="134" t="s">
        <v>142</v>
      </c>
      <c r="I99" s="134" t="s">
        <v>142</v>
      </c>
      <c r="J99" s="134" t="s">
        <v>142</v>
      </c>
      <c r="K99" s="134" t="s">
        <v>142</v>
      </c>
      <c r="L99" s="134" t="s">
        <v>142</v>
      </c>
      <c r="M99" s="370"/>
      <c r="N99" s="137"/>
    </row>
    <row r="100" hidden="1" outlineLevel="1">
      <c r="A100" s="372" t="s">
        <v>1173</v>
      </c>
      <c r="B100" s="309">
        <v>46262.0</v>
      </c>
      <c r="C100" s="368" t="str">
        <f t="shared" si="11"/>
        <v>Fri</v>
      </c>
      <c r="D100" s="143">
        <f t="shared" si="12"/>
        <v>1</v>
      </c>
      <c r="E100" s="144" t="s">
        <v>142</v>
      </c>
      <c r="F100" s="134" t="s">
        <v>142</v>
      </c>
      <c r="G100" s="134" t="s">
        <v>142</v>
      </c>
      <c r="H100" s="134" t="s">
        <v>142</v>
      </c>
      <c r="I100" s="134" t="s">
        <v>142</v>
      </c>
      <c r="J100" s="134" t="s">
        <v>142</v>
      </c>
      <c r="K100" s="134" t="s">
        <v>142</v>
      </c>
      <c r="L100" s="134" t="s">
        <v>142</v>
      </c>
      <c r="M100" s="370"/>
      <c r="N100" s="137"/>
    </row>
    <row r="101" hidden="1" outlineLevel="1">
      <c r="A101" s="372" t="s">
        <v>1175</v>
      </c>
      <c r="B101" s="309">
        <v>46262.0</v>
      </c>
      <c r="C101" s="368" t="str">
        <f t="shared" si="11"/>
        <v>Fri</v>
      </c>
      <c r="D101" s="128">
        <f t="shared" si="12"/>
        <v>1</v>
      </c>
      <c r="E101" s="131" t="s">
        <v>142</v>
      </c>
      <c r="F101" s="134" t="s">
        <v>142</v>
      </c>
      <c r="G101" s="134" t="s">
        <v>142</v>
      </c>
      <c r="H101" s="134" t="s">
        <v>142</v>
      </c>
      <c r="I101" s="134" t="s">
        <v>142</v>
      </c>
      <c r="J101" s="134" t="s">
        <v>142</v>
      </c>
      <c r="K101" s="134" t="s">
        <v>142</v>
      </c>
      <c r="L101" s="134" t="s">
        <v>142</v>
      </c>
      <c r="M101" s="370"/>
      <c r="N101" s="137"/>
    </row>
    <row r="102" hidden="1" outlineLevel="1">
      <c r="A102" s="372" t="s">
        <v>1176</v>
      </c>
      <c r="B102" s="309">
        <v>46263.0</v>
      </c>
      <c r="C102" s="368" t="str">
        <f t="shared" si="11"/>
        <v>Sat</v>
      </c>
      <c r="D102" s="143">
        <f t="shared" si="12"/>
        <v>1</v>
      </c>
      <c r="E102" s="144" t="s">
        <v>142</v>
      </c>
      <c r="F102" s="134" t="s">
        <v>142</v>
      </c>
      <c r="G102" s="134" t="s">
        <v>142</v>
      </c>
      <c r="H102" s="134" t="s">
        <v>142</v>
      </c>
      <c r="I102" s="134" t="s">
        <v>142</v>
      </c>
      <c r="J102" s="134" t="s">
        <v>142</v>
      </c>
      <c r="K102" s="134" t="s">
        <v>142</v>
      </c>
      <c r="L102" s="134" t="s">
        <v>142</v>
      </c>
      <c r="M102" s="370"/>
      <c r="N102" s="137"/>
    </row>
    <row r="103" hidden="1" outlineLevel="1">
      <c r="A103" s="372" t="s">
        <v>1179</v>
      </c>
      <c r="B103" s="309">
        <v>46263.0</v>
      </c>
      <c r="C103" s="368" t="str">
        <f t="shared" si="11"/>
        <v>Sat</v>
      </c>
      <c r="D103" s="128">
        <f t="shared" si="12"/>
        <v>1</v>
      </c>
      <c r="E103" s="131" t="s">
        <v>142</v>
      </c>
      <c r="F103" s="134" t="s">
        <v>142</v>
      </c>
      <c r="G103" s="134" t="s">
        <v>142</v>
      </c>
      <c r="H103" s="134" t="s">
        <v>142</v>
      </c>
      <c r="I103" s="134" t="s">
        <v>142</v>
      </c>
      <c r="J103" s="134" t="s">
        <v>142</v>
      </c>
      <c r="K103" s="134" t="s">
        <v>142</v>
      </c>
      <c r="L103" s="134" t="s">
        <v>142</v>
      </c>
      <c r="M103" s="370"/>
      <c r="N103" s="137"/>
    </row>
    <row r="104" hidden="1" outlineLevel="1">
      <c r="A104" s="372" t="s">
        <v>1181</v>
      </c>
      <c r="B104" s="309">
        <v>46263.0</v>
      </c>
      <c r="C104" s="368" t="str">
        <f t="shared" si="11"/>
        <v>Sat</v>
      </c>
      <c r="D104" s="143">
        <f t="shared" si="12"/>
        <v>1</v>
      </c>
      <c r="E104" s="144" t="s">
        <v>142</v>
      </c>
      <c r="F104" s="134" t="s">
        <v>142</v>
      </c>
      <c r="G104" s="134" t="s">
        <v>142</v>
      </c>
      <c r="H104" s="134" t="s">
        <v>142</v>
      </c>
      <c r="I104" s="134" t="s">
        <v>142</v>
      </c>
      <c r="J104" s="134" t="s">
        <v>142</v>
      </c>
      <c r="K104" s="134" t="s">
        <v>142</v>
      </c>
      <c r="L104" s="134" t="s">
        <v>142</v>
      </c>
      <c r="M104" s="370"/>
      <c r="N104" s="137"/>
    </row>
    <row r="105" hidden="1" outlineLevel="1">
      <c r="A105" s="367"/>
      <c r="B105" s="309"/>
      <c r="C105" s="368" t="str">
        <f t="shared" si="11"/>
        <v/>
      </c>
      <c r="D105" s="128">
        <f t="shared" si="12"/>
        <v>1</v>
      </c>
      <c r="E105" s="131" t="s">
        <v>142</v>
      </c>
      <c r="F105" s="134" t="s">
        <v>142</v>
      </c>
      <c r="G105" s="134" t="s">
        <v>142</v>
      </c>
      <c r="H105" s="134" t="s">
        <v>142</v>
      </c>
      <c r="I105" s="134" t="s">
        <v>142</v>
      </c>
      <c r="J105" s="134" t="s">
        <v>142</v>
      </c>
      <c r="K105" s="134" t="s">
        <v>142</v>
      </c>
      <c r="L105" s="134" t="s">
        <v>142</v>
      </c>
      <c r="M105" s="370"/>
      <c r="N105" s="137"/>
    </row>
    <row r="106" hidden="1" outlineLevel="1">
      <c r="A106" s="367"/>
      <c r="B106" s="309"/>
      <c r="C106" s="368" t="str">
        <f t="shared" si="11"/>
        <v/>
      </c>
      <c r="D106" s="143">
        <f t="shared" si="12"/>
        <v>1</v>
      </c>
      <c r="E106" s="144" t="s">
        <v>142</v>
      </c>
      <c r="F106" s="134" t="s">
        <v>142</v>
      </c>
      <c r="G106" s="134" t="s">
        <v>142</v>
      </c>
      <c r="H106" s="134" t="s">
        <v>142</v>
      </c>
      <c r="I106" s="134" t="s">
        <v>142</v>
      </c>
      <c r="J106" s="134" t="s">
        <v>142</v>
      </c>
      <c r="K106" s="134" t="s">
        <v>142</v>
      </c>
      <c r="L106" s="134" t="s">
        <v>142</v>
      </c>
      <c r="M106" s="370"/>
      <c r="N106" s="137"/>
    </row>
    <row r="107" hidden="1" outlineLevel="1">
      <c r="A107" s="367"/>
      <c r="B107" s="309"/>
      <c r="C107" s="368" t="str">
        <f t="shared" si="11"/>
        <v/>
      </c>
      <c r="D107" s="128">
        <f t="shared" si="12"/>
        <v>1</v>
      </c>
      <c r="E107" s="131" t="s">
        <v>142</v>
      </c>
      <c r="F107" s="134" t="s">
        <v>142</v>
      </c>
      <c r="G107" s="134" t="s">
        <v>142</v>
      </c>
      <c r="H107" s="134" t="s">
        <v>142</v>
      </c>
      <c r="I107" s="134" t="s">
        <v>142</v>
      </c>
      <c r="J107" s="134" t="s">
        <v>142</v>
      </c>
      <c r="K107" s="134" t="s">
        <v>142</v>
      </c>
      <c r="L107" s="134" t="s">
        <v>142</v>
      </c>
      <c r="M107" s="370"/>
      <c r="N107" s="137"/>
    </row>
    <row r="108" hidden="1" outlineLevel="1">
      <c r="A108" s="373"/>
      <c r="B108" s="373"/>
      <c r="C108" s="374" t="s">
        <v>199</v>
      </c>
      <c r="D108" s="414">
        <f>AVERAGE(D93:D107)</f>
        <v>1</v>
      </c>
      <c r="E108" s="391"/>
      <c r="F108" s="373"/>
      <c r="G108" s="373"/>
      <c r="H108" s="373"/>
      <c r="I108" s="373"/>
      <c r="J108" s="373"/>
      <c r="K108" s="373"/>
      <c r="L108" s="374" t="s">
        <v>199</v>
      </c>
      <c r="M108" s="377">
        <f>SUM(M93:M107)/75*0.1</f>
        <v>0</v>
      </c>
      <c r="N108" s="373"/>
    </row>
    <row r="109" collapsed="1">
      <c r="A109" s="85" t="s">
        <v>423</v>
      </c>
      <c r="B109" s="86"/>
      <c r="C109" s="86"/>
      <c r="D109" s="88"/>
      <c r="E109" s="361"/>
      <c r="F109" s="361"/>
      <c r="G109" s="361"/>
      <c r="H109" s="361"/>
      <c r="I109" s="361"/>
      <c r="J109" s="361"/>
      <c r="K109" s="361"/>
      <c r="L109" s="361"/>
      <c r="M109" s="361"/>
      <c r="N109" s="361"/>
    </row>
    <row r="110" hidden="1" outlineLevel="1">
      <c r="A110" s="362" t="s">
        <v>89</v>
      </c>
      <c r="B110" s="363" t="s">
        <v>90</v>
      </c>
      <c r="C110" s="363" t="s">
        <v>91</v>
      </c>
      <c r="D110" s="364" t="s">
        <v>93</v>
      </c>
      <c r="E110" s="365" t="s">
        <v>94</v>
      </c>
      <c r="F110" s="365" t="s">
        <v>95</v>
      </c>
      <c r="G110" s="366" t="s">
        <v>96</v>
      </c>
      <c r="H110" s="366" t="s">
        <v>97</v>
      </c>
      <c r="I110" s="366" t="s">
        <v>104</v>
      </c>
      <c r="J110" s="366" t="s">
        <v>106</v>
      </c>
      <c r="K110" s="366" t="s">
        <v>109</v>
      </c>
      <c r="L110" s="366" t="s">
        <v>111</v>
      </c>
      <c r="M110" s="363" t="s">
        <v>114</v>
      </c>
      <c r="N110" s="363" t="s">
        <v>116</v>
      </c>
    </row>
    <row r="111" hidden="1" outlineLevel="1">
      <c r="A111" s="372" t="s">
        <v>1187</v>
      </c>
      <c r="B111" s="309">
        <v>46265.0</v>
      </c>
      <c r="C111" s="368" t="str">
        <f t="shared" ref="C111:C125" si="13">IF(B111="", "", TEXT(B111, "ddd"))</f>
        <v>Mon</v>
      </c>
      <c r="D111" s="128">
        <f t="shared" ref="D111:D125" si="14">IF(E111="Yes",0.05,0)
+IF(F111="Yes",0.1,0)
+IF(G111="Yes",0.15,0)
+IF(H111="Yes",0.15,0)
+IF(I111="Yes",0.05,0)
+IF(J111="Yes",0.05,0)
+IF(K111="Yes",0.15,0)
+IF(L111="Yes",0.3,0)
</f>
        <v>1</v>
      </c>
      <c r="E111" s="131" t="s">
        <v>142</v>
      </c>
      <c r="F111" s="134" t="s">
        <v>142</v>
      </c>
      <c r="G111" s="134" t="s">
        <v>142</v>
      </c>
      <c r="H111" s="134" t="s">
        <v>142</v>
      </c>
      <c r="I111" s="134" t="s">
        <v>142</v>
      </c>
      <c r="J111" s="134" t="s">
        <v>142</v>
      </c>
      <c r="K111" s="134" t="s">
        <v>142</v>
      </c>
      <c r="L111" s="134" t="s">
        <v>142</v>
      </c>
      <c r="M111" s="370"/>
      <c r="N111" s="137"/>
    </row>
    <row r="112" hidden="1" outlineLevel="1">
      <c r="A112" s="372" t="s">
        <v>1191</v>
      </c>
      <c r="B112" s="309">
        <v>46265.0</v>
      </c>
      <c r="C112" s="368" t="str">
        <f t="shared" si="13"/>
        <v>Mon</v>
      </c>
      <c r="D112" s="143">
        <f t="shared" si="14"/>
        <v>1</v>
      </c>
      <c r="E112" s="144" t="s">
        <v>142</v>
      </c>
      <c r="F112" s="134" t="s">
        <v>142</v>
      </c>
      <c r="G112" s="134" t="s">
        <v>142</v>
      </c>
      <c r="H112" s="134" t="s">
        <v>142</v>
      </c>
      <c r="I112" s="134" t="s">
        <v>142</v>
      </c>
      <c r="J112" s="134" t="s">
        <v>142</v>
      </c>
      <c r="K112" s="134" t="s">
        <v>142</v>
      </c>
      <c r="L112" s="134" t="s">
        <v>142</v>
      </c>
      <c r="M112" s="370"/>
      <c r="N112" s="137"/>
    </row>
    <row r="113" hidden="1" outlineLevel="1">
      <c r="A113" s="372" t="s">
        <v>1193</v>
      </c>
      <c r="B113" s="309">
        <v>46265.0</v>
      </c>
      <c r="C113" s="368" t="str">
        <f t="shared" si="13"/>
        <v>Mon</v>
      </c>
      <c r="D113" s="128">
        <f t="shared" si="14"/>
        <v>1</v>
      </c>
      <c r="E113" s="131" t="s">
        <v>142</v>
      </c>
      <c r="F113" s="134" t="s">
        <v>142</v>
      </c>
      <c r="G113" s="134" t="s">
        <v>142</v>
      </c>
      <c r="H113" s="134" t="s">
        <v>142</v>
      </c>
      <c r="I113" s="134" t="s">
        <v>142</v>
      </c>
      <c r="J113" s="134" t="s">
        <v>142</v>
      </c>
      <c r="K113" s="134" t="s">
        <v>142</v>
      </c>
      <c r="L113" s="134" t="s">
        <v>142</v>
      </c>
      <c r="M113" s="370"/>
      <c r="N113" s="137"/>
    </row>
    <row r="114" hidden="1" outlineLevel="1">
      <c r="A114" s="372" t="s">
        <v>1194</v>
      </c>
      <c r="B114" s="309">
        <v>46266.0</v>
      </c>
      <c r="C114" s="368" t="str">
        <f t="shared" si="13"/>
        <v>Tue</v>
      </c>
      <c r="D114" s="143">
        <f t="shared" si="14"/>
        <v>1</v>
      </c>
      <c r="E114" s="144" t="s">
        <v>142</v>
      </c>
      <c r="F114" s="134" t="s">
        <v>142</v>
      </c>
      <c r="G114" s="134" t="s">
        <v>142</v>
      </c>
      <c r="H114" s="134" t="s">
        <v>142</v>
      </c>
      <c r="I114" s="134" t="s">
        <v>142</v>
      </c>
      <c r="J114" s="134" t="s">
        <v>142</v>
      </c>
      <c r="K114" s="134" t="s">
        <v>142</v>
      </c>
      <c r="L114" s="134" t="s">
        <v>142</v>
      </c>
      <c r="M114" s="370"/>
      <c r="N114" s="137"/>
    </row>
    <row r="115" hidden="1" outlineLevel="1">
      <c r="A115" s="372" t="s">
        <v>1195</v>
      </c>
      <c r="B115" s="309">
        <v>46266.0</v>
      </c>
      <c r="C115" s="368" t="str">
        <f t="shared" si="13"/>
        <v>Tue</v>
      </c>
      <c r="D115" s="128">
        <f t="shared" si="14"/>
        <v>1</v>
      </c>
      <c r="E115" s="131" t="s">
        <v>142</v>
      </c>
      <c r="F115" s="134" t="s">
        <v>142</v>
      </c>
      <c r="G115" s="134" t="s">
        <v>142</v>
      </c>
      <c r="H115" s="134" t="s">
        <v>142</v>
      </c>
      <c r="I115" s="134" t="s">
        <v>142</v>
      </c>
      <c r="J115" s="134" t="s">
        <v>142</v>
      </c>
      <c r="K115" s="134" t="s">
        <v>142</v>
      </c>
      <c r="L115" s="134" t="s">
        <v>142</v>
      </c>
      <c r="M115" s="370"/>
      <c r="N115" s="137"/>
    </row>
    <row r="116" hidden="1" outlineLevel="1">
      <c r="A116" s="372" t="s">
        <v>1198</v>
      </c>
      <c r="B116" s="309">
        <v>46266.0</v>
      </c>
      <c r="C116" s="368" t="str">
        <f t="shared" si="13"/>
        <v>Tue</v>
      </c>
      <c r="D116" s="143">
        <f t="shared" si="14"/>
        <v>1</v>
      </c>
      <c r="E116" s="144" t="s">
        <v>142</v>
      </c>
      <c r="F116" s="134" t="s">
        <v>142</v>
      </c>
      <c r="G116" s="134" t="s">
        <v>142</v>
      </c>
      <c r="H116" s="134" t="s">
        <v>142</v>
      </c>
      <c r="I116" s="134" t="s">
        <v>142</v>
      </c>
      <c r="J116" s="134" t="s">
        <v>142</v>
      </c>
      <c r="K116" s="134" t="s">
        <v>142</v>
      </c>
      <c r="L116" s="134" t="s">
        <v>142</v>
      </c>
      <c r="M116" s="370"/>
      <c r="N116" s="137"/>
    </row>
    <row r="117" hidden="1" outlineLevel="1">
      <c r="A117" s="372" t="s">
        <v>1199</v>
      </c>
      <c r="B117" s="309">
        <v>46267.0</v>
      </c>
      <c r="C117" s="368" t="str">
        <f t="shared" si="13"/>
        <v>Wed</v>
      </c>
      <c r="D117" s="128">
        <f t="shared" si="14"/>
        <v>1</v>
      </c>
      <c r="E117" s="131" t="s">
        <v>142</v>
      </c>
      <c r="F117" s="134" t="s">
        <v>142</v>
      </c>
      <c r="G117" s="134" t="s">
        <v>142</v>
      </c>
      <c r="H117" s="134" t="s">
        <v>142</v>
      </c>
      <c r="I117" s="134" t="s">
        <v>142</v>
      </c>
      <c r="J117" s="134" t="s">
        <v>142</v>
      </c>
      <c r="K117" s="134" t="s">
        <v>142</v>
      </c>
      <c r="L117" s="134" t="s">
        <v>142</v>
      </c>
      <c r="M117" s="370"/>
      <c r="N117" s="137"/>
    </row>
    <row r="118" hidden="1" outlineLevel="1">
      <c r="A118" s="372" t="s">
        <v>1201</v>
      </c>
      <c r="B118" s="309">
        <v>46267.0</v>
      </c>
      <c r="C118" s="368" t="str">
        <f t="shared" si="13"/>
        <v>Wed</v>
      </c>
      <c r="D118" s="143">
        <f t="shared" si="14"/>
        <v>1</v>
      </c>
      <c r="E118" s="144" t="s">
        <v>142</v>
      </c>
      <c r="F118" s="134" t="s">
        <v>142</v>
      </c>
      <c r="G118" s="134" t="s">
        <v>142</v>
      </c>
      <c r="H118" s="134" t="s">
        <v>142</v>
      </c>
      <c r="I118" s="134" t="s">
        <v>142</v>
      </c>
      <c r="J118" s="134" t="s">
        <v>142</v>
      </c>
      <c r="K118" s="134" t="s">
        <v>142</v>
      </c>
      <c r="L118" s="134" t="s">
        <v>142</v>
      </c>
      <c r="M118" s="370"/>
      <c r="N118" s="137"/>
    </row>
    <row r="119" hidden="1" outlineLevel="1">
      <c r="A119" s="372" t="s">
        <v>1203</v>
      </c>
      <c r="B119" s="309">
        <v>46267.0</v>
      </c>
      <c r="C119" s="368" t="str">
        <f t="shared" si="13"/>
        <v>Wed</v>
      </c>
      <c r="D119" s="128">
        <f t="shared" si="14"/>
        <v>1</v>
      </c>
      <c r="E119" s="131" t="s">
        <v>142</v>
      </c>
      <c r="F119" s="134" t="s">
        <v>142</v>
      </c>
      <c r="G119" s="134" t="s">
        <v>142</v>
      </c>
      <c r="H119" s="134" t="s">
        <v>142</v>
      </c>
      <c r="I119" s="134" t="s">
        <v>142</v>
      </c>
      <c r="J119" s="134" t="s">
        <v>142</v>
      </c>
      <c r="K119" s="134" t="s">
        <v>142</v>
      </c>
      <c r="L119" s="134" t="s">
        <v>142</v>
      </c>
      <c r="M119" s="370"/>
      <c r="N119" s="137"/>
    </row>
    <row r="120" hidden="1" outlineLevel="1">
      <c r="A120" s="372" t="s">
        <v>1204</v>
      </c>
      <c r="B120" s="309">
        <v>46269.0</v>
      </c>
      <c r="C120" s="368" t="str">
        <f t="shared" si="13"/>
        <v>Fri</v>
      </c>
      <c r="D120" s="143">
        <f t="shared" si="14"/>
        <v>1</v>
      </c>
      <c r="E120" s="144" t="s">
        <v>142</v>
      </c>
      <c r="F120" s="134" t="s">
        <v>142</v>
      </c>
      <c r="G120" s="134" t="s">
        <v>142</v>
      </c>
      <c r="H120" s="134" t="s">
        <v>142</v>
      </c>
      <c r="I120" s="134" t="s">
        <v>142</v>
      </c>
      <c r="J120" s="134" t="s">
        <v>142</v>
      </c>
      <c r="K120" s="134" t="s">
        <v>142</v>
      </c>
      <c r="L120" s="134" t="s">
        <v>142</v>
      </c>
      <c r="M120" s="370"/>
      <c r="N120" s="137"/>
    </row>
    <row r="121" hidden="1" outlineLevel="1">
      <c r="A121" s="372" t="s">
        <v>1210</v>
      </c>
      <c r="B121" s="309">
        <v>46269.0</v>
      </c>
      <c r="C121" s="368" t="str">
        <f t="shared" si="13"/>
        <v>Fri</v>
      </c>
      <c r="D121" s="128">
        <f t="shared" si="14"/>
        <v>1</v>
      </c>
      <c r="E121" s="131" t="s">
        <v>142</v>
      </c>
      <c r="F121" s="134" t="s">
        <v>142</v>
      </c>
      <c r="G121" s="134" t="s">
        <v>142</v>
      </c>
      <c r="H121" s="134" t="s">
        <v>142</v>
      </c>
      <c r="I121" s="134" t="s">
        <v>142</v>
      </c>
      <c r="J121" s="134" t="s">
        <v>142</v>
      </c>
      <c r="K121" s="134" t="s">
        <v>142</v>
      </c>
      <c r="L121" s="134" t="s">
        <v>142</v>
      </c>
      <c r="M121" s="370"/>
      <c r="N121" s="137"/>
    </row>
    <row r="122" hidden="1" outlineLevel="1">
      <c r="A122" s="372" t="s">
        <v>1212</v>
      </c>
      <c r="B122" s="309">
        <v>46269.0</v>
      </c>
      <c r="C122" s="368" t="str">
        <f t="shared" si="13"/>
        <v>Fri</v>
      </c>
      <c r="D122" s="143">
        <f t="shared" si="14"/>
        <v>1</v>
      </c>
      <c r="E122" s="144" t="s">
        <v>142</v>
      </c>
      <c r="F122" s="134" t="s">
        <v>142</v>
      </c>
      <c r="G122" s="134" t="s">
        <v>142</v>
      </c>
      <c r="H122" s="134" t="s">
        <v>142</v>
      </c>
      <c r="I122" s="134" t="s">
        <v>142</v>
      </c>
      <c r="J122" s="134" t="s">
        <v>142</v>
      </c>
      <c r="K122" s="134" t="s">
        <v>142</v>
      </c>
      <c r="L122" s="134" t="s">
        <v>142</v>
      </c>
      <c r="M122" s="370"/>
      <c r="N122" s="137"/>
    </row>
    <row r="123" hidden="1" outlineLevel="1">
      <c r="A123" s="372" t="s">
        <v>1214</v>
      </c>
      <c r="B123" s="309">
        <v>46270.0</v>
      </c>
      <c r="C123" s="368" t="str">
        <f t="shared" si="13"/>
        <v>Sat</v>
      </c>
      <c r="D123" s="128">
        <f t="shared" si="14"/>
        <v>1</v>
      </c>
      <c r="E123" s="131" t="s">
        <v>142</v>
      </c>
      <c r="F123" s="134" t="s">
        <v>142</v>
      </c>
      <c r="G123" s="134" t="s">
        <v>142</v>
      </c>
      <c r="H123" s="134" t="s">
        <v>142</v>
      </c>
      <c r="I123" s="134" t="s">
        <v>142</v>
      </c>
      <c r="J123" s="134" t="s">
        <v>142</v>
      </c>
      <c r="K123" s="134" t="s">
        <v>142</v>
      </c>
      <c r="L123" s="134" t="s">
        <v>142</v>
      </c>
      <c r="M123" s="370"/>
      <c r="N123" s="137"/>
    </row>
    <row r="124" hidden="1" outlineLevel="1">
      <c r="A124" s="372" t="s">
        <v>1216</v>
      </c>
      <c r="B124" s="309">
        <v>46270.0</v>
      </c>
      <c r="C124" s="368" t="str">
        <f t="shared" si="13"/>
        <v>Sat</v>
      </c>
      <c r="D124" s="143">
        <f t="shared" si="14"/>
        <v>1</v>
      </c>
      <c r="E124" s="144" t="s">
        <v>142</v>
      </c>
      <c r="F124" s="134" t="s">
        <v>142</v>
      </c>
      <c r="G124" s="134" t="s">
        <v>142</v>
      </c>
      <c r="H124" s="134" t="s">
        <v>142</v>
      </c>
      <c r="I124" s="134" t="s">
        <v>142</v>
      </c>
      <c r="J124" s="134" t="s">
        <v>142</v>
      </c>
      <c r="K124" s="134" t="s">
        <v>142</v>
      </c>
      <c r="L124" s="134" t="s">
        <v>142</v>
      </c>
      <c r="M124" s="370"/>
      <c r="N124" s="137"/>
    </row>
    <row r="125" hidden="1" outlineLevel="1">
      <c r="A125" s="372" t="s">
        <v>1218</v>
      </c>
      <c r="B125" s="309">
        <v>46270.0</v>
      </c>
      <c r="C125" s="368" t="str">
        <f t="shared" si="13"/>
        <v>Sat</v>
      </c>
      <c r="D125" s="128">
        <f t="shared" si="14"/>
        <v>1</v>
      </c>
      <c r="E125" s="131" t="s">
        <v>142</v>
      </c>
      <c r="F125" s="134" t="s">
        <v>142</v>
      </c>
      <c r="G125" s="134" t="s">
        <v>142</v>
      </c>
      <c r="H125" s="134" t="s">
        <v>142</v>
      </c>
      <c r="I125" s="134" t="s">
        <v>142</v>
      </c>
      <c r="J125" s="134" t="s">
        <v>142</v>
      </c>
      <c r="K125" s="134" t="s">
        <v>142</v>
      </c>
      <c r="L125" s="134" t="s">
        <v>142</v>
      </c>
      <c r="M125" s="370"/>
      <c r="N125" s="137"/>
    </row>
    <row r="126" hidden="1" outlineLevel="1">
      <c r="A126" s="373"/>
      <c r="B126" s="373"/>
      <c r="C126" s="374" t="s">
        <v>199</v>
      </c>
      <c r="D126" s="414">
        <f>AVERAGE(D111:D125)</f>
        <v>1</v>
      </c>
      <c r="E126" s="391"/>
      <c r="F126" s="373"/>
      <c r="G126" s="373"/>
      <c r="H126" s="373"/>
      <c r="I126" s="373"/>
      <c r="J126" s="373"/>
      <c r="K126" s="373"/>
      <c r="L126" s="374" t="s">
        <v>199</v>
      </c>
      <c r="M126" s="377">
        <f>SUM(M111:M125)/75*0.1</f>
        <v>0</v>
      </c>
      <c r="N126" s="373"/>
    </row>
    <row r="127" collapsed="1">
      <c r="A127" s="85" t="s">
        <v>450</v>
      </c>
      <c r="B127" s="86"/>
      <c r="C127" s="86"/>
      <c r="D127" s="88"/>
      <c r="E127" s="361"/>
      <c r="F127" s="361"/>
      <c r="G127" s="361"/>
      <c r="H127" s="361"/>
      <c r="I127" s="361"/>
      <c r="J127" s="361"/>
      <c r="K127" s="361"/>
      <c r="L127" s="361"/>
      <c r="M127" s="361"/>
      <c r="N127" s="361"/>
    </row>
    <row r="128" hidden="1" outlineLevel="1">
      <c r="A128" s="362" t="s">
        <v>89</v>
      </c>
      <c r="B128" s="363" t="s">
        <v>90</v>
      </c>
      <c r="C128" s="363" t="s">
        <v>91</v>
      </c>
      <c r="D128" s="364" t="s">
        <v>93</v>
      </c>
      <c r="E128" s="365" t="s">
        <v>94</v>
      </c>
      <c r="F128" s="365" t="s">
        <v>95</v>
      </c>
      <c r="G128" s="366" t="s">
        <v>96</v>
      </c>
      <c r="H128" s="366" t="s">
        <v>97</v>
      </c>
      <c r="I128" s="366" t="s">
        <v>104</v>
      </c>
      <c r="J128" s="366" t="s">
        <v>106</v>
      </c>
      <c r="K128" s="366" t="s">
        <v>109</v>
      </c>
      <c r="L128" s="366" t="s">
        <v>111</v>
      </c>
      <c r="M128" s="363" t="s">
        <v>114</v>
      </c>
      <c r="N128" s="363" t="s">
        <v>116</v>
      </c>
    </row>
    <row r="129" hidden="1" outlineLevel="1">
      <c r="A129" s="372" t="s">
        <v>1222</v>
      </c>
      <c r="B129" s="309">
        <v>46272.0</v>
      </c>
      <c r="C129" s="368" t="str">
        <f t="shared" ref="C129:C143" si="15">IF(B129="", "", TEXT(B129, "ddd"))</f>
        <v>Mon</v>
      </c>
      <c r="D129" s="128">
        <f t="shared" ref="D129:D143" si="16">IF(E129="Yes",0.05,0)
+IF(F129="Yes",0.1,0)
+IF(G129="Yes",0.15,0)
+IF(H129="Yes",0.15,0)
+IF(I129="Yes",0.05,0)
+IF(J129="Yes",0.05,0)
+IF(K129="Yes",0.15,0)
+IF(L129="Yes",0.3,0)
</f>
        <v>1</v>
      </c>
      <c r="E129" s="131" t="s">
        <v>142</v>
      </c>
      <c r="F129" s="134" t="s">
        <v>142</v>
      </c>
      <c r="G129" s="134" t="s">
        <v>142</v>
      </c>
      <c r="H129" s="134" t="s">
        <v>142</v>
      </c>
      <c r="I129" s="134" t="s">
        <v>142</v>
      </c>
      <c r="J129" s="134" t="s">
        <v>142</v>
      </c>
      <c r="K129" s="134" t="s">
        <v>142</v>
      </c>
      <c r="L129" s="134" t="s">
        <v>142</v>
      </c>
      <c r="M129" s="370"/>
      <c r="N129" s="137"/>
    </row>
    <row r="130" hidden="1" outlineLevel="1">
      <c r="A130" s="372" t="s">
        <v>1226</v>
      </c>
      <c r="B130" s="309">
        <v>46272.0</v>
      </c>
      <c r="C130" s="368" t="str">
        <f t="shared" si="15"/>
        <v>Mon</v>
      </c>
      <c r="D130" s="143">
        <f t="shared" si="16"/>
        <v>1</v>
      </c>
      <c r="E130" s="144" t="s">
        <v>142</v>
      </c>
      <c r="F130" s="134" t="s">
        <v>142</v>
      </c>
      <c r="G130" s="134" t="s">
        <v>142</v>
      </c>
      <c r="H130" s="134" t="s">
        <v>142</v>
      </c>
      <c r="I130" s="134" t="s">
        <v>142</v>
      </c>
      <c r="J130" s="134" t="s">
        <v>142</v>
      </c>
      <c r="K130" s="134" t="s">
        <v>142</v>
      </c>
      <c r="L130" s="134" t="s">
        <v>142</v>
      </c>
      <c r="M130" s="370"/>
      <c r="N130" s="137"/>
    </row>
    <row r="131" hidden="1" outlineLevel="1">
      <c r="A131" s="372" t="s">
        <v>1227</v>
      </c>
      <c r="B131" s="309">
        <v>46272.0</v>
      </c>
      <c r="C131" s="368" t="str">
        <f t="shared" si="15"/>
        <v>Mon</v>
      </c>
      <c r="D131" s="128">
        <f t="shared" si="16"/>
        <v>1</v>
      </c>
      <c r="E131" s="131" t="s">
        <v>142</v>
      </c>
      <c r="F131" s="134" t="s">
        <v>142</v>
      </c>
      <c r="G131" s="134" t="s">
        <v>142</v>
      </c>
      <c r="H131" s="134" t="s">
        <v>142</v>
      </c>
      <c r="I131" s="134" t="s">
        <v>142</v>
      </c>
      <c r="J131" s="134" t="s">
        <v>142</v>
      </c>
      <c r="K131" s="134" t="s">
        <v>142</v>
      </c>
      <c r="L131" s="134" t="s">
        <v>142</v>
      </c>
      <c r="M131" s="370"/>
      <c r="N131" s="137"/>
    </row>
    <row r="132" hidden="1" outlineLevel="1">
      <c r="A132" s="372" t="s">
        <v>1229</v>
      </c>
      <c r="B132" s="309">
        <v>46273.0</v>
      </c>
      <c r="C132" s="368" t="str">
        <f t="shared" si="15"/>
        <v>Tue</v>
      </c>
      <c r="D132" s="143">
        <f t="shared" si="16"/>
        <v>1</v>
      </c>
      <c r="E132" s="144" t="s">
        <v>142</v>
      </c>
      <c r="F132" s="134" t="s">
        <v>142</v>
      </c>
      <c r="G132" s="134" t="s">
        <v>142</v>
      </c>
      <c r="H132" s="134" t="s">
        <v>142</v>
      </c>
      <c r="I132" s="134" t="s">
        <v>142</v>
      </c>
      <c r="J132" s="134" t="s">
        <v>142</v>
      </c>
      <c r="K132" s="134" t="s">
        <v>142</v>
      </c>
      <c r="L132" s="134" t="s">
        <v>142</v>
      </c>
      <c r="M132" s="370"/>
      <c r="N132" s="137"/>
    </row>
    <row r="133" hidden="1" outlineLevel="1">
      <c r="A133" s="372" t="s">
        <v>1230</v>
      </c>
      <c r="B133" s="309">
        <v>46273.0</v>
      </c>
      <c r="C133" s="368" t="str">
        <f t="shared" si="15"/>
        <v>Tue</v>
      </c>
      <c r="D133" s="128">
        <f t="shared" si="16"/>
        <v>1</v>
      </c>
      <c r="E133" s="131" t="s">
        <v>142</v>
      </c>
      <c r="F133" s="134" t="s">
        <v>142</v>
      </c>
      <c r="G133" s="134" t="s">
        <v>142</v>
      </c>
      <c r="H133" s="134" t="s">
        <v>142</v>
      </c>
      <c r="I133" s="134" t="s">
        <v>142</v>
      </c>
      <c r="J133" s="134" t="s">
        <v>142</v>
      </c>
      <c r="K133" s="134" t="s">
        <v>142</v>
      </c>
      <c r="L133" s="134" t="s">
        <v>142</v>
      </c>
      <c r="M133" s="370"/>
      <c r="N133" s="137"/>
    </row>
    <row r="134" hidden="1" outlineLevel="1">
      <c r="A134" s="372" t="s">
        <v>1231</v>
      </c>
      <c r="B134" s="309">
        <v>46273.0</v>
      </c>
      <c r="C134" s="368" t="str">
        <f t="shared" si="15"/>
        <v>Tue</v>
      </c>
      <c r="D134" s="143">
        <f t="shared" si="16"/>
        <v>1</v>
      </c>
      <c r="E134" s="144" t="s">
        <v>142</v>
      </c>
      <c r="F134" s="134" t="s">
        <v>142</v>
      </c>
      <c r="G134" s="134" t="s">
        <v>142</v>
      </c>
      <c r="H134" s="134" t="s">
        <v>142</v>
      </c>
      <c r="I134" s="134" t="s">
        <v>142</v>
      </c>
      <c r="J134" s="134" t="s">
        <v>142</v>
      </c>
      <c r="K134" s="134" t="s">
        <v>142</v>
      </c>
      <c r="L134" s="134" t="s">
        <v>142</v>
      </c>
      <c r="M134" s="370"/>
      <c r="N134" s="137"/>
    </row>
    <row r="135" hidden="1" outlineLevel="1">
      <c r="A135" s="372" t="s">
        <v>1232</v>
      </c>
      <c r="B135" s="309">
        <v>46274.0</v>
      </c>
      <c r="C135" s="368" t="str">
        <f t="shared" si="15"/>
        <v>Wed</v>
      </c>
      <c r="D135" s="128">
        <f t="shared" si="16"/>
        <v>1</v>
      </c>
      <c r="E135" s="131" t="s">
        <v>142</v>
      </c>
      <c r="F135" s="134" t="s">
        <v>142</v>
      </c>
      <c r="G135" s="134" t="s">
        <v>142</v>
      </c>
      <c r="H135" s="134" t="s">
        <v>142</v>
      </c>
      <c r="I135" s="134" t="s">
        <v>142</v>
      </c>
      <c r="J135" s="134" t="s">
        <v>142</v>
      </c>
      <c r="K135" s="134" t="s">
        <v>142</v>
      </c>
      <c r="L135" s="134" t="s">
        <v>142</v>
      </c>
      <c r="M135" s="370"/>
      <c r="N135" s="137"/>
    </row>
    <row r="136" hidden="1" outlineLevel="1">
      <c r="A136" s="372" t="s">
        <v>1234</v>
      </c>
      <c r="B136" s="309">
        <v>46274.0</v>
      </c>
      <c r="C136" s="368" t="str">
        <f t="shared" si="15"/>
        <v>Wed</v>
      </c>
      <c r="D136" s="143">
        <f t="shared" si="16"/>
        <v>1</v>
      </c>
      <c r="E136" s="144" t="s">
        <v>142</v>
      </c>
      <c r="F136" s="134" t="s">
        <v>142</v>
      </c>
      <c r="G136" s="134" t="s">
        <v>142</v>
      </c>
      <c r="H136" s="134" t="s">
        <v>142</v>
      </c>
      <c r="I136" s="134" t="s">
        <v>142</v>
      </c>
      <c r="J136" s="134" t="s">
        <v>142</v>
      </c>
      <c r="K136" s="134" t="s">
        <v>142</v>
      </c>
      <c r="L136" s="134" t="s">
        <v>142</v>
      </c>
      <c r="M136" s="370"/>
      <c r="N136" s="137"/>
    </row>
    <row r="137" hidden="1" outlineLevel="1">
      <c r="A137" s="372" t="s">
        <v>1236</v>
      </c>
      <c r="B137" s="309">
        <v>46274.0</v>
      </c>
      <c r="C137" s="368" t="str">
        <f t="shared" si="15"/>
        <v>Wed</v>
      </c>
      <c r="D137" s="128">
        <f t="shared" si="16"/>
        <v>1</v>
      </c>
      <c r="E137" s="131" t="s">
        <v>142</v>
      </c>
      <c r="F137" s="134" t="s">
        <v>142</v>
      </c>
      <c r="G137" s="134" t="s">
        <v>142</v>
      </c>
      <c r="H137" s="134" t="s">
        <v>142</v>
      </c>
      <c r="I137" s="134" t="s">
        <v>142</v>
      </c>
      <c r="J137" s="134" t="s">
        <v>142</v>
      </c>
      <c r="K137" s="134" t="s">
        <v>142</v>
      </c>
      <c r="L137" s="134" t="s">
        <v>142</v>
      </c>
      <c r="M137" s="370"/>
      <c r="N137" s="137"/>
    </row>
    <row r="138" hidden="1" outlineLevel="1">
      <c r="A138" s="372" t="s">
        <v>1238</v>
      </c>
      <c r="B138" s="309">
        <v>46275.0</v>
      </c>
      <c r="C138" s="368" t="str">
        <f t="shared" si="15"/>
        <v>Thu</v>
      </c>
      <c r="D138" s="143">
        <f t="shared" si="16"/>
        <v>1</v>
      </c>
      <c r="E138" s="144" t="s">
        <v>142</v>
      </c>
      <c r="F138" s="134" t="s">
        <v>142</v>
      </c>
      <c r="G138" s="134" t="s">
        <v>142</v>
      </c>
      <c r="H138" s="134" t="s">
        <v>142</v>
      </c>
      <c r="I138" s="134" t="s">
        <v>142</v>
      </c>
      <c r="J138" s="134" t="s">
        <v>142</v>
      </c>
      <c r="K138" s="134" t="s">
        <v>142</v>
      </c>
      <c r="L138" s="134" t="s">
        <v>142</v>
      </c>
      <c r="M138" s="370"/>
      <c r="N138" s="137"/>
    </row>
    <row r="139" hidden="1" outlineLevel="1">
      <c r="A139" s="372" t="s">
        <v>1240</v>
      </c>
      <c r="B139" s="309">
        <v>46275.0</v>
      </c>
      <c r="C139" s="368" t="str">
        <f t="shared" si="15"/>
        <v>Thu</v>
      </c>
      <c r="D139" s="128">
        <f t="shared" si="16"/>
        <v>1</v>
      </c>
      <c r="E139" s="131" t="s">
        <v>142</v>
      </c>
      <c r="F139" s="134" t="s">
        <v>142</v>
      </c>
      <c r="G139" s="134" t="s">
        <v>142</v>
      </c>
      <c r="H139" s="134" t="s">
        <v>142</v>
      </c>
      <c r="I139" s="134" t="s">
        <v>142</v>
      </c>
      <c r="J139" s="134" t="s">
        <v>142</v>
      </c>
      <c r="K139" s="134" t="s">
        <v>142</v>
      </c>
      <c r="L139" s="134" t="s">
        <v>142</v>
      </c>
      <c r="M139" s="370"/>
      <c r="N139" s="137"/>
    </row>
    <row r="140" hidden="1" outlineLevel="1">
      <c r="A140" s="372" t="s">
        <v>1242</v>
      </c>
      <c r="B140" s="309">
        <v>46275.0</v>
      </c>
      <c r="C140" s="368" t="str">
        <f t="shared" si="15"/>
        <v>Thu</v>
      </c>
      <c r="D140" s="143">
        <f t="shared" si="16"/>
        <v>1</v>
      </c>
      <c r="E140" s="144" t="s">
        <v>142</v>
      </c>
      <c r="F140" s="134" t="s">
        <v>142</v>
      </c>
      <c r="G140" s="134" t="s">
        <v>142</v>
      </c>
      <c r="H140" s="134" t="s">
        <v>142</v>
      </c>
      <c r="I140" s="134" t="s">
        <v>142</v>
      </c>
      <c r="J140" s="134" t="s">
        <v>142</v>
      </c>
      <c r="K140" s="134" t="s">
        <v>142</v>
      </c>
      <c r="L140" s="134" t="s">
        <v>142</v>
      </c>
      <c r="M140" s="370"/>
      <c r="N140" s="137"/>
    </row>
    <row r="141" hidden="1" outlineLevel="1">
      <c r="A141" s="372" t="s">
        <v>1244</v>
      </c>
      <c r="B141" s="309">
        <v>46277.0</v>
      </c>
      <c r="C141" s="368" t="str">
        <f t="shared" si="15"/>
        <v>Sat</v>
      </c>
      <c r="D141" s="128">
        <f t="shared" si="16"/>
        <v>1</v>
      </c>
      <c r="E141" s="131" t="s">
        <v>142</v>
      </c>
      <c r="F141" s="134" t="s">
        <v>142</v>
      </c>
      <c r="G141" s="134" t="s">
        <v>142</v>
      </c>
      <c r="H141" s="134" t="s">
        <v>142</v>
      </c>
      <c r="I141" s="134" t="s">
        <v>142</v>
      </c>
      <c r="J141" s="134" t="s">
        <v>142</v>
      </c>
      <c r="K141" s="134" t="s">
        <v>142</v>
      </c>
      <c r="L141" s="134" t="s">
        <v>142</v>
      </c>
      <c r="M141" s="370"/>
      <c r="N141" s="137"/>
    </row>
    <row r="142" hidden="1" outlineLevel="1">
      <c r="A142" s="372" t="s">
        <v>1246</v>
      </c>
      <c r="B142" s="309">
        <v>46277.0</v>
      </c>
      <c r="C142" s="368" t="str">
        <f t="shared" si="15"/>
        <v>Sat</v>
      </c>
      <c r="D142" s="143">
        <f t="shared" si="16"/>
        <v>1</v>
      </c>
      <c r="E142" s="144" t="s">
        <v>142</v>
      </c>
      <c r="F142" s="134" t="s">
        <v>142</v>
      </c>
      <c r="G142" s="134" t="s">
        <v>142</v>
      </c>
      <c r="H142" s="134" t="s">
        <v>142</v>
      </c>
      <c r="I142" s="134" t="s">
        <v>142</v>
      </c>
      <c r="J142" s="134" t="s">
        <v>142</v>
      </c>
      <c r="K142" s="134" t="s">
        <v>142</v>
      </c>
      <c r="L142" s="134" t="s">
        <v>142</v>
      </c>
      <c r="M142" s="370"/>
      <c r="N142" s="137"/>
    </row>
    <row r="143" hidden="1" outlineLevel="1">
      <c r="A143" s="372" t="s">
        <v>1253</v>
      </c>
      <c r="B143" s="309">
        <v>46277.0</v>
      </c>
      <c r="C143" s="368" t="str">
        <f t="shared" si="15"/>
        <v>Sat</v>
      </c>
      <c r="D143" s="128">
        <f t="shared" si="16"/>
        <v>1</v>
      </c>
      <c r="E143" s="131" t="s">
        <v>142</v>
      </c>
      <c r="F143" s="134" t="s">
        <v>142</v>
      </c>
      <c r="G143" s="134" t="s">
        <v>142</v>
      </c>
      <c r="H143" s="134" t="s">
        <v>142</v>
      </c>
      <c r="I143" s="134" t="s">
        <v>142</v>
      </c>
      <c r="J143" s="134" t="s">
        <v>142</v>
      </c>
      <c r="K143" s="134" t="s">
        <v>142</v>
      </c>
      <c r="L143" s="134" t="s">
        <v>142</v>
      </c>
      <c r="M143" s="370"/>
      <c r="N143" s="137"/>
    </row>
    <row r="144" hidden="1" outlineLevel="1">
      <c r="A144" s="373"/>
      <c r="B144" s="373"/>
      <c r="C144" s="374" t="s">
        <v>199</v>
      </c>
      <c r="D144" s="414">
        <f>AVERAGE(D129:D143)</f>
        <v>1</v>
      </c>
      <c r="E144" s="391"/>
      <c r="F144" s="373"/>
      <c r="G144" s="373"/>
      <c r="H144" s="373"/>
      <c r="I144" s="373"/>
      <c r="J144" s="373"/>
      <c r="K144" s="373"/>
      <c r="L144" s="374" t="s">
        <v>199</v>
      </c>
      <c r="M144" s="377">
        <f>SUM(M129:M143)/75*0.1</f>
        <v>0</v>
      </c>
      <c r="N144" s="373"/>
    </row>
    <row r="145" collapsed="1">
      <c r="A145" s="85" t="s">
        <v>471</v>
      </c>
      <c r="B145" s="86"/>
      <c r="C145" s="86"/>
      <c r="D145" s="88"/>
      <c r="E145" s="361"/>
      <c r="F145" s="361"/>
      <c r="G145" s="361"/>
      <c r="H145" s="361"/>
      <c r="I145" s="361"/>
      <c r="J145" s="361"/>
      <c r="K145" s="361"/>
      <c r="L145" s="361"/>
      <c r="M145" s="361"/>
      <c r="N145" s="361"/>
    </row>
    <row r="146" hidden="1" outlineLevel="1">
      <c r="A146" s="363" t="s">
        <v>89</v>
      </c>
      <c r="B146" s="363" t="s">
        <v>90</v>
      </c>
      <c r="C146" s="363" t="s">
        <v>91</v>
      </c>
      <c r="D146" s="364" t="s">
        <v>93</v>
      </c>
      <c r="E146" s="365" t="s">
        <v>94</v>
      </c>
      <c r="F146" s="365" t="s">
        <v>95</v>
      </c>
      <c r="G146" s="366" t="s">
        <v>96</v>
      </c>
      <c r="H146" s="366" t="s">
        <v>97</v>
      </c>
      <c r="I146" s="366" t="s">
        <v>104</v>
      </c>
      <c r="J146" s="366" t="s">
        <v>106</v>
      </c>
      <c r="K146" s="366" t="s">
        <v>109</v>
      </c>
      <c r="L146" s="366" t="s">
        <v>111</v>
      </c>
      <c r="M146" s="363" t="s">
        <v>114</v>
      </c>
      <c r="N146" s="363" t="s">
        <v>116</v>
      </c>
    </row>
    <row r="147" hidden="1" outlineLevel="1">
      <c r="A147" s="367" t="s">
        <v>1258</v>
      </c>
      <c r="B147" s="309">
        <v>46279.0</v>
      </c>
      <c r="C147" s="368" t="str">
        <f t="shared" ref="C147:C161" si="17">IF(B147="", "", TEXT(B147, "ddd"))</f>
        <v>Mon</v>
      </c>
      <c r="D147" s="128">
        <f t="shared" ref="D147:D161" si="18">IF(E147="Yes",0.05,0)
+IF(F147="Yes",0.1,0)
+IF(G147="Yes",0.15,0)
+IF(H147="Yes",0.15,0)
+IF(I147="Yes",0.05,0)
+IF(J147="Yes",0.05,0)
+IF(K147="Yes",0.15,0)
+IF(L147="Yes",0.3,0)
</f>
        <v>1</v>
      </c>
      <c r="E147" s="131" t="s">
        <v>142</v>
      </c>
      <c r="F147" s="134" t="s">
        <v>142</v>
      </c>
      <c r="G147" s="134" t="s">
        <v>142</v>
      </c>
      <c r="H147" s="134" t="s">
        <v>142</v>
      </c>
      <c r="I147" s="134" t="s">
        <v>142</v>
      </c>
      <c r="J147" s="134" t="s">
        <v>142</v>
      </c>
      <c r="K147" s="134" t="s">
        <v>142</v>
      </c>
      <c r="L147" s="134" t="s">
        <v>142</v>
      </c>
      <c r="M147" s="370"/>
      <c r="N147" s="137"/>
    </row>
    <row r="148" hidden="1" outlineLevel="1">
      <c r="A148" s="367" t="s">
        <v>1261</v>
      </c>
      <c r="B148" s="309">
        <v>46279.0</v>
      </c>
      <c r="C148" s="368" t="str">
        <f t="shared" si="17"/>
        <v>Mon</v>
      </c>
      <c r="D148" s="143">
        <f t="shared" si="18"/>
        <v>1</v>
      </c>
      <c r="E148" s="144" t="s">
        <v>142</v>
      </c>
      <c r="F148" s="134" t="s">
        <v>142</v>
      </c>
      <c r="G148" s="134" t="s">
        <v>142</v>
      </c>
      <c r="H148" s="134" t="s">
        <v>142</v>
      </c>
      <c r="I148" s="134" t="s">
        <v>142</v>
      </c>
      <c r="J148" s="134" t="s">
        <v>142</v>
      </c>
      <c r="K148" s="134" t="s">
        <v>142</v>
      </c>
      <c r="L148" s="134" t="s">
        <v>142</v>
      </c>
      <c r="M148" s="370"/>
      <c r="N148" s="137"/>
    </row>
    <row r="149" hidden="1" outlineLevel="1">
      <c r="A149" s="367" t="s">
        <v>1262</v>
      </c>
      <c r="B149" s="309">
        <v>46279.0</v>
      </c>
      <c r="C149" s="368" t="str">
        <f t="shared" si="17"/>
        <v>Mon</v>
      </c>
      <c r="D149" s="128">
        <f t="shared" si="18"/>
        <v>1</v>
      </c>
      <c r="E149" s="131" t="s">
        <v>142</v>
      </c>
      <c r="F149" s="134" t="s">
        <v>142</v>
      </c>
      <c r="G149" s="134" t="s">
        <v>142</v>
      </c>
      <c r="H149" s="134" t="s">
        <v>142</v>
      </c>
      <c r="I149" s="134" t="s">
        <v>142</v>
      </c>
      <c r="J149" s="134" t="s">
        <v>142</v>
      </c>
      <c r="K149" s="134" t="s">
        <v>142</v>
      </c>
      <c r="L149" s="134" t="s">
        <v>142</v>
      </c>
      <c r="M149" s="370"/>
      <c r="N149" s="137"/>
    </row>
    <row r="150" hidden="1" outlineLevel="1">
      <c r="A150" s="367" t="s">
        <v>1263</v>
      </c>
      <c r="B150" s="309">
        <v>46280.0</v>
      </c>
      <c r="C150" s="368" t="str">
        <f t="shared" si="17"/>
        <v>Tue</v>
      </c>
      <c r="D150" s="143">
        <f t="shared" si="18"/>
        <v>1</v>
      </c>
      <c r="E150" s="144" t="s">
        <v>142</v>
      </c>
      <c r="F150" s="134" t="s">
        <v>142</v>
      </c>
      <c r="G150" s="134" t="s">
        <v>142</v>
      </c>
      <c r="H150" s="134" t="s">
        <v>142</v>
      </c>
      <c r="I150" s="134" t="s">
        <v>142</v>
      </c>
      <c r="J150" s="134" t="s">
        <v>142</v>
      </c>
      <c r="K150" s="134" t="s">
        <v>142</v>
      </c>
      <c r="L150" s="134" t="s">
        <v>142</v>
      </c>
      <c r="M150" s="370"/>
      <c r="N150" s="137"/>
    </row>
    <row r="151" hidden="1" outlineLevel="1">
      <c r="A151" s="367" t="s">
        <v>1265</v>
      </c>
      <c r="B151" s="309">
        <v>46280.0</v>
      </c>
      <c r="C151" s="368" t="str">
        <f t="shared" si="17"/>
        <v>Tue</v>
      </c>
      <c r="D151" s="128">
        <f t="shared" si="18"/>
        <v>1</v>
      </c>
      <c r="E151" s="131" t="s">
        <v>142</v>
      </c>
      <c r="F151" s="134" t="s">
        <v>142</v>
      </c>
      <c r="G151" s="134" t="s">
        <v>142</v>
      </c>
      <c r="H151" s="134" t="s">
        <v>142</v>
      </c>
      <c r="I151" s="134" t="s">
        <v>142</v>
      </c>
      <c r="J151" s="134" t="s">
        <v>142</v>
      </c>
      <c r="K151" s="134" t="s">
        <v>142</v>
      </c>
      <c r="L151" s="134" t="s">
        <v>142</v>
      </c>
      <c r="M151" s="370"/>
      <c r="N151" s="137"/>
    </row>
    <row r="152" hidden="1" outlineLevel="1">
      <c r="A152" s="367" t="s">
        <v>1267</v>
      </c>
      <c r="B152" s="309">
        <v>46280.0</v>
      </c>
      <c r="C152" s="368" t="str">
        <f t="shared" si="17"/>
        <v>Tue</v>
      </c>
      <c r="D152" s="143">
        <f t="shared" si="18"/>
        <v>1</v>
      </c>
      <c r="E152" s="144" t="s">
        <v>142</v>
      </c>
      <c r="F152" s="134" t="s">
        <v>142</v>
      </c>
      <c r="G152" s="134" t="s">
        <v>142</v>
      </c>
      <c r="H152" s="134" t="s">
        <v>142</v>
      </c>
      <c r="I152" s="134" t="s">
        <v>142</v>
      </c>
      <c r="J152" s="134" t="s">
        <v>142</v>
      </c>
      <c r="K152" s="134" t="s">
        <v>142</v>
      </c>
      <c r="L152" s="134" t="s">
        <v>142</v>
      </c>
      <c r="M152" s="370"/>
      <c r="N152" s="137"/>
    </row>
    <row r="153" hidden="1" outlineLevel="1">
      <c r="A153" s="367" t="s">
        <v>1269</v>
      </c>
      <c r="B153" s="309">
        <v>46281.0</v>
      </c>
      <c r="C153" s="368" t="str">
        <f t="shared" si="17"/>
        <v>Wed</v>
      </c>
      <c r="D153" s="128">
        <f t="shared" si="18"/>
        <v>1</v>
      </c>
      <c r="E153" s="131" t="s">
        <v>142</v>
      </c>
      <c r="F153" s="134" t="s">
        <v>142</v>
      </c>
      <c r="G153" s="134" t="s">
        <v>142</v>
      </c>
      <c r="H153" s="134" t="s">
        <v>142</v>
      </c>
      <c r="I153" s="134" t="s">
        <v>142</v>
      </c>
      <c r="J153" s="134" t="s">
        <v>142</v>
      </c>
      <c r="K153" s="134" t="s">
        <v>142</v>
      </c>
      <c r="L153" s="134" t="s">
        <v>142</v>
      </c>
      <c r="M153" s="370"/>
      <c r="N153" s="137"/>
    </row>
    <row r="154" hidden="1" outlineLevel="1">
      <c r="A154" s="367" t="s">
        <v>1271</v>
      </c>
      <c r="B154" s="309">
        <v>46281.0</v>
      </c>
      <c r="C154" s="368" t="str">
        <f t="shared" si="17"/>
        <v>Wed</v>
      </c>
      <c r="D154" s="143">
        <f t="shared" si="18"/>
        <v>1</v>
      </c>
      <c r="E154" s="144" t="s">
        <v>142</v>
      </c>
      <c r="F154" s="134" t="s">
        <v>142</v>
      </c>
      <c r="G154" s="134" t="s">
        <v>142</v>
      </c>
      <c r="H154" s="134" t="s">
        <v>142</v>
      </c>
      <c r="I154" s="134" t="s">
        <v>142</v>
      </c>
      <c r="J154" s="134" t="s">
        <v>142</v>
      </c>
      <c r="K154" s="134" t="s">
        <v>142</v>
      </c>
      <c r="L154" s="134" t="s">
        <v>142</v>
      </c>
      <c r="M154" s="370"/>
      <c r="N154" s="137"/>
    </row>
    <row r="155" hidden="1" outlineLevel="1">
      <c r="A155" s="367" t="s">
        <v>1273</v>
      </c>
      <c r="B155" s="309">
        <v>46281.0</v>
      </c>
      <c r="C155" s="368" t="str">
        <f t="shared" si="17"/>
        <v>Wed</v>
      </c>
      <c r="D155" s="128">
        <f t="shared" si="18"/>
        <v>1</v>
      </c>
      <c r="E155" s="131" t="s">
        <v>142</v>
      </c>
      <c r="F155" s="134" t="s">
        <v>142</v>
      </c>
      <c r="G155" s="134" t="s">
        <v>142</v>
      </c>
      <c r="H155" s="134" t="s">
        <v>142</v>
      </c>
      <c r="I155" s="134" t="s">
        <v>142</v>
      </c>
      <c r="J155" s="134" t="s">
        <v>142</v>
      </c>
      <c r="K155" s="134" t="s">
        <v>142</v>
      </c>
      <c r="L155" s="134" t="s">
        <v>142</v>
      </c>
      <c r="M155" s="370"/>
      <c r="N155" s="137"/>
    </row>
    <row r="156" hidden="1" outlineLevel="1">
      <c r="A156" s="367" t="s">
        <v>1274</v>
      </c>
      <c r="B156" s="309">
        <v>46282.0</v>
      </c>
      <c r="C156" s="368" t="str">
        <f t="shared" si="17"/>
        <v>Thu</v>
      </c>
      <c r="D156" s="143">
        <f t="shared" si="18"/>
        <v>1</v>
      </c>
      <c r="E156" s="144" t="s">
        <v>142</v>
      </c>
      <c r="F156" s="134" t="s">
        <v>142</v>
      </c>
      <c r="G156" s="134" t="s">
        <v>142</v>
      </c>
      <c r="H156" s="134" t="s">
        <v>142</v>
      </c>
      <c r="I156" s="134" t="s">
        <v>142</v>
      </c>
      <c r="J156" s="134" t="s">
        <v>142</v>
      </c>
      <c r="K156" s="134" t="s">
        <v>142</v>
      </c>
      <c r="L156" s="134" t="s">
        <v>142</v>
      </c>
      <c r="M156" s="370"/>
      <c r="N156" s="137"/>
    </row>
    <row r="157" hidden="1" outlineLevel="1">
      <c r="A157" s="367" t="s">
        <v>1277</v>
      </c>
      <c r="B157" s="309">
        <v>46282.0</v>
      </c>
      <c r="C157" s="368" t="str">
        <f t="shared" si="17"/>
        <v>Thu</v>
      </c>
      <c r="D157" s="128">
        <f t="shared" si="18"/>
        <v>1</v>
      </c>
      <c r="E157" s="131" t="s">
        <v>142</v>
      </c>
      <c r="F157" s="134" t="s">
        <v>142</v>
      </c>
      <c r="G157" s="134" t="s">
        <v>142</v>
      </c>
      <c r="H157" s="134" t="s">
        <v>142</v>
      </c>
      <c r="I157" s="134" t="s">
        <v>142</v>
      </c>
      <c r="J157" s="134" t="s">
        <v>142</v>
      </c>
      <c r="K157" s="134" t="s">
        <v>142</v>
      </c>
      <c r="L157" s="134" t="s">
        <v>142</v>
      </c>
      <c r="M157" s="370"/>
      <c r="N157" s="137"/>
    </row>
    <row r="158" hidden="1" outlineLevel="1">
      <c r="A158" s="367" t="s">
        <v>1279</v>
      </c>
      <c r="B158" s="309">
        <v>46282.0</v>
      </c>
      <c r="C158" s="368" t="str">
        <f t="shared" si="17"/>
        <v>Thu</v>
      </c>
      <c r="D158" s="143">
        <f t="shared" si="18"/>
        <v>1</v>
      </c>
      <c r="E158" s="144" t="s">
        <v>142</v>
      </c>
      <c r="F158" s="134" t="s">
        <v>142</v>
      </c>
      <c r="G158" s="134" t="s">
        <v>142</v>
      </c>
      <c r="H158" s="134" t="s">
        <v>142</v>
      </c>
      <c r="I158" s="134" t="s">
        <v>142</v>
      </c>
      <c r="J158" s="134" t="s">
        <v>142</v>
      </c>
      <c r="K158" s="134" t="s">
        <v>142</v>
      </c>
      <c r="L158" s="134" t="s">
        <v>142</v>
      </c>
      <c r="M158" s="370"/>
      <c r="N158" s="137"/>
    </row>
    <row r="159" hidden="1" outlineLevel="1">
      <c r="A159" s="367" t="s">
        <v>1281</v>
      </c>
      <c r="B159" s="309">
        <v>46285.0</v>
      </c>
      <c r="C159" s="368" t="str">
        <f t="shared" si="17"/>
        <v>Sun</v>
      </c>
      <c r="D159" s="128">
        <f t="shared" si="18"/>
        <v>1</v>
      </c>
      <c r="E159" s="131" t="s">
        <v>142</v>
      </c>
      <c r="F159" s="134" t="s">
        <v>142</v>
      </c>
      <c r="G159" s="134" t="s">
        <v>142</v>
      </c>
      <c r="H159" s="134" t="s">
        <v>142</v>
      </c>
      <c r="I159" s="134" t="s">
        <v>142</v>
      </c>
      <c r="J159" s="134" t="s">
        <v>142</v>
      </c>
      <c r="K159" s="134" t="s">
        <v>142</v>
      </c>
      <c r="L159" s="134" t="s">
        <v>142</v>
      </c>
      <c r="M159" s="370"/>
      <c r="N159" s="137"/>
    </row>
    <row r="160" hidden="1" outlineLevel="1">
      <c r="A160" s="367" t="s">
        <v>1282</v>
      </c>
      <c r="B160" s="309">
        <v>46285.0</v>
      </c>
      <c r="C160" s="368" t="str">
        <f t="shared" si="17"/>
        <v>Sun</v>
      </c>
      <c r="D160" s="143">
        <f t="shared" si="18"/>
        <v>1</v>
      </c>
      <c r="E160" s="144" t="s">
        <v>142</v>
      </c>
      <c r="F160" s="134" t="s">
        <v>142</v>
      </c>
      <c r="G160" s="134" t="s">
        <v>142</v>
      </c>
      <c r="H160" s="134" t="s">
        <v>142</v>
      </c>
      <c r="I160" s="134" t="s">
        <v>142</v>
      </c>
      <c r="J160" s="134" t="s">
        <v>142</v>
      </c>
      <c r="K160" s="134" t="s">
        <v>142</v>
      </c>
      <c r="L160" s="134" t="s">
        <v>142</v>
      </c>
      <c r="M160" s="370"/>
      <c r="N160" s="137"/>
    </row>
    <row r="161" hidden="1" outlineLevel="1">
      <c r="A161" s="367" t="s">
        <v>1284</v>
      </c>
      <c r="B161" s="309">
        <v>46285.0</v>
      </c>
      <c r="C161" s="368" t="str">
        <f t="shared" si="17"/>
        <v>Sun</v>
      </c>
      <c r="D161" s="128">
        <f t="shared" si="18"/>
        <v>1</v>
      </c>
      <c r="E161" s="131" t="s">
        <v>142</v>
      </c>
      <c r="F161" s="134" t="s">
        <v>142</v>
      </c>
      <c r="G161" s="134" t="s">
        <v>142</v>
      </c>
      <c r="H161" s="134" t="s">
        <v>142</v>
      </c>
      <c r="I161" s="134" t="s">
        <v>142</v>
      </c>
      <c r="J161" s="134" t="s">
        <v>142</v>
      </c>
      <c r="K161" s="134" t="s">
        <v>142</v>
      </c>
      <c r="L161" s="134" t="s">
        <v>142</v>
      </c>
      <c r="M161" s="370"/>
      <c r="N161" s="137"/>
    </row>
    <row r="162" hidden="1" outlineLevel="1">
      <c r="A162" s="373"/>
      <c r="B162" s="373"/>
      <c r="C162" s="374" t="s">
        <v>199</v>
      </c>
      <c r="D162" s="414">
        <f>AVERAGE(D147:D161)</f>
        <v>1</v>
      </c>
      <c r="E162" s="391"/>
      <c r="F162" s="373"/>
      <c r="G162" s="373"/>
      <c r="H162" s="373"/>
      <c r="I162" s="373"/>
      <c r="J162" s="373"/>
      <c r="K162" s="373"/>
      <c r="L162" s="374" t="s">
        <v>199</v>
      </c>
      <c r="M162" s="377">
        <f>SUM(M147:M161)/75*0.1</f>
        <v>0</v>
      </c>
      <c r="N162" s="373"/>
    </row>
    <row r="163" collapsed="1">
      <c r="A163" s="85" t="s">
        <v>493</v>
      </c>
      <c r="B163" s="86"/>
      <c r="C163" s="86"/>
      <c r="D163" s="88"/>
      <c r="E163" s="361"/>
      <c r="F163" s="361"/>
      <c r="G163" s="361"/>
      <c r="H163" s="361"/>
      <c r="I163" s="361"/>
      <c r="J163" s="361"/>
      <c r="K163" s="361"/>
      <c r="L163" s="361"/>
      <c r="M163" s="361"/>
      <c r="N163" s="361"/>
    </row>
    <row r="164" hidden="1" outlineLevel="1">
      <c r="A164" s="362" t="s">
        <v>89</v>
      </c>
      <c r="B164" s="363" t="s">
        <v>90</v>
      </c>
      <c r="C164" s="363" t="s">
        <v>91</v>
      </c>
      <c r="D164" s="364" t="s">
        <v>93</v>
      </c>
      <c r="E164" s="365" t="s">
        <v>94</v>
      </c>
      <c r="F164" s="365" t="s">
        <v>95</v>
      </c>
      <c r="G164" s="366" t="s">
        <v>96</v>
      </c>
      <c r="H164" s="366" t="s">
        <v>97</v>
      </c>
      <c r="I164" s="366" t="s">
        <v>104</v>
      </c>
      <c r="J164" s="366" t="s">
        <v>106</v>
      </c>
      <c r="K164" s="366" t="s">
        <v>109</v>
      </c>
      <c r="L164" s="366" t="s">
        <v>111</v>
      </c>
      <c r="M164" s="363" t="s">
        <v>114</v>
      </c>
      <c r="N164" s="363" t="s">
        <v>116</v>
      </c>
    </row>
    <row r="165" hidden="1" outlineLevel="1">
      <c r="A165" s="372" t="s">
        <v>1288</v>
      </c>
      <c r="B165" s="309">
        <v>46286.0</v>
      </c>
      <c r="C165" s="368" t="str">
        <f t="shared" ref="C165:C179" si="19">IF(B165="", "", TEXT(B165, "ddd"))</f>
        <v>Mon</v>
      </c>
      <c r="D165" s="128">
        <f t="shared" ref="D165:D179" si="20">IF(E165="Yes",0.05,0)
+IF(F165="Yes",0.1,0)
+IF(G165="Yes",0.15,0)
+IF(H165="Yes",0.15,0)
+IF(I165="Yes",0.05,0)
+IF(J165="Yes",0.05,0)
+IF(K165="Yes",0.15,0)
+IF(L165="Yes",0.3,0)
</f>
        <v>1</v>
      </c>
      <c r="E165" s="131" t="s">
        <v>142</v>
      </c>
      <c r="F165" s="134" t="s">
        <v>142</v>
      </c>
      <c r="G165" s="134" t="s">
        <v>142</v>
      </c>
      <c r="H165" s="134" t="s">
        <v>142</v>
      </c>
      <c r="I165" s="134" t="s">
        <v>142</v>
      </c>
      <c r="J165" s="134" t="s">
        <v>142</v>
      </c>
      <c r="K165" s="134" t="s">
        <v>142</v>
      </c>
      <c r="L165" s="134" t="s">
        <v>142</v>
      </c>
      <c r="M165" s="370"/>
      <c r="N165" s="137"/>
    </row>
    <row r="166" hidden="1" outlineLevel="1">
      <c r="A166" s="372" t="s">
        <v>1293</v>
      </c>
      <c r="B166" s="309">
        <v>46286.0</v>
      </c>
      <c r="C166" s="368" t="str">
        <f t="shared" si="19"/>
        <v>Mon</v>
      </c>
      <c r="D166" s="143">
        <f t="shared" si="20"/>
        <v>1</v>
      </c>
      <c r="E166" s="144" t="s">
        <v>142</v>
      </c>
      <c r="F166" s="134" t="s">
        <v>142</v>
      </c>
      <c r="G166" s="134" t="s">
        <v>142</v>
      </c>
      <c r="H166" s="134" t="s">
        <v>142</v>
      </c>
      <c r="I166" s="134" t="s">
        <v>142</v>
      </c>
      <c r="J166" s="134" t="s">
        <v>142</v>
      </c>
      <c r="K166" s="134" t="s">
        <v>142</v>
      </c>
      <c r="L166" s="134" t="s">
        <v>142</v>
      </c>
      <c r="M166" s="370"/>
      <c r="N166" s="137"/>
    </row>
    <row r="167" hidden="1" outlineLevel="1">
      <c r="A167" s="372" t="s">
        <v>1296</v>
      </c>
      <c r="B167" s="309">
        <v>46286.0</v>
      </c>
      <c r="C167" s="368" t="str">
        <f t="shared" si="19"/>
        <v>Mon</v>
      </c>
      <c r="D167" s="128">
        <f t="shared" si="20"/>
        <v>1</v>
      </c>
      <c r="E167" s="131" t="s">
        <v>142</v>
      </c>
      <c r="F167" s="134" t="s">
        <v>142</v>
      </c>
      <c r="G167" s="134" t="s">
        <v>142</v>
      </c>
      <c r="H167" s="134" t="s">
        <v>142</v>
      </c>
      <c r="I167" s="134" t="s">
        <v>142</v>
      </c>
      <c r="J167" s="134" t="s">
        <v>142</v>
      </c>
      <c r="K167" s="134" t="s">
        <v>142</v>
      </c>
      <c r="L167" s="134" t="s">
        <v>142</v>
      </c>
      <c r="M167" s="370"/>
      <c r="N167" s="137"/>
    </row>
    <row r="168" hidden="1" outlineLevel="1">
      <c r="A168" s="372" t="s">
        <v>1297</v>
      </c>
      <c r="B168" s="309">
        <v>46287.0</v>
      </c>
      <c r="C168" s="368" t="str">
        <f t="shared" si="19"/>
        <v>Tue</v>
      </c>
      <c r="D168" s="143">
        <f t="shared" si="20"/>
        <v>1</v>
      </c>
      <c r="E168" s="144" t="s">
        <v>142</v>
      </c>
      <c r="F168" s="134" t="s">
        <v>142</v>
      </c>
      <c r="G168" s="134" t="s">
        <v>142</v>
      </c>
      <c r="H168" s="134" t="s">
        <v>142</v>
      </c>
      <c r="I168" s="134" t="s">
        <v>142</v>
      </c>
      <c r="J168" s="134" t="s">
        <v>142</v>
      </c>
      <c r="K168" s="134" t="s">
        <v>142</v>
      </c>
      <c r="L168" s="134" t="s">
        <v>142</v>
      </c>
      <c r="M168" s="370"/>
      <c r="N168" s="137"/>
    </row>
    <row r="169" hidden="1" outlineLevel="1">
      <c r="A169" s="372" t="s">
        <v>1298</v>
      </c>
      <c r="B169" s="309">
        <v>46287.0</v>
      </c>
      <c r="C169" s="368" t="str">
        <f t="shared" si="19"/>
        <v>Tue</v>
      </c>
      <c r="D169" s="128">
        <f t="shared" si="20"/>
        <v>1</v>
      </c>
      <c r="E169" s="131" t="s">
        <v>142</v>
      </c>
      <c r="F169" s="134" t="s">
        <v>142</v>
      </c>
      <c r="G169" s="134" t="s">
        <v>142</v>
      </c>
      <c r="H169" s="134" t="s">
        <v>142</v>
      </c>
      <c r="I169" s="134" t="s">
        <v>142</v>
      </c>
      <c r="J169" s="134" t="s">
        <v>142</v>
      </c>
      <c r="K169" s="134" t="s">
        <v>142</v>
      </c>
      <c r="L169" s="134" t="s">
        <v>142</v>
      </c>
      <c r="M169" s="370"/>
      <c r="N169" s="137"/>
    </row>
    <row r="170" hidden="1" outlineLevel="1">
      <c r="A170" s="372" t="s">
        <v>1300</v>
      </c>
      <c r="B170" s="309">
        <v>46287.0</v>
      </c>
      <c r="C170" s="368" t="str">
        <f t="shared" si="19"/>
        <v>Tue</v>
      </c>
      <c r="D170" s="143">
        <f t="shared" si="20"/>
        <v>1</v>
      </c>
      <c r="E170" s="144" t="s">
        <v>142</v>
      </c>
      <c r="F170" s="134" t="s">
        <v>142</v>
      </c>
      <c r="G170" s="134" t="s">
        <v>142</v>
      </c>
      <c r="H170" s="134" t="s">
        <v>142</v>
      </c>
      <c r="I170" s="134" t="s">
        <v>142</v>
      </c>
      <c r="J170" s="134" t="s">
        <v>142</v>
      </c>
      <c r="K170" s="134" t="s">
        <v>142</v>
      </c>
      <c r="L170" s="134" t="s">
        <v>142</v>
      </c>
      <c r="M170" s="370"/>
      <c r="N170" s="137"/>
    </row>
    <row r="171" hidden="1" outlineLevel="1">
      <c r="A171" s="372" t="s">
        <v>1301</v>
      </c>
      <c r="B171" s="309">
        <v>46288.0</v>
      </c>
      <c r="C171" s="368" t="str">
        <f t="shared" si="19"/>
        <v>Wed</v>
      </c>
      <c r="D171" s="128">
        <f t="shared" si="20"/>
        <v>1</v>
      </c>
      <c r="E171" s="131" t="s">
        <v>142</v>
      </c>
      <c r="F171" s="134" t="s">
        <v>142</v>
      </c>
      <c r="G171" s="134" t="s">
        <v>142</v>
      </c>
      <c r="H171" s="134" t="s">
        <v>142</v>
      </c>
      <c r="I171" s="134" t="s">
        <v>142</v>
      </c>
      <c r="J171" s="134" t="s">
        <v>142</v>
      </c>
      <c r="K171" s="134" t="s">
        <v>142</v>
      </c>
      <c r="L171" s="134" t="s">
        <v>142</v>
      </c>
      <c r="M171" s="370"/>
      <c r="N171" s="137"/>
    </row>
    <row r="172" hidden="1" outlineLevel="1">
      <c r="A172" s="372" t="s">
        <v>1302</v>
      </c>
      <c r="B172" s="309">
        <v>46288.0</v>
      </c>
      <c r="C172" s="368" t="str">
        <f t="shared" si="19"/>
        <v>Wed</v>
      </c>
      <c r="D172" s="143">
        <f t="shared" si="20"/>
        <v>1</v>
      </c>
      <c r="E172" s="144" t="s">
        <v>142</v>
      </c>
      <c r="F172" s="134" t="s">
        <v>142</v>
      </c>
      <c r="G172" s="134" t="s">
        <v>142</v>
      </c>
      <c r="H172" s="134" t="s">
        <v>142</v>
      </c>
      <c r="I172" s="134" t="s">
        <v>142</v>
      </c>
      <c r="J172" s="134" t="s">
        <v>142</v>
      </c>
      <c r="K172" s="134" t="s">
        <v>142</v>
      </c>
      <c r="L172" s="134" t="s">
        <v>142</v>
      </c>
      <c r="M172" s="370"/>
      <c r="N172" s="137"/>
    </row>
    <row r="173" hidden="1" outlineLevel="1">
      <c r="A173" s="372" t="s">
        <v>1304</v>
      </c>
      <c r="B173" s="309">
        <v>46288.0</v>
      </c>
      <c r="C173" s="368" t="str">
        <f t="shared" si="19"/>
        <v>Wed</v>
      </c>
      <c r="D173" s="128">
        <f t="shared" si="20"/>
        <v>1</v>
      </c>
      <c r="E173" s="131" t="s">
        <v>142</v>
      </c>
      <c r="F173" s="134" t="s">
        <v>142</v>
      </c>
      <c r="G173" s="134" t="s">
        <v>142</v>
      </c>
      <c r="H173" s="134" t="s">
        <v>142</v>
      </c>
      <c r="I173" s="134" t="s">
        <v>142</v>
      </c>
      <c r="J173" s="134" t="s">
        <v>142</v>
      </c>
      <c r="K173" s="134" t="s">
        <v>142</v>
      </c>
      <c r="L173" s="134" t="s">
        <v>142</v>
      </c>
      <c r="M173" s="370"/>
      <c r="N173" s="137"/>
    </row>
    <row r="174" hidden="1" outlineLevel="1">
      <c r="A174" s="372" t="s">
        <v>1306</v>
      </c>
      <c r="B174" s="309">
        <v>46289.0</v>
      </c>
      <c r="C174" s="368" t="str">
        <f t="shared" si="19"/>
        <v>Thu</v>
      </c>
      <c r="D174" s="143">
        <f t="shared" si="20"/>
        <v>1</v>
      </c>
      <c r="E174" s="144" t="s">
        <v>142</v>
      </c>
      <c r="F174" s="134" t="s">
        <v>142</v>
      </c>
      <c r="G174" s="134" t="s">
        <v>142</v>
      </c>
      <c r="H174" s="134" t="s">
        <v>142</v>
      </c>
      <c r="I174" s="134" t="s">
        <v>142</v>
      </c>
      <c r="J174" s="134" t="s">
        <v>142</v>
      </c>
      <c r="K174" s="134" t="s">
        <v>142</v>
      </c>
      <c r="L174" s="134" t="s">
        <v>142</v>
      </c>
      <c r="M174" s="370"/>
      <c r="N174" s="137"/>
    </row>
    <row r="175" hidden="1" outlineLevel="1">
      <c r="A175" s="372" t="s">
        <v>1308</v>
      </c>
      <c r="B175" s="309">
        <v>46289.0</v>
      </c>
      <c r="C175" s="368" t="str">
        <f t="shared" si="19"/>
        <v>Thu</v>
      </c>
      <c r="D175" s="128">
        <f t="shared" si="20"/>
        <v>1</v>
      </c>
      <c r="E175" s="131" t="s">
        <v>142</v>
      </c>
      <c r="F175" s="134" t="s">
        <v>142</v>
      </c>
      <c r="G175" s="134" t="s">
        <v>142</v>
      </c>
      <c r="H175" s="134" t="s">
        <v>142</v>
      </c>
      <c r="I175" s="134" t="s">
        <v>142</v>
      </c>
      <c r="J175" s="134" t="s">
        <v>142</v>
      </c>
      <c r="K175" s="134" t="s">
        <v>142</v>
      </c>
      <c r="L175" s="134" t="s">
        <v>142</v>
      </c>
      <c r="M175" s="370"/>
      <c r="N175" s="137"/>
    </row>
    <row r="176" hidden="1" outlineLevel="1">
      <c r="A176" s="372" t="s">
        <v>1310</v>
      </c>
      <c r="B176" s="309">
        <v>46289.0</v>
      </c>
      <c r="C176" s="368" t="str">
        <f t="shared" si="19"/>
        <v>Thu</v>
      </c>
      <c r="D176" s="143">
        <f t="shared" si="20"/>
        <v>1</v>
      </c>
      <c r="E176" s="144" t="s">
        <v>142</v>
      </c>
      <c r="F176" s="134" t="s">
        <v>142</v>
      </c>
      <c r="G176" s="134" t="s">
        <v>142</v>
      </c>
      <c r="H176" s="134" t="s">
        <v>142</v>
      </c>
      <c r="I176" s="134" t="s">
        <v>142</v>
      </c>
      <c r="J176" s="134" t="s">
        <v>142</v>
      </c>
      <c r="K176" s="134" t="s">
        <v>142</v>
      </c>
      <c r="L176" s="134" t="s">
        <v>142</v>
      </c>
      <c r="M176" s="370"/>
      <c r="N176" s="137"/>
    </row>
    <row r="177" hidden="1" outlineLevel="1">
      <c r="A177" s="372" t="s">
        <v>1312</v>
      </c>
      <c r="B177" s="309">
        <v>46291.0</v>
      </c>
      <c r="C177" s="368" t="str">
        <f t="shared" si="19"/>
        <v>Sat</v>
      </c>
      <c r="D177" s="128">
        <f t="shared" si="20"/>
        <v>1</v>
      </c>
      <c r="E177" s="131" t="s">
        <v>142</v>
      </c>
      <c r="F177" s="134" t="s">
        <v>142</v>
      </c>
      <c r="G177" s="134" t="s">
        <v>142</v>
      </c>
      <c r="H177" s="134" t="s">
        <v>142</v>
      </c>
      <c r="I177" s="134" t="s">
        <v>142</v>
      </c>
      <c r="J177" s="134" t="s">
        <v>142</v>
      </c>
      <c r="K177" s="134" t="s">
        <v>142</v>
      </c>
      <c r="L177" s="134" t="s">
        <v>142</v>
      </c>
      <c r="M177" s="370"/>
      <c r="N177" s="137"/>
    </row>
    <row r="178" hidden="1" outlineLevel="1">
      <c r="A178" s="372" t="s">
        <v>1314</v>
      </c>
      <c r="B178" s="309">
        <v>46291.0</v>
      </c>
      <c r="C178" s="368" t="str">
        <f t="shared" si="19"/>
        <v>Sat</v>
      </c>
      <c r="D178" s="143">
        <f t="shared" si="20"/>
        <v>1</v>
      </c>
      <c r="E178" s="144" t="s">
        <v>142</v>
      </c>
      <c r="F178" s="134" t="s">
        <v>142</v>
      </c>
      <c r="G178" s="134" t="s">
        <v>142</v>
      </c>
      <c r="H178" s="134" t="s">
        <v>142</v>
      </c>
      <c r="I178" s="134" t="s">
        <v>142</v>
      </c>
      <c r="J178" s="134" t="s">
        <v>142</v>
      </c>
      <c r="K178" s="134" t="s">
        <v>142</v>
      </c>
      <c r="L178" s="134" t="s">
        <v>142</v>
      </c>
      <c r="M178" s="370"/>
      <c r="N178" s="137"/>
    </row>
    <row r="179" hidden="1" outlineLevel="1">
      <c r="A179" s="372" t="s">
        <v>1316</v>
      </c>
      <c r="B179" s="309">
        <v>46291.0</v>
      </c>
      <c r="C179" s="368" t="str">
        <f t="shared" si="19"/>
        <v>Sat</v>
      </c>
      <c r="D179" s="128">
        <f t="shared" si="20"/>
        <v>1</v>
      </c>
      <c r="E179" s="131" t="s">
        <v>142</v>
      </c>
      <c r="F179" s="134" t="s">
        <v>142</v>
      </c>
      <c r="G179" s="134" t="s">
        <v>142</v>
      </c>
      <c r="H179" s="134" t="s">
        <v>142</v>
      </c>
      <c r="I179" s="134" t="s">
        <v>142</v>
      </c>
      <c r="J179" s="134" t="s">
        <v>142</v>
      </c>
      <c r="K179" s="134" t="s">
        <v>142</v>
      </c>
      <c r="L179" s="134" t="s">
        <v>142</v>
      </c>
      <c r="M179" s="370"/>
      <c r="N179" s="137"/>
    </row>
    <row r="180" hidden="1" outlineLevel="1">
      <c r="A180" s="373"/>
      <c r="B180" s="373"/>
      <c r="C180" s="374" t="s">
        <v>199</v>
      </c>
      <c r="D180" s="414">
        <f>AVERAGE(D165:D179)</f>
        <v>1</v>
      </c>
      <c r="E180" s="391"/>
      <c r="F180" s="373"/>
      <c r="G180" s="373"/>
      <c r="H180" s="373"/>
      <c r="I180" s="373"/>
      <c r="J180" s="373"/>
      <c r="K180" s="373"/>
      <c r="L180" s="374" t="s">
        <v>199</v>
      </c>
      <c r="M180" s="377">
        <f>SUM(M165:M179)/75*0.1</f>
        <v>0</v>
      </c>
      <c r="N180" s="373"/>
    </row>
    <row r="181" collapsed="1">
      <c r="A181" s="85" t="s">
        <v>514</v>
      </c>
      <c r="B181" s="86"/>
      <c r="C181" s="86"/>
      <c r="D181" s="88"/>
      <c r="E181" s="361"/>
      <c r="F181" s="361"/>
      <c r="G181" s="361"/>
      <c r="H181" s="361"/>
      <c r="I181" s="361"/>
      <c r="J181" s="361"/>
      <c r="K181" s="361"/>
      <c r="L181" s="361"/>
      <c r="M181" s="361"/>
      <c r="N181" s="361"/>
    </row>
    <row r="182" hidden="1" outlineLevel="1">
      <c r="A182" s="362" t="s">
        <v>89</v>
      </c>
      <c r="B182" s="363" t="s">
        <v>90</v>
      </c>
      <c r="C182" s="363" t="s">
        <v>91</v>
      </c>
      <c r="D182" s="364" t="s">
        <v>93</v>
      </c>
      <c r="E182" s="365" t="s">
        <v>94</v>
      </c>
      <c r="F182" s="365" t="s">
        <v>95</v>
      </c>
      <c r="G182" s="366" t="s">
        <v>96</v>
      </c>
      <c r="H182" s="366" t="s">
        <v>97</v>
      </c>
      <c r="I182" s="366" t="s">
        <v>104</v>
      </c>
      <c r="J182" s="366" t="s">
        <v>106</v>
      </c>
      <c r="K182" s="366" t="s">
        <v>109</v>
      </c>
      <c r="L182" s="366" t="s">
        <v>111</v>
      </c>
      <c r="M182" s="363" t="s">
        <v>114</v>
      </c>
      <c r="N182" s="363" t="s">
        <v>116</v>
      </c>
    </row>
    <row r="183" hidden="1" outlineLevel="1">
      <c r="A183" s="372" t="s">
        <v>1320</v>
      </c>
      <c r="B183" s="309">
        <v>46293.0</v>
      </c>
      <c r="C183" s="368" t="str">
        <f t="shared" ref="C183:C197" si="21">IF(B183="", "", TEXT(B183, "ddd"))</f>
        <v>Mon</v>
      </c>
      <c r="D183" s="128">
        <f t="shared" ref="D183:D197" si="22">IF(E183="Yes",0.05,0)
+IF(F183="Yes",0.1,0)
+IF(G183="Yes",0.15,0)
+IF(H183="Yes",0.15,0)
+IF(I183="Yes",0.05,0)
+IF(J183="Yes",0.05,0)
+IF(K183="Yes",0.15,0)
+IF(L183="Yes",0.3,0)
</f>
        <v>1</v>
      </c>
      <c r="E183" s="131" t="s">
        <v>142</v>
      </c>
      <c r="F183" s="134" t="s">
        <v>142</v>
      </c>
      <c r="G183" s="134" t="s">
        <v>142</v>
      </c>
      <c r="H183" s="134" t="s">
        <v>142</v>
      </c>
      <c r="I183" s="134" t="s">
        <v>142</v>
      </c>
      <c r="J183" s="134" t="s">
        <v>142</v>
      </c>
      <c r="K183" s="134" t="s">
        <v>142</v>
      </c>
      <c r="L183" s="134" t="s">
        <v>142</v>
      </c>
      <c r="M183" s="370"/>
      <c r="N183" s="137"/>
    </row>
    <row r="184" hidden="1" outlineLevel="1">
      <c r="A184" s="372" t="s">
        <v>1323</v>
      </c>
      <c r="B184" s="309">
        <v>46293.0</v>
      </c>
      <c r="C184" s="368" t="str">
        <f t="shared" si="21"/>
        <v>Mon</v>
      </c>
      <c r="D184" s="143">
        <f t="shared" si="22"/>
        <v>1</v>
      </c>
      <c r="E184" s="144" t="s">
        <v>142</v>
      </c>
      <c r="F184" s="134" t="s">
        <v>142</v>
      </c>
      <c r="G184" s="134" t="s">
        <v>142</v>
      </c>
      <c r="H184" s="134" t="s">
        <v>142</v>
      </c>
      <c r="I184" s="134" t="s">
        <v>142</v>
      </c>
      <c r="J184" s="134" t="s">
        <v>142</v>
      </c>
      <c r="K184" s="134" t="s">
        <v>142</v>
      </c>
      <c r="L184" s="134" t="s">
        <v>142</v>
      </c>
      <c r="M184" s="370"/>
      <c r="N184" s="137"/>
    </row>
    <row r="185" hidden="1" outlineLevel="1">
      <c r="A185" s="372" t="s">
        <v>1326</v>
      </c>
      <c r="B185" s="309">
        <v>46293.0</v>
      </c>
      <c r="C185" s="368" t="str">
        <f t="shared" si="21"/>
        <v>Mon</v>
      </c>
      <c r="D185" s="128">
        <f t="shared" si="22"/>
        <v>1</v>
      </c>
      <c r="E185" s="131" t="s">
        <v>142</v>
      </c>
      <c r="F185" s="134" t="s">
        <v>142</v>
      </c>
      <c r="G185" s="134" t="s">
        <v>142</v>
      </c>
      <c r="H185" s="134" t="s">
        <v>142</v>
      </c>
      <c r="I185" s="134" t="s">
        <v>142</v>
      </c>
      <c r="J185" s="134" t="s">
        <v>142</v>
      </c>
      <c r="K185" s="134" t="s">
        <v>142</v>
      </c>
      <c r="L185" s="134" t="s">
        <v>142</v>
      </c>
      <c r="M185" s="370"/>
      <c r="N185" s="137"/>
    </row>
    <row r="186" hidden="1" outlineLevel="1">
      <c r="A186" s="372" t="s">
        <v>1327</v>
      </c>
      <c r="B186" s="309">
        <v>46294.0</v>
      </c>
      <c r="C186" s="368" t="str">
        <f t="shared" si="21"/>
        <v>Tue</v>
      </c>
      <c r="D186" s="143">
        <f t="shared" si="22"/>
        <v>1</v>
      </c>
      <c r="E186" s="144" t="s">
        <v>142</v>
      </c>
      <c r="F186" s="134" t="s">
        <v>142</v>
      </c>
      <c r="G186" s="134" t="s">
        <v>142</v>
      </c>
      <c r="H186" s="134" t="s">
        <v>142</v>
      </c>
      <c r="I186" s="134" t="s">
        <v>142</v>
      </c>
      <c r="J186" s="134" t="s">
        <v>142</v>
      </c>
      <c r="K186" s="134" t="s">
        <v>142</v>
      </c>
      <c r="L186" s="134" t="s">
        <v>142</v>
      </c>
      <c r="M186" s="370"/>
      <c r="N186" s="137"/>
    </row>
    <row r="187" hidden="1" outlineLevel="1">
      <c r="A187" s="372" t="s">
        <v>1328</v>
      </c>
      <c r="B187" s="309">
        <v>46294.0</v>
      </c>
      <c r="C187" s="368" t="str">
        <f t="shared" si="21"/>
        <v>Tue</v>
      </c>
      <c r="D187" s="128">
        <f t="shared" si="22"/>
        <v>1</v>
      </c>
      <c r="E187" s="131" t="s">
        <v>142</v>
      </c>
      <c r="F187" s="134" t="s">
        <v>142</v>
      </c>
      <c r="G187" s="134" t="s">
        <v>142</v>
      </c>
      <c r="H187" s="134" t="s">
        <v>142</v>
      </c>
      <c r="I187" s="134" t="s">
        <v>142</v>
      </c>
      <c r="J187" s="134" t="s">
        <v>142</v>
      </c>
      <c r="K187" s="134" t="s">
        <v>142</v>
      </c>
      <c r="L187" s="134" t="s">
        <v>142</v>
      </c>
      <c r="M187" s="370"/>
      <c r="N187" s="137"/>
    </row>
    <row r="188" hidden="1" outlineLevel="1">
      <c r="A188" s="372" t="s">
        <v>1331</v>
      </c>
      <c r="B188" s="309">
        <v>46294.0</v>
      </c>
      <c r="C188" s="368" t="str">
        <f t="shared" si="21"/>
        <v>Tue</v>
      </c>
      <c r="D188" s="143">
        <f t="shared" si="22"/>
        <v>1</v>
      </c>
      <c r="E188" s="144" t="s">
        <v>142</v>
      </c>
      <c r="F188" s="134" t="s">
        <v>142</v>
      </c>
      <c r="G188" s="134" t="s">
        <v>142</v>
      </c>
      <c r="H188" s="134" t="s">
        <v>142</v>
      </c>
      <c r="I188" s="134" t="s">
        <v>142</v>
      </c>
      <c r="J188" s="134" t="s">
        <v>142</v>
      </c>
      <c r="K188" s="134" t="s">
        <v>142</v>
      </c>
      <c r="L188" s="134" t="s">
        <v>142</v>
      </c>
      <c r="M188" s="370"/>
      <c r="N188" s="137"/>
    </row>
    <row r="189" hidden="1" outlineLevel="1">
      <c r="A189" s="372" t="s">
        <v>1332</v>
      </c>
      <c r="B189" s="309">
        <v>46295.0</v>
      </c>
      <c r="C189" s="368" t="str">
        <f t="shared" si="21"/>
        <v>Wed</v>
      </c>
      <c r="D189" s="128">
        <f t="shared" si="22"/>
        <v>1</v>
      </c>
      <c r="E189" s="131" t="s">
        <v>142</v>
      </c>
      <c r="F189" s="134" t="s">
        <v>142</v>
      </c>
      <c r="G189" s="134" t="s">
        <v>142</v>
      </c>
      <c r="H189" s="134" t="s">
        <v>142</v>
      </c>
      <c r="I189" s="134" t="s">
        <v>142</v>
      </c>
      <c r="J189" s="134" t="s">
        <v>142</v>
      </c>
      <c r="K189" s="134" t="s">
        <v>142</v>
      </c>
      <c r="L189" s="134" t="s">
        <v>142</v>
      </c>
      <c r="M189" s="370"/>
      <c r="N189" s="137"/>
    </row>
    <row r="190" hidden="1" outlineLevel="1">
      <c r="A190" s="372" t="s">
        <v>1334</v>
      </c>
      <c r="B190" s="309">
        <v>46295.0</v>
      </c>
      <c r="C190" s="368" t="str">
        <f t="shared" si="21"/>
        <v>Wed</v>
      </c>
      <c r="D190" s="143">
        <f t="shared" si="22"/>
        <v>1</v>
      </c>
      <c r="E190" s="144" t="s">
        <v>142</v>
      </c>
      <c r="F190" s="134" t="s">
        <v>142</v>
      </c>
      <c r="G190" s="134" t="s">
        <v>142</v>
      </c>
      <c r="H190" s="134" t="s">
        <v>142</v>
      </c>
      <c r="I190" s="134" t="s">
        <v>142</v>
      </c>
      <c r="J190" s="134" t="s">
        <v>142</v>
      </c>
      <c r="K190" s="134" t="s">
        <v>142</v>
      </c>
      <c r="L190" s="134" t="s">
        <v>142</v>
      </c>
      <c r="M190" s="370"/>
      <c r="N190" s="137"/>
    </row>
    <row r="191" hidden="1" outlineLevel="1">
      <c r="A191" s="372" t="s">
        <v>1336</v>
      </c>
      <c r="B191" s="309">
        <v>46295.0</v>
      </c>
      <c r="C191" s="368" t="str">
        <f t="shared" si="21"/>
        <v>Wed</v>
      </c>
      <c r="D191" s="128">
        <f t="shared" si="22"/>
        <v>1</v>
      </c>
      <c r="E191" s="131" t="s">
        <v>142</v>
      </c>
      <c r="F191" s="134" t="s">
        <v>142</v>
      </c>
      <c r="G191" s="134" t="s">
        <v>142</v>
      </c>
      <c r="H191" s="134" t="s">
        <v>142</v>
      </c>
      <c r="I191" s="134" t="s">
        <v>142</v>
      </c>
      <c r="J191" s="134" t="s">
        <v>142</v>
      </c>
      <c r="K191" s="134" t="s">
        <v>142</v>
      </c>
      <c r="L191" s="134" t="s">
        <v>142</v>
      </c>
      <c r="M191" s="370"/>
      <c r="N191" s="137"/>
    </row>
    <row r="192" hidden="1" outlineLevel="1">
      <c r="A192" s="372" t="s">
        <v>1338</v>
      </c>
      <c r="B192" s="309">
        <v>46298.0</v>
      </c>
      <c r="C192" s="368" t="str">
        <f t="shared" si="21"/>
        <v>Sat</v>
      </c>
      <c r="D192" s="143">
        <f t="shared" si="22"/>
        <v>1</v>
      </c>
      <c r="E192" s="144" t="s">
        <v>142</v>
      </c>
      <c r="F192" s="134" t="s">
        <v>142</v>
      </c>
      <c r="G192" s="134" t="s">
        <v>142</v>
      </c>
      <c r="H192" s="134" t="s">
        <v>142</v>
      </c>
      <c r="I192" s="134" t="s">
        <v>142</v>
      </c>
      <c r="J192" s="134" t="s">
        <v>142</v>
      </c>
      <c r="K192" s="134" t="s">
        <v>142</v>
      </c>
      <c r="L192" s="134" t="s">
        <v>142</v>
      </c>
      <c r="M192" s="370"/>
      <c r="N192" s="137"/>
    </row>
    <row r="193" hidden="1" outlineLevel="1">
      <c r="A193" s="372" t="s">
        <v>1340</v>
      </c>
      <c r="B193" s="309">
        <v>46298.0</v>
      </c>
      <c r="C193" s="368" t="str">
        <f t="shared" si="21"/>
        <v>Sat</v>
      </c>
      <c r="D193" s="128">
        <f t="shared" si="22"/>
        <v>1</v>
      </c>
      <c r="E193" s="131" t="s">
        <v>142</v>
      </c>
      <c r="F193" s="134" t="s">
        <v>142</v>
      </c>
      <c r="G193" s="134" t="s">
        <v>142</v>
      </c>
      <c r="H193" s="134" t="s">
        <v>142</v>
      </c>
      <c r="I193" s="134" t="s">
        <v>142</v>
      </c>
      <c r="J193" s="134" t="s">
        <v>142</v>
      </c>
      <c r="K193" s="134" t="s">
        <v>142</v>
      </c>
      <c r="L193" s="134" t="s">
        <v>142</v>
      </c>
      <c r="M193" s="370"/>
      <c r="N193" s="137"/>
    </row>
    <row r="194" hidden="1" outlineLevel="1">
      <c r="A194" s="372" t="s">
        <v>1342</v>
      </c>
      <c r="B194" s="309">
        <v>46298.0</v>
      </c>
      <c r="C194" s="368" t="str">
        <f t="shared" si="21"/>
        <v>Sat</v>
      </c>
      <c r="D194" s="143">
        <f t="shared" si="22"/>
        <v>1</v>
      </c>
      <c r="E194" s="144" t="s">
        <v>142</v>
      </c>
      <c r="F194" s="134" t="s">
        <v>142</v>
      </c>
      <c r="G194" s="134" t="s">
        <v>142</v>
      </c>
      <c r="H194" s="134" t="s">
        <v>142</v>
      </c>
      <c r="I194" s="134" t="s">
        <v>142</v>
      </c>
      <c r="J194" s="134" t="s">
        <v>142</v>
      </c>
      <c r="K194" s="134" t="s">
        <v>142</v>
      </c>
      <c r="L194" s="134" t="s">
        <v>142</v>
      </c>
      <c r="M194" s="370"/>
      <c r="N194" s="137"/>
    </row>
    <row r="195" hidden="1" outlineLevel="1">
      <c r="A195" s="372" t="s">
        <v>1344</v>
      </c>
      <c r="B195" s="309">
        <v>46299.0</v>
      </c>
      <c r="C195" s="368" t="str">
        <f t="shared" si="21"/>
        <v>Sun</v>
      </c>
      <c r="D195" s="128">
        <f t="shared" si="22"/>
        <v>1</v>
      </c>
      <c r="E195" s="131" t="s">
        <v>142</v>
      </c>
      <c r="F195" s="134" t="s">
        <v>142</v>
      </c>
      <c r="G195" s="134" t="s">
        <v>142</v>
      </c>
      <c r="H195" s="134" t="s">
        <v>142</v>
      </c>
      <c r="I195" s="134" t="s">
        <v>142</v>
      </c>
      <c r="J195" s="134" t="s">
        <v>142</v>
      </c>
      <c r="K195" s="134" t="s">
        <v>142</v>
      </c>
      <c r="L195" s="134" t="s">
        <v>142</v>
      </c>
      <c r="M195" s="370"/>
      <c r="N195" s="137"/>
    </row>
    <row r="196" hidden="1" outlineLevel="1">
      <c r="A196" s="372" t="s">
        <v>1346</v>
      </c>
      <c r="B196" s="309">
        <v>46299.0</v>
      </c>
      <c r="C196" s="368" t="str">
        <f t="shared" si="21"/>
        <v>Sun</v>
      </c>
      <c r="D196" s="143">
        <f t="shared" si="22"/>
        <v>1</v>
      </c>
      <c r="E196" s="144" t="s">
        <v>142</v>
      </c>
      <c r="F196" s="134" t="s">
        <v>142</v>
      </c>
      <c r="G196" s="134" t="s">
        <v>142</v>
      </c>
      <c r="H196" s="134" t="s">
        <v>142</v>
      </c>
      <c r="I196" s="134" t="s">
        <v>142</v>
      </c>
      <c r="J196" s="134" t="s">
        <v>142</v>
      </c>
      <c r="K196" s="134" t="s">
        <v>142</v>
      </c>
      <c r="L196" s="134" t="s">
        <v>142</v>
      </c>
      <c r="M196" s="370"/>
      <c r="N196" s="137"/>
    </row>
    <row r="197" hidden="1" outlineLevel="1">
      <c r="A197" s="372" t="s">
        <v>1348</v>
      </c>
      <c r="B197" s="309">
        <v>46299.0</v>
      </c>
      <c r="C197" s="368" t="str">
        <f t="shared" si="21"/>
        <v>Sun</v>
      </c>
      <c r="D197" s="128">
        <f t="shared" si="22"/>
        <v>1</v>
      </c>
      <c r="E197" s="131" t="s">
        <v>142</v>
      </c>
      <c r="F197" s="134" t="s">
        <v>142</v>
      </c>
      <c r="G197" s="134" t="s">
        <v>142</v>
      </c>
      <c r="H197" s="134" t="s">
        <v>142</v>
      </c>
      <c r="I197" s="134" t="s">
        <v>142</v>
      </c>
      <c r="J197" s="134" t="s">
        <v>142</v>
      </c>
      <c r="K197" s="134" t="s">
        <v>142</v>
      </c>
      <c r="L197" s="134" t="s">
        <v>142</v>
      </c>
      <c r="M197" s="370"/>
      <c r="N197" s="137"/>
    </row>
    <row r="198" hidden="1" outlineLevel="1">
      <c r="A198" s="373"/>
      <c r="B198" s="373"/>
      <c r="C198" s="374" t="s">
        <v>199</v>
      </c>
      <c r="D198" s="414">
        <f>AVERAGE(D183:D197)</f>
        <v>1</v>
      </c>
      <c r="E198" s="391"/>
      <c r="F198" s="373"/>
      <c r="G198" s="373"/>
      <c r="H198" s="373"/>
      <c r="I198" s="373"/>
      <c r="J198" s="373"/>
      <c r="K198" s="373"/>
      <c r="L198" s="374" t="s">
        <v>199</v>
      </c>
      <c r="M198" s="377">
        <f>SUM(M183:M197)/75*0.1</f>
        <v>0</v>
      </c>
      <c r="N198" s="373"/>
    </row>
    <row r="199">
      <c r="A199" s="85" t="s">
        <v>537</v>
      </c>
      <c r="B199" s="86"/>
      <c r="C199" s="86"/>
      <c r="D199" s="88"/>
      <c r="E199" s="376"/>
      <c r="F199" s="376"/>
      <c r="G199" s="376"/>
      <c r="H199" s="376"/>
      <c r="I199" s="376"/>
      <c r="J199" s="376"/>
      <c r="K199" s="376"/>
      <c r="L199" s="376"/>
      <c r="M199" s="376"/>
      <c r="N199" s="376"/>
    </row>
    <row r="200" outlineLevel="1">
      <c r="A200" s="425" t="s">
        <v>89</v>
      </c>
      <c r="B200" s="392" t="s">
        <v>90</v>
      </c>
      <c r="C200" s="392" t="s">
        <v>91</v>
      </c>
      <c r="D200" s="426" t="s">
        <v>93</v>
      </c>
      <c r="E200" s="427" t="s">
        <v>94</v>
      </c>
      <c r="F200" s="395" t="s">
        <v>95</v>
      </c>
      <c r="G200" s="396" t="s">
        <v>96</v>
      </c>
      <c r="H200" s="396" t="s">
        <v>97</v>
      </c>
      <c r="I200" s="396" t="s">
        <v>104</v>
      </c>
      <c r="J200" s="396" t="s">
        <v>106</v>
      </c>
      <c r="K200" s="396" t="s">
        <v>109</v>
      </c>
      <c r="L200" s="396" t="s">
        <v>111</v>
      </c>
      <c r="M200" s="392" t="s">
        <v>114</v>
      </c>
      <c r="N200" s="392" t="s">
        <v>116</v>
      </c>
    </row>
    <row r="201" outlineLevel="1">
      <c r="A201" s="372" t="s">
        <v>1349</v>
      </c>
      <c r="B201" s="309">
        <v>46300.0</v>
      </c>
      <c r="C201" s="368" t="str">
        <f t="shared" ref="C201:C215" si="23">IF(B201="", "", TEXT(B201, "ddd"))</f>
        <v>Mon</v>
      </c>
      <c r="D201" s="128">
        <f t="shared" ref="D201:D215" si="24">IF(E201="Yes",0.05,0)
+IF(F201="Yes",0.1,0)
+IF(G201="Yes",0.15,0)
+IF(H201="Yes",0.15,0)
+IF(I201="Yes",0.05,0)
+IF(J201="Yes",0.05,0)
+IF(K201="Yes",0.15,0)
+IF(L201="Yes",0.3,0)
</f>
        <v>1</v>
      </c>
      <c r="E201" s="370" t="s">
        <v>142</v>
      </c>
      <c r="F201" s="7" t="s">
        <v>142</v>
      </c>
      <c r="G201" s="7" t="s">
        <v>142</v>
      </c>
      <c r="H201" s="7" t="s">
        <v>142</v>
      </c>
      <c r="I201" s="7" t="s">
        <v>142</v>
      </c>
      <c r="J201" s="7" t="s">
        <v>142</v>
      </c>
      <c r="K201" s="7" t="s">
        <v>142</v>
      </c>
      <c r="L201" s="7" t="s">
        <v>142</v>
      </c>
      <c r="M201" s="370"/>
      <c r="N201" s="137"/>
    </row>
    <row r="202" outlineLevel="1">
      <c r="A202" s="372" t="s">
        <v>1350</v>
      </c>
      <c r="B202" s="309">
        <v>46300.0</v>
      </c>
      <c r="C202" s="368" t="str">
        <f t="shared" si="23"/>
        <v>Mon</v>
      </c>
      <c r="D202" s="143">
        <f t="shared" si="24"/>
        <v>1</v>
      </c>
      <c r="E202" s="369" t="s">
        <v>142</v>
      </c>
      <c r="F202" s="7" t="s">
        <v>142</v>
      </c>
      <c r="G202" s="7" t="s">
        <v>142</v>
      </c>
      <c r="H202" s="7" t="s">
        <v>142</v>
      </c>
      <c r="I202" s="7" t="s">
        <v>142</v>
      </c>
      <c r="J202" s="7" t="s">
        <v>142</v>
      </c>
      <c r="K202" s="7" t="s">
        <v>142</v>
      </c>
      <c r="L202" s="7" t="s">
        <v>142</v>
      </c>
      <c r="M202" s="370"/>
      <c r="N202" s="137"/>
    </row>
    <row r="203" outlineLevel="1">
      <c r="A203" s="372" t="s">
        <v>1352</v>
      </c>
      <c r="B203" s="309">
        <v>46300.0</v>
      </c>
      <c r="C203" s="368" t="str">
        <f t="shared" si="23"/>
        <v>Mon</v>
      </c>
      <c r="D203" s="128">
        <f t="shared" si="24"/>
        <v>1</v>
      </c>
      <c r="E203" s="370" t="s">
        <v>142</v>
      </c>
      <c r="F203" s="7" t="s">
        <v>142</v>
      </c>
      <c r="G203" s="7" t="s">
        <v>142</v>
      </c>
      <c r="H203" s="7" t="s">
        <v>142</v>
      </c>
      <c r="I203" s="7" t="s">
        <v>142</v>
      </c>
      <c r="J203" s="7" t="s">
        <v>142</v>
      </c>
      <c r="K203" s="7" t="s">
        <v>142</v>
      </c>
      <c r="L203" s="7" t="s">
        <v>142</v>
      </c>
      <c r="M203" s="370"/>
      <c r="N203" s="137"/>
    </row>
    <row r="204" outlineLevel="1">
      <c r="A204" s="372" t="s">
        <v>1353</v>
      </c>
      <c r="B204" s="309">
        <v>46301.0</v>
      </c>
      <c r="C204" s="368" t="str">
        <f t="shared" si="23"/>
        <v>Tue</v>
      </c>
      <c r="D204" s="143">
        <f t="shared" si="24"/>
        <v>1</v>
      </c>
      <c r="E204" s="369" t="s">
        <v>142</v>
      </c>
      <c r="F204" s="7" t="s">
        <v>142</v>
      </c>
      <c r="G204" s="7" t="s">
        <v>142</v>
      </c>
      <c r="H204" s="7" t="s">
        <v>142</v>
      </c>
      <c r="I204" s="7" t="s">
        <v>142</v>
      </c>
      <c r="J204" s="7" t="s">
        <v>142</v>
      </c>
      <c r="K204" s="7" t="s">
        <v>142</v>
      </c>
      <c r="L204" s="7" t="s">
        <v>142</v>
      </c>
      <c r="M204" s="370"/>
      <c r="N204" s="137"/>
    </row>
    <row r="205" outlineLevel="1">
      <c r="A205" s="372" t="s">
        <v>1354</v>
      </c>
      <c r="B205" s="309">
        <v>46301.0</v>
      </c>
      <c r="C205" s="368" t="str">
        <f t="shared" si="23"/>
        <v>Tue</v>
      </c>
      <c r="D205" s="128">
        <f t="shared" si="24"/>
        <v>1</v>
      </c>
      <c r="E205" s="370" t="s">
        <v>142</v>
      </c>
      <c r="F205" s="7" t="s">
        <v>142</v>
      </c>
      <c r="G205" s="7" t="s">
        <v>142</v>
      </c>
      <c r="H205" s="7" t="s">
        <v>142</v>
      </c>
      <c r="I205" s="7" t="s">
        <v>142</v>
      </c>
      <c r="J205" s="7" t="s">
        <v>142</v>
      </c>
      <c r="K205" s="7" t="s">
        <v>142</v>
      </c>
      <c r="L205" s="7" t="s">
        <v>142</v>
      </c>
      <c r="M205" s="370"/>
      <c r="N205" s="137"/>
    </row>
    <row r="206" outlineLevel="1">
      <c r="A206" s="372" t="s">
        <v>1355</v>
      </c>
      <c r="B206" s="309">
        <v>46301.0</v>
      </c>
      <c r="C206" s="368" t="str">
        <f t="shared" si="23"/>
        <v>Tue</v>
      </c>
      <c r="D206" s="143">
        <f t="shared" si="24"/>
        <v>1</v>
      </c>
      <c r="E206" s="369" t="s">
        <v>142</v>
      </c>
      <c r="F206" s="7" t="s">
        <v>142</v>
      </c>
      <c r="G206" s="7" t="s">
        <v>142</v>
      </c>
      <c r="H206" s="7" t="s">
        <v>142</v>
      </c>
      <c r="I206" s="7" t="s">
        <v>142</v>
      </c>
      <c r="J206" s="7" t="s">
        <v>142</v>
      </c>
      <c r="K206" s="7" t="s">
        <v>142</v>
      </c>
      <c r="L206" s="7" t="s">
        <v>142</v>
      </c>
      <c r="M206" s="370"/>
      <c r="N206" s="137"/>
    </row>
    <row r="207" outlineLevel="1">
      <c r="A207" s="372" t="s">
        <v>1356</v>
      </c>
      <c r="B207" s="309">
        <v>46302.0</v>
      </c>
      <c r="C207" s="368" t="str">
        <f t="shared" si="23"/>
        <v>Wed</v>
      </c>
      <c r="D207" s="128">
        <f t="shared" si="24"/>
        <v>1</v>
      </c>
      <c r="E207" s="370" t="s">
        <v>142</v>
      </c>
      <c r="F207" s="7" t="s">
        <v>142</v>
      </c>
      <c r="G207" s="7" t="s">
        <v>142</v>
      </c>
      <c r="H207" s="7" t="s">
        <v>142</v>
      </c>
      <c r="I207" s="7" t="s">
        <v>142</v>
      </c>
      <c r="J207" s="7" t="s">
        <v>142</v>
      </c>
      <c r="K207" s="7" t="s">
        <v>142</v>
      </c>
      <c r="L207" s="7" t="s">
        <v>142</v>
      </c>
      <c r="M207" s="370"/>
      <c r="N207" s="137"/>
    </row>
    <row r="208" outlineLevel="1">
      <c r="A208" s="372" t="s">
        <v>1359</v>
      </c>
      <c r="B208" s="309">
        <v>46302.0</v>
      </c>
      <c r="C208" s="368" t="str">
        <f t="shared" si="23"/>
        <v>Wed</v>
      </c>
      <c r="D208" s="143">
        <f t="shared" si="24"/>
        <v>1</v>
      </c>
      <c r="E208" s="369" t="s">
        <v>142</v>
      </c>
      <c r="F208" s="7" t="s">
        <v>142</v>
      </c>
      <c r="G208" s="7" t="s">
        <v>142</v>
      </c>
      <c r="H208" s="7" t="s">
        <v>142</v>
      </c>
      <c r="I208" s="7" t="s">
        <v>142</v>
      </c>
      <c r="J208" s="7" t="s">
        <v>142</v>
      </c>
      <c r="K208" s="7" t="s">
        <v>142</v>
      </c>
      <c r="L208" s="7" t="s">
        <v>142</v>
      </c>
      <c r="M208" s="370"/>
      <c r="N208" s="137"/>
    </row>
    <row r="209" outlineLevel="1">
      <c r="A209" s="372" t="s">
        <v>1360</v>
      </c>
      <c r="B209" s="309">
        <v>46302.0</v>
      </c>
      <c r="C209" s="368" t="str">
        <f t="shared" si="23"/>
        <v>Wed</v>
      </c>
      <c r="D209" s="128">
        <f t="shared" si="24"/>
        <v>1</v>
      </c>
      <c r="E209" s="370" t="s">
        <v>142</v>
      </c>
      <c r="F209" s="7" t="s">
        <v>142</v>
      </c>
      <c r="G209" s="7" t="s">
        <v>142</v>
      </c>
      <c r="H209" s="7" t="s">
        <v>142</v>
      </c>
      <c r="I209" s="7" t="s">
        <v>142</v>
      </c>
      <c r="J209" s="7" t="s">
        <v>142</v>
      </c>
      <c r="K209" s="7" t="s">
        <v>142</v>
      </c>
      <c r="L209" s="7" t="s">
        <v>142</v>
      </c>
      <c r="M209" s="370"/>
      <c r="N209" s="137"/>
    </row>
    <row r="210" outlineLevel="1">
      <c r="A210" s="372" t="s">
        <v>1361</v>
      </c>
      <c r="B210" s="309">
        <v>46303.0</v>
      </c>
      <c r="C210" s="368" t="str">
        <f t="shared" si="23"/>
        <v>Thu</v>
      </c>
      <c r="D210" s="143">
        <f t="shared" si="24"/>
        <v>1</v>
      </c>
      <c r="E210" s="369" t="s">
        <v>142</v>
      </c>
      <c r="F210" s="7" t="s">
        <v>142</v>
      </c>
      <c r="G210" s="7" t="s">
        <v>142</v>
      </c>
      <c r="H210" s="7" t="s">
        <v>142</v>
      </c>
      <c r="I210" s="7" t="s">
        <v>142</v>
      </c>
      <c r="J210" s="7" t="s">
        <v>142</v>
      </c>
      <c r="K210" s="7" t="s">
        <v>142</v>
      </c>
      <c r="L210" s="7" t="s">
        <v>142</v>
      </c>
      <c r="M210" s="370"/>
      <c r="N210" s="137"/>
    </row>
    <row r="211" outlineLevel="1">
      <c r="A211" s="372" t="s">
        <v>1362</v>
      </c>
      <c r="B211" s="309">
        <v>46303.0</v>
      </c>
      <c r="C211" s="368" t="str">
        <f t="shared" si="23"/>
        <v>Thu</v>
      </c>
      <c r="D211" s="128">
        <f t="shared" si="24"/>
        <v>1</v>
      </c>
      <c r="E211" s="370" t="s">
        <v>142</v>
      </c>
      <c r="F211" s="7" t="s">
        <v>142</v>
      </c>
      <c r="G211" s="7" t="s">
        <v>142</v>
      </c>
      <c r="H211" s="7" t="s">
        <v>142</v>
      </c>
      <c r="I211" s="7" t="s">
        <v>142</v>
      </c>
      <c r="J211" s="7" t="s">
        <v>142</v>
      </c>
      <c r="K211" s="7" t="s">
        <v>142</v>
      </c>
      <c r="L211" s="7" t="s">
        <v>142</v>
      </c>
      <c r="M211" s="370"/>
      <c r="N211" s="137"/>
    </row>
    <row r="212" outlineLevel="1">
      <c r="A212" s="372" t="s">
        <v>1363</v>
      </c>
      <c r="B212" s="309">
        <v>46303.0</v>
      </c>
      <c r="C212" s="368" t="str">
        <f t="shared" si="23"/>
        <v>Thu</v>
      </c>
      <c r="D212" s="143">
        <f t="shared" si="24"/>
        <v>1</v>
      </c>
      <c r="E212" s="369" t="s">
        <v>142</v>
      </c>
      <c r="F212" s="7" t="s">
        <v>142</v>
      </c>
      <c r="G212" s="7" t="s">
        <v>142</v>
      </c>
      <c r="H212" s="7" t="s">
        <v>142</v>
      </c>
      <c r="I212" s="7" t="s">
        <v>142</v>
      </c>
      <c r="J212" s="7" t="s">
        <v>142</v>
      </c>
      <c r="K212" s="7" t="s">
        <v>142</v>
      </c>
      <c r="L212" s="7" t="s">
        <v>142</v>
      </c>
      <c r="M212" s="370"/>
      <c r="N212" s="137"/>
    </row>
    <row r="213" outlineLevel="1">
      <c r="A213" s="372" t="s">
        <v>1365</v>
      </c>
      <c r="B213" s="309">
        <v>46305.0</v>
      </c>
      <c r="C213" s="368" t="str">
        <f t="shared" si="23"/>
        <v>Sat</v>
      </c>
      <c r="D213" s="128">
        <f t="shared" si="24"/>
        <v>1</v>
      </c>
      <c r="E213" s="370" t="s">
        <v>142</v>
      </c>
      <c r="F213" s="7" t="s">
        <v>142</v>
      </c>
      <c r="G213" s="7" t="s">
        <v>142</v>
      </c>
      <c r="H213" s="7" t="s">
        <v>142</v>
      </c>
      <c r="I213" s="7" t="s">
        <v>142</v>
      </c>
      <c r="J213" s="7" t="s">
        <v>142</v>
      </c>
      <c r="K213" s="7" t="s">
        <v>142</v>
      </c>
      <c r="L213" s="7" t="s">
        <v>142</v>
      </c>
      <c r="M213" s="370"/>
      <c r="N213" s="137"/>
    </row>
    <row r="214" outlineLevel="1">
      <c r="A214" s="372" t="s">
        <v>1367</v>
      </c>
      <c r="B214" s="309">
        <v>46305.0</v>
      </c>
      <c r="C214" s="368" t="str">
        <f t="shared" si="23"/>
        <v>Sat</v>
      </c>
      <c r="D214" s="143">
        <f t="shared" si="24"/>
        <v>1</v>
      </c>
      <c r="E214" s="369" t="s">
        <v>142</v>
      </c>
      <c r="F214" s="7" t="s">
        <v>142</v>
      </c>
      <c r="G214" s="7" t="s">
        <v>142</v>
      </c>
      <c r="H214" s="7" t="s">
        <v>142</v>
      </c>
      <c r="I214" s="7" t="s">
        <v>142</v>
      </c>
      <c r="J214" s="7" t="s">
        <v>142</v>
      </c>
      <c r="K214" s="7" t="s">
        <v>142</v>
      </c>
      <c r="L214" s="7" t="s">
        <v>142</v>
      </c>
      <c r="M214" s="370"/>
      <c r="N214" s="137"/>
    </row>
    <row r="215" outlineLevel="1">
      <c r="A215" s="372" t="s">
        <v>1369</v>
      </c>
      <c r="B215" s="309">
        <v>46305.0</v>
      </c>
      <c r="C215" s="368" t="str">
        <f t="shared" si="23"/>
        <v>Sat</v>
      </c>
      <c r="D215" s="128">
        <f t="shared" si="24"/>
        <v>1</v>
      </c>
      <c r="E215" s="370" t="s">
        <v>142</v>
      </c>
      <c r="F215" s="7" t="s">
        <v>142</v>
      </c>
      <c r="G215" s="7" t="s">
        <v>142</v>
      </c>
      <c r="H215" s="7" t="s">
        <v>142</v>
      </c>
      <c r="I215" s="7" t="s">
        <v>142</v>
      </c>
      <c r="J215" s="7" t="s">
        <v>142</v>
      </c>
      <c r="K215" s="7" t="s">
        <v>142</v>
      </c>
      <c r="L215" s="7" t="s">
        <v>142</v>
      </c>
      <c r="M215" s="370"/>
      <c r="N215" s="137"/>
    </row>
    <row r="216" outlineLevel="1">
      <c r="A216" s="373"/>
      <c r="B216" s="373"/>
      <c r="C216" s="374" t="s">
        <v>199</v>
      </c>
      <c r="D216" s="414">
        <f>AVERAGE(D201:D215)</f>
        <v>1</v>
      </c>
      <c r="E216" s="391"/>
      <c r="F216" s="373"/>
      <c r="G216" s="373"/>
      <c r="H216" s="373"/>
      <c r="I216" s="373"/>
      <c r="J216" s="373"/>
      <c r="K216" s="373"/>
      <c r="L216" s="374" t="s">
        <v>199</v>
      </c>
      <c r="M216" s="377">
        <f>SUM(M201:M215)/75*0.1</f>
        <v>0</v>
      </c>
      <c r="N216" s="373"/>
    </row>
    <row r="217">
      <c r="B217" s="215"/>
    </row>
    <row r="218">
      <c r="B218" s="215"/>
    </row>
    <row r="219">
      <c r="B219" s="215"/>
    </row>
    <row r="220">
      <c r="B220" s="215"/>
    </row>
    <row r="221">
      <c r="B221" s="215"/>
    </row>
    <row r="222">
      <c r="B222" s="215"/>
    </row>
    <row r="223">
      <c r="B223" s="215"/>
    </row>
    <row r="224">
      <c r="B224" s="215"/>
    </row>
    <row r="225">
      <c r="B225" s="215"/>
    </row>
    <row r="226">
      <c r="B226" s="215"/>
    </row>
    <row r="227">
      <c r="B227" s="215"/>
    </row>
    <row r="228">
      <c r="B228" s="215"/>
    </row>
    <row r="229">
      <c r="B229" s="215"/>
    </row>
    <row r="230">
      <c r="B230" s="215"/>
    </row>
    <row r="231">
      <c r="B231" s="215"/>
    </row>
    <row r="232">
      <c r="B232" s="215"/>
    </row>
    <row r="233">
      <c r="B233" s="215"/>
    </row>
    <row r="234">
      <c r="B234" s="215"/>
    </row>
    <row r="235">
      <c r="B235" s="215"/>
    </row>
    <row r="236">
      <c r="B236" s="215"/>
    </row>
    <row r="237">
      <c r="B237" s="215"/>
    </row>
    <row r="238">
      <c r="B238" s="215"/>
    </row>
    <row r="239">
      <c r="B239" s="215"/>
    </row>
    <row r="240">
      <c r="B240" s="215"/>
    </row>
    <row r="241">
      <c r="B241" s="215"/>
    </row>
    <row r="242">
      <c r="B242" s="215"/>
    </row>
    <row r="243">
      <c r="B243" s="215"/>
    </row>
    <row r="244">
      <c r="B244" s="215"/>
    </row>
    <row r="245">
      <c r="B245" s="215"/>
    </row>
    <row r="246">
      <c r="B246" s="215"/>
    </row>
    <row r="247">
      <c r="B247" s="215"/>
    </row>
    <row r="248">
      <c r="B248" s="215"/>
    </row>
    <row r="249">
      <c r="B249" s="215"/>
    </row>
    <row r="250">
      <c r="B250" s="215"/>
    </row>
    <row r="251">
      <c r="B251" s="215"/>
    </row>
    <row r="252">
      <c r="B252" s="215"/>
    </row>
    <row r="253">
      <c r="B253" s="215"/>
    </row>
    <row r="254">
      <c r="B254" s="215"/>
    </row>
    <row r="255">
      <c r="B255" s="215"/>
    </row>
    <row r="256">
      <c r="B256" s="215"/>
    </row>
    <row r="257">
      <c r="B257" s="215"/>
    </row>
    <row r="258">
      <c r="B258" s="215"/>
    </row>
    <row r="259">
      <c r="B259" s="215"/>
    </row>
    <row r="260">
      <c r="B260" s="215"/>
    </row>
    <row r="261">
      <c r="B261" s="215"/>
    </row>
    <row r="262">
      <c r="B262" s="215"/>
    </row>
    <row r="263">
      <c r="B263" s="215"/>
    </row>
    <row r="264">
      <c r="B264" s="215"/>
    </row>
    <row r="265">
      <c r="B265" s="215"/>
    </row>
    <row r="266">
      <c r="B266" s="215"/>
    </row>
    <row r="267">
      <c r="B267" s="215"/>
    </row>
    <row r="268">
      <c r="B268" s="215"/>
    </row>
    <row r="269">
      <c r="B269" s="215"/>
    </row>
    <row r="270">
      <c r="B270" s="215"/>
    </row>
    <row r="271">
      <c r="B271" s="215"/>
    </row>
    <row r="272">
      <c r="B272" s="215"/>
    </row>
    <row r="273">
      <c r="B273" s="215"/>
    </row>
    <row r="274">
      <c r="B274" s="215"/>
    </row>
    <row r="275">
      <c r="B275" s="215"/>
    </row>
    <row r="276">
      <c r="B276" s="215"/>
    </row>
    <row r="277">
      <c r="B277" s="215"/>
    </row>
    <row r="278">
      <c r="B278" s="215"/>
    </row>
    <row r="279">
      <c r="B279" s="215"/>
    </row>
    <row r="280">
      <c r="B280" s="215"/>
    </row>
    <row r="281">
      <c r="B281" s="215"/>
    </row>
    <row r="282">
      <c r="B282" s="215"/>
    </row>
    <row r="283">
      <c r="B283" s="215"/>
    </row>
    <row r="284">
      <c r="B284" s="215"/>
    </row>
    <row r="285">
      <c r="B285" s="215"/>
    </row>
    <row r="286">
      <c r="B286" s="215"/>
    </row>
    <row r="287">
      <c r="B287" s="215"/>
    </row>
    <row r="288">
      <c r="B288" s="215"/>
    </row>
    <row r="289">
      <c r="B289" s="215"/>
    </row>
    <row r="290">
      <c r="B290" s="215"/>
    </row>
    <row r="291">
      <c r="B291" s="215"/>
    </row>
    <row r="292">
      <c r="B292" s="215"/>
    </row>
    <row r="293">
      <c r="B293" s="215"/>
    </row>
    <row r="294">
      <c r="B294" s="215"/>
    </row>
    <row r="295">
      <c r="B295" s="215"/>
    </row>
    <row r="296">
      <c r="B296" s="215"/>
    </row>
    <row r="297">
      <c r="B297" s="215"/>
    </row>
    <row r="298">
      <c r="B298" s="215"/>
    </row>
    <row r="299">
      <c r="B299" s="215"/>
    </row>
    <row r="300">
      <c r="B300" s="215"/>
    </row>
    <row r="301">
      <c r="B301" s="215"/>
    </row>
    <row r="302">
      <c r="B302" s="215"/>
    </row>
    <row r="303">
      <c r="B303" s="215"/>
    </row>
    <row r="304">
      <c r="B304" s="215"/>
    </row>
    <row r="305">
      <c r="B305" s="215"/>
    </row>
    <row r="306">
      <c r="B306" s="215"/>
    </row>
    <row r="307">
      <c r="B307" s="215"/>
    </row>
    <row r="308">
      <c r="B308" s="215"/>
    </row>
    <row r="309">
      <c r="B309" s="215"/>
    </row>
    <row r="310">
      <c r="B310" s="215"/>
    </row>
    <row r="311">
      <c r="B311" s="215"/>
    </row>
    <row r="312">
      <c r="B312" s="215"/>
    </row>
    <row r="313">
      <c r="B313" s="215"/>
    </row>
    <row r="314">
      <c r="B314" s="215"/>
    </row>
    <row r="315">
      <c r="B315" s="215"/>
    </row>
    <row r="316">
      <c r="B316" s="215"/>
    </row>
    <row r="317">
      <c r="B317" s="215"/>
    </row>
    <row r="318">
      <c r="B318" s="215"/>
    </row>
    <row r="319">
      <c r="B319" s="215"/>
    </row>
    <row r="320">
      <c r="B320" s="215"/>
    </row>
    <row r="321">
      <c r="B321" s="215"/>
    </row>
    <row r="322">
      <c r="B322" s="215"/>
    </row>
    <row r="323">
      <c r="B323" s="215"/>
    </row>
    <row r="324">
      <c r="B324" s="215"/>
    </row>
    <row r="325">
      <c r="B325" s="215"/>
    </row>
    <row r="326">
      <c r="B326" s="215"/>
    </row>
    <row r="327">
      <c r="B327" s="215"/>
    </row>
    <row r="328">
      <c r="B328" s="215"/>
    </row>
    <row r="329">
      <c r="B329" s="215"/>
    </row>
    <row r="330">
      <c r="B330" s="215"/>
    </row>
    <row r="331">
      <c r="B331" s="215"/>
    </row>
    <row r="332">
      <c r="B332" s="215"/>
    </row>
    <row r="333">
      <c r="B333" s="215"/>
    </row>
    <row r="334">
      <c r="B334" s="215"/>
    </row>
    <row r="335">
      <c r="B335" s="215"/>
    </row>
    <row r="336">
      <c r="B336" s="215"/>
    </row>
    <row r="337">
      <c r="B337" s="215"/>
    </row>
    <row r="338">
      <c r="B338" s="215"/>
    </row>
    <row r="339">
      <c r="B339" s="215"/>
    </row>
    <row r="340">
      <c r="B340" s="215"/>
    </row>
    <row r="341">
      <c r="B341" s="215"/>
    </row>
    <row r="342">
      <c r="B342" s="215"/>
    </row>
    <row r="343">
      <c r="B343" s="215"/>
    </row>
    <row r="344">
      <c r="B344" s="215"/>
    </row>
    <row r="345">
      <c r="B345" s="215"/>
    </row>
    <row r="346">
      <c r="B346" s="215"/>
    </row>
    <row r="347">
      <c r="B347" s="215"/>
    </row>
    <row r="348">
      <c r="B348" s="215"/>
    </row>
    <row r="349">
      <c r="B349" s="215"/>
    </row>
    <row r="350">
      <c r="B350" s="215"/>
    </row>
    <row r="351">
      <c r="B351" s="215"/>
    </row>
    <row r="352">
      <c r="B352" s="215"/>
    </row>
  </sheetData>
  <mergeCells count="12">
    <mergeCell ref="A127:D127"/>
    <mergeCell ref="A145:D145"/>
    <mergeCell ref="A163:D163"/>
    <mergeCell ref="A181:D181"/>
    <mergeCell ref="A199:D199"/>
    <mergeCell ref="A1:D1"/>
    <mergeCell ref="A19:D19"/>
    <mergeCell ref="A37:D37"/>
    <mergeCell ref="A55:D55"/>
    <mergeCell ref="A73:D73"/>
    <mergeCell ref="A91:D91"/>
    <mergeCell ref="A109:D109"/>
  </mergeCells>
  <conditionalFormatting sqref="A1:N216">
    <cfRule type="cellIs" dxfId="10" priority="1" operator="equal">
      <formula>"Absent"</formula>
    </cfRule>
  </conditionalFormatting>
  <conditionalFormatting sqref="A1:N18 A21:B35 C21:D23 E21:L35 C33:D35 A39:B53 C39:D41 E39:L53 C51:D53 A57:B71 C57:D59 E57:L71 C69:D71 A75:B89 C75:D77 E75:L89 C87:D89 A91:N108 A145:N216">
    <cfRule type="cellIs" dxfId="6" priority="2" operator="equal">
      <formula>"LWOP"</formula>
    </cfRule>
  </conditionalFormatting>
  <conditionalFormatting sqref="A1:D1 A19:D19 A37:D37 A55:D55 A73:D73">
    <cfRule type="cellIs" dxfId="7" priority="3" operator="equal">
      <formula>"OFF"</formula>
    </cfRule>
  </conditionalFormatting>
  <conditionalFormatting sqref="A1:D1 A19:D19 A37:D37 A55:D55 A73:D73">
    <cfRule type="cellIs" dxfId="8" priority="4" operator="equal">
      <formula>"A"</formula>
    </cfRule>
  </conditionalFormatting>
  <conditionalFormatting sqref="A1:D1 A19:D19 A37:D37 A55:D55 A73:D73">
    <cfRule type="cellIs" dxfId="9" priority="5" operator="equal">
      <formula>"LWOP"</formula>
    </cfRule>
  </conditionalFormatting>
  <dataValidations>
    <dataValidation type="list" allowBlank="1" showErrorMessage="1" sqref="E3:L17 E21:L35 E39:L53 E57:L71 E75:L89 E93:L107 E111:L125 E129:L143 E147:L161 E165:L179 E183:L197 E201:L215">
      <formula1>"Yes,No"</formula1>
    </dataValidation>
  </dataValidations>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21"/>
    <hyperlink r:id="rId17" ref="A22"/>
    <hyperlink r:id="rId18" ref="A23"/>
    <hyperlink r:id="rId19" ref="A24"/>
    <hyperlink r:id="rId20" ref="A25"/>
    <hyperlink r:id="rId21" ref="A26"/>
    <hyperlink r:id="rId22" ref="A27"/>
    <hyperlink r:id="rId23" ref="A28"/>
    <hyperlink r:id="rId24" ref="A29"/>
    <hyperlink r:id="rId25" ref="A30"/>
    <hyperlink r:id="rId26" ref="A31"/>
    <hyperlink r:id="rId27" ref="A32"/>
    <hyperlink r:id="rId28" ref="A33"/>
    <hyperlink r:id="rId29" ref="A34"/>
    <hyperlink r:id="rId30" ref="A35"/>
    <hyperlink r:id="rId31" ref="A39"/>
    <hyperlink r:id="rId32" ref="A40"/>
    <hyperlink r:id="rId33" ref="A41"/>
    <hyperlink r:id="rId34" ref="A42"/>
    <hyperlink r:id="rId35" ref="A43"/>
    <hyperlink r:id="rId36" ref="A44"/>
    <hyperlink r:id="rId37" ref="A45"/>
    <hyperlink r:id="rId38" ref="A46"/>
    <hyperlink r:id="rId39" ref="A47"/>
    <hyperlink r:id="rId40" ref="A48"/>
    <hyperlink r:id="rId41" ref="A49"/>
    <hyperlink r:id="rId42" ref="A50"/>
    <hyperlink r:id="rId43" ref="A51"/>
    <hyperlink r:id="rId44" ref="A52"/>
    <hyperlink r:id="rId45" ref="A53"/>
    <hyperlink r:id="rId46" ref="A57"/>
    <hyperlink r:id="rId47" ref="A58"/>
    <hyperlink r:id="rId48" ref="A59"/>
    <hyperlink r:id="rId49" ref="A60"/>
    <hyperlink r:id="rId50" ref="A61"/>
    <hyperlink r:id="rId51" ref="A62"/>
    <hyperlink r:id="rId52" ref="A63"/>
    <hyperlink r:id="rId53" ref="A64"/>
    <hyperlink r:id="rId54" ref="A65"/>
    <hyperlink r:id="rId55" ref="A66"/>
    <hyperlink r:id="rId56" ref="A67"/>
    <hyperlink r:id="rId57" ref="A68"/>
    <hyperlink r:id="rId58" ref="A69"/>
    <hyperlink r:id="rId59" ref="A70"/>
    <hyperlink r:id="rId60" ref="A71"/>
    <hyperlink r:id="rId61" ref="A75"/>
    <hyperlink r:id="rId62" ref="A76"/>
    <hyperlink r:id="rId63" ref="A77"/>
    <hyperlink r:id="rId64" ref="A78"/>
    <hyperlink r:id="rId65" ref="A79"/>
    <hyperlink r:id="rId66" ref="A80"/>
    <hyperlink r:id="rId67" ref="A81"/>
    <hyperlink r:id="rId68" ref="A82"/>
    <hyperlink r:id="rId69" ref="A83"/>
    <hyperlink r:id="rId70" ref="A84"/>
    <hyperlink r:id="rId71" ref="A85"/>
    <hyperlink r:id="rId72" ref="A86"/>
    <hyperlink r:id="rId73" ref="A87"/>
    <hyperlink r:id="rId74" ref="A88"/>
    <hyperlink r:id="rId75" ref="A89"/>
    <hyperlink r:id="rId76" ref="A93"/>
    <hyperlink r:id="rId77" ref="A94"/>
    <hyperlink r:id="rId78" ref="A95"/>
    <hyperlink r:id="rId79" ref="A96"/>
    <hyperlink r:id="rId80" ref="A97"/>
    <hyperlink r:id="rId81" ref="A98"/>
    <hyperlink r:id="rId82" ref="A99"/>
    <hyperlink r:id="rId83" ref="A100"/>
    <hyperlink r:id="rId84" ref="A101"/>
    <hyperlink r:id="rId85" ref="A102"/>
    <hyperlink r:id="rId86" ref="A103"/>
    <hyperlink r:id="rId87" ref="A104"/>
    <hyperlink r:id="rId88" ref="A111"/>
    <hyperlink r:id="rId89" ref="A112"/>
    <hyperlink r:id="rId90" ref="A113"/>
    <hyperlink r:id="rId91" ref="A114"/>
    <hyperlink r:id="rId92" ref="A115"/>
    <hyperlink r:id="rId93" ref="A116"/>
    <hyperlink r:id="rId94" ref="A117"/>
    <hyperlink r:id="rId95" ref="A118"/>
    <hyperlink r:id="rId96" ref="A119"/>
    <hyperlink r:id="rId97" ref="A120"/>
    <hyperlink r:id="rId98" ref="A121"/>
    <hyperlink r:id="rId99" ref="A122"/>
    <hyperlink r:id="rId100" ref="A123"/>
    <hyperlink r:id="rId101" ref="A124"/>
    <hyperlink r:id="rId102" ref="A125"/>
    <hyperlink r:id="rId103" ref="A129"/>
    <hyperlink r:id="rId104" ref="A130"/>
    <hyperlink r:id="rId105" ref="A131"/>
    <hyperlink r:id="rId106" ref="A132"/>
    <hyperlink r:id="rId107" ref="A133"/>
    <hyperlink r:id="rId108" ref="A134"/>
    <hyperlink r:id="rId109" ref="A135"/>
    <hyperlink r:id="rId110" ref="A136"/>
    <hyperlink r:id="rId111" ref="A137"/>
    <hyperlink r:id="rId112" ref="A138"/>
    <hyperlink r:id="rId113" ref="A139"/>
    <hyperlink r:id="rId114" ref="A140"/>
    <hyperlink r:id="rId115" ref="A141"/>
    <hyperlink r:id="rId116" ref="A142"/>
    <hyperlink r:id="rId117" ref="A143"/>
    <hyperlink r:id="rId118" ref="A147"/>
    <hyperlink r:id="rId119" ref="A148"/>
    <hyperlink r:id="rId120" ref="A149"/>
    <hyperlink r:id="rId121" ref="A150"/>
    <hyperlink r:id="rId122" ref="A151"/>
    <hyperlink r:id="rId123" ref="A152"/>
    <hyperlink r:id="rId124" ref="A153"/>
    <hyperlink r:id="rId125" ref="A154"/>
    <hyperlink r:id="rId126" ref="A155"/>
    <hyperlink r:id="rId127" ref="A156"/>
    <hyperlink r:id="rId128" ref="A157"/>
    <hyperlink r:id="rId129" ref="A158"/>
    <hyperlink r:id="rId130" ref="A159"/>
    <hyperlink r:id="rId131" ref="A160"/>
    <hyperlink r:id="rId132" ref="A161"/>
    <hyperlink r:id="rId133" ref="A165"/>
    <hyperlink r:id="rId134" ref="A166"/>
    <hyperlink r:id="rId135" ref="A167"/>
    <hyperlink r:id="rId136" ref="A168"/>
    <hyperlink r:id="rId137" ref="A169"/>
    <hyperlink r:id="rId138" ref="A170"/>
    <hyperlink r:id="rId139" ref="A171"/>
    <hyperlink r:id="rId140" ref="A172"/>
    <hyperlink r:id="rId141" ref="A173"/>
    <hyperlink r:id="rId142" ref="A174"/>
    <hyperlink r:id="rId143" ref="A175"/>
    <hyperlink r:id="rId144" ref="A176"/>
    <hyperlink r:id="rId145" ref="A177"/>
    <hyperlink r:id="rId146" ref="A178"/>
    <hyperlink r:id="rId147" ref="A179"/>
    <hyperlink r:id="rId148" ref="A183"/>
    <hyperlink r:id="rId149" ref="A184"/>
    <hyperlink r:id="rId150" ref="A185"/>
    <hyperlink r:id="rId151" ref="A186"/>
    <hyperlink r:id="rId152" ref="A187"/>
    <hyperlink r:id="rId153" ref="A188"/>
    <hyperlink r:id="rId154" ref="A189"/>
    <hyperlink r:id="rId155" ref="A190"/>
    <hyperlink r:id="rId156" ref="A191"/>
    <hyperlink r:id="rId157" ref="A192"/>
    <hyperlink r:id="rId158" ref="A193"/>
    <hyperlink r:id="rId159" ref="A194"/>
    <hyperlink r:id="rId160" ref="A195"/>
    <hyperlink r:id="rId161" ref="A196"/>
    <hyperlink r:id="rId162" ref="A197"/>
    <hyperlink r:id="rId163" ref="A201"/>
    <hyperlink r:id="rId164" ref="A202"/>
    <hyperlink r:id="rId165" ref="A203"/>
    <hyperlink r:id="rId166" ref="A204"/>
    <hyperlink r:id="rId167" ref="A205"/>
    <hyperlink r:id="rId168" ref="A206"/>
    <hyperlink r:id="rId169" ref="A207"/>
    <hyperlink r:id="rId170" ref="A208"/>
    <hyperlink r:id="rId171" ref="A209"/>
    <hyperlink r:id="rId172" ref="A210"/>
    <hyperlink r:id="rId173" ref="A211"/>
    <hyperlink r:id="rId174" ref="A212"/>
    <hyperlink r:id="rId175" ref="A213"/>
    <hyperlink r:id="rId176" ref="A214"/>
    <hyperlink r:id="rId177" ref="A215"/>
  </hyperlinks>
  <drawing r:id="rId178"/>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41.5"/>
    <col hidden="1" min="13" max="13" width="12.63"/>
    <col customWidth="1" min="14" max="14" width="226.5"/>
  </cols>
  <sheetData>
    <row r="1" collapsed="1">
      <c r="A1" s="85" t="s">
        <v>286</v>
      </c>
      <c r="B1" s="86"/>
      <c r="C1" s="86"/>
      <c r="D1" s="88"/>
      <c r="E1" s="89"/>
      <c r="F1" s="89"/>
      <c r="G1" s="91"/>
      <c r="H1" s="91"/>
      <c r="I1" s="91"/>
      <c r="J1" s="91"/>
      <c r="K1" s="91"/>
      <c r="L1" s="91"/>
      <c r="M1" s="93"/>
      <c r="N1" s="95"/>
    </row>
    <row r="2" hidden="1" outlineLevel="1">
      <c r="A2" s="96" t="s">
        <v>89</v>
      </c>
      <c r="B2" s="98" t="s">
        <v>90</v>
      </c>
      <c r="C2" s="98" t="s">
        <v>91</v>
      </c>
      <c r="D2" s="101" t="s">
        <v>93</v>
      </c>
      <c r="E2" s="102" t="s">
        <v>94</v>
      </c>
      <c r="F2" s="102" t="s">
        <v>95</v>
      </c>
      <c r="G2" s="105" t="s">
        <v>96</v>
      </c>
      <c r="H2" s="107" t="s">
        <v>97</v>
      </c>
      <c r="I2" s="107" t="s">
        <v>104</v>
      </c>
      <c r="J2" s="105" t="s">
        <v>106</v>
      </c>
      <c r="K2" s="107" t="s">
        <v>109</v>
      </c>
      <c r="L2" s="105" t="s">
        <v>111</v>
      </c>
      <c r="M2" s="98" t="s">
        <v>114</v>
      </c>
      <c r="N2" s="101" t="s">
        <v>116</v>
      </c>
    </row>
    <row r="3" hidden="1" outlineLevel="1">
      <c r="A3" s="113" t="s">
        <v>1358</v>
      </c>
      <c r="B3" s="309">
        <v>46230.0</v>
      </c>
      <c r="C3" s="118" t="str">
        <f t="shared" ref="C3:C17" si="1">IF(B3="", "", TEXT(B3, "ddd"))</f>
        <v>Mon</v>
      </c>
      <c r="D3" s="128">
        <f t="shared" ref="D3:D17" si="2">IF(E3="Yes",0.05,0)
+IF(F3="Yes",0.1,0)
+IF(G3="Yes",0.15,0)
+IF(H3="Yes",0.15,0)
+IF(I3="Yes",0.05,0)
+IF(J3="Yes",0.05,0)
+IF(K3="Yes",0.15,0)
+IF(L3="Yes",0.3,0)
</f>
        <v>1</v>
      </c>
      <c r="E3" s="131" t="s">
        <v>142</v>
      </c>
      <c r="F3" s="134" t="s">
        <v>142</v>
      </c>
      <c r="G3" s="134" t="s">
        <v>142</v>
      </c>
      <c r="H3" s="134" t="s">
        <v>142</v>
      </c>
      <c r="I3" s="134" t="s">
        <v>142</v>
      </c>
      <c r="J3" s="134" t="s">
        <v>142</v>
      </c>
      <c r="K3" s="134" t="s">
        <v>142</v>
      </c>
      <c r="L3" s="134" t="s">
        <v>142</v>
      </c>
      <c r="M3" s="136"/>
      <c r="N3" s="137"/>
    </row>
    <row r="4" hidden="1" outlineLevel="1">
      <c r="A4" s="113" t="s">
        <v>1364</v>
      </c>
      <c r="B4" s="309">
        <v>46230.0</v>
      </c>
      <c r="C4" s="118" t="str">
        <f t="shared" si="1"/>
        <v>Mon</v>
      </c>
      <c r="D4" s="143">
        <f t="shared" si="2"/>
        <v>1</v>
      </c>
      <c r="E4" s="144" t="s">
        <v>142</v>
      </c>
      <c r="F4" s="134" t="s">
        <v>142</v>
      </c>
      <c r="G4" s="134" t="s">
        <v>142</v>
      </c>
      <c r="H4" s="134" t="s">
        <v>142</v>
      </c>
      <c r="I4" s="134" t="s">
        <v>142</v>
      </c>
      <c r="J4" s="134" t="s">
        <v>142</v>
      </c>
      <c r="K4" s="134" t="s">
        <v>142</v>
      </c>
      <c r="L4" s="134" t="s">
        <v>142</v>
      </c>
      <c r="M4" s="136"/>
      <c r="N4" s="131"/>
    </row>
    <row r="5" hidden="1" outlineLevel="1">
      <c r="A5" s="113" t="s">
        <v>1366</v>
      </c>
      <c r="B5" s="309">
        <v>46230.0</v>
      </c>
      <c r="C5" s="118" t="str">
        <f t="shared" si="1"/>
        <v>Mon</v>
      </c>
      <c r="D5" s="128">
        <f t="shared" si="2"/>
        <v>1</v>
      </c>
      <c r="E5" s="131" t="s">
        <v>142</v>
      </c>
      <c r="F5" s="134" t="s">
        <v>142</v>
      </c>
      <c r="G5" s="134" t="s">
        <v>142</v>
      </c>
      <c r="H5" s="134" t="s">
        <v>142</v>
      </c>
      <c r="I5" s="134" t="s">
        <v>142</v>
      </c>
      <c r="J5" s="134" t="s">
        <v>142</v>
      </c>
      <c r="K5" s="134" t="s">
        <v>142</v>
      </c>
      <c r="L5" s="134" t="s">
        <v>142</v>
      </c>
      <c r="M5" s="136"/>
      <c r="N5" s="131"/>
    </row>
    <row r="6" hidden="1" outlineLevel="1">
      <c r="A6" s="113" t="s">
        <v>1368</v>
      </c>
      <c r="B6" s="309">
        <v>46231.0</v>
      </c>
      <c r="C6" s="118" t="str">
        <f t="shared" si="1"/>
        <v>Tue</v>
      </c>
      <c r="D6" s="143">
        <f t="shared" si="2"/>
        <v>1</v>
      </c>
      <c r="E6" s="144" t="s">
        <v>142</v>
      </c>
      <c r="F6" s="134" t="s">
        <v>142</v>
      </c>
      <c r="G6" s="134" t="s">
        <v>142</v>
      </c>
      <c r="H6" s="134" t="s">
        <v>142</v>
      </c>
      <c r="I6" s="134" t="s">
        <v>142</v>
      </c>
      <c r="J6" s="134" t="s">
        <v>142</v>
      </c>
      <c r="K6" s="134" t="s">
        <v>142</v>
      </c>
      <c r="L6" s="134" t="s">
        <v>142</v>
      </c>
      <c r="M6" s="136"/>
      <c r="N6" s="137"/>
    </row>
    <row r="7" hidden="1" outlineLevel="1">
      <c r="A7" s="113" t="s">
        <v>1370</v>
      </c>
      <c r="B7" s="309">
        <v>46231.0</v>
      </c>
      <c r="C7" s="118" t="str">
        <f t="shared" si="1"/>
        <v>Tue</v>
      </c>
      <c r="D7" s="128">
        <f t="shared" si="2"/>
        <v>1</v>
      </c>
      <c r="E7" s="131" t="s">
        <v>142</v>
      </c>
      <c r="F7" s="134" t="s">
        <v>142</v>
      </c>
      <c r="G7" s="134" t="s">
        <v>142</v>
      </c>
      <c r="H7" s="134" t="s">
        <v>142</v>
      </c>
      <c r="I7" s="134" t="s">
        <v>142</v>
      </c>
      <c r="J7" s="134" t="s">
        <v>142</v>
      </c>
      <c r="K7" s="134" t="s">
        <v>142</v>
      </c>
      <c r="L7" s="134" t="s">
        <v>142</v>
      </c>
      <c r="M7" s="136"/>
      <c r="N7" s="137"/>
    </row>
    <row r="8" hidden="1" outlineLevel="1">
      <c r="A8" s="113" t="s">
        <v>1371</v>
      </c>
      <c r="B8" s="309">
        <v>46231.0</v>
      </c>
      <c r="C8" s="118" t="str">
        <f t="shared" si="1"/>
        <v>Tue</v>
      </c>
      <c r="D8" s="143">
        <f t="shared" si="2"/>
        <v>1</v>
      </c>
      <c r="E8" s="144" t="s">
        <v>142</v>
      </c>
      <c r="F8" s="134" t="s">
        <v>142</v>
      </c>
      <c r="G8" s="134" t="s">
        <v>142</v>
      </c>
      <c r="H8" s="134" t="s">
        <v>142</v>
      </c>
      <c r="I8" s="134" t="s">
        <v>142</v>
      </c>
      <c r="J8" s="134" t="s">
        <v>142</v>
      </c>
      <c r="K8" s="134" t="s">
        <v>142</v>
      </c>
      <c r="L8" s="134" t="s">
        <v>142</v>
      </c>
      <c r="M8" s="136"/>
      <c r="N8" s="137"/>
    </row>
    <row r="9" hidden="1" outlineLevel="1">
      <c r="A9" s="113" t="s">
        <v>1372</v>
      </c>
      <c r="B9" s="309">
        <v>46232.0</v>
      </c>
      <c r="C9" s="118" t="str">
        <f t="shared" si="1"/>
        <v>Wed</v>
      </c>
      <c r="D9" s="128">
        <f t="shared" si="2"/>
        <v>1</v>
      </c>
      <c r="E9" s="131" t="s">
        <v>142</v>
      </c>
      <c r="F9" s="134" t="s">
        <v>142</v>
      </c>
      <c r="G9" s="134" t="s">
        <v>142</v>
      </c>
      <c r="H9" s="134" t="s">
        <v>142</v>
      </c>
      <c r="I9" s="134" t="s">
        <v>142</v>
      </c>
      <c r="J9" s="134" t="s">
        <v>142</v>
      </c>
      <c r="K9" s="134" t="s">
        <v>142</v>
      </c>
      <c r="L9" s="134" t="s">
        <v>142</v>
      </c>
      <c r="M9" s="136"/>
      <c r="N9" s="137"/>
    </row>
    <row r="10" hidden="1" outlineLevel="1">
      <c r="A10" s="113" t="s">
        <v>1373</v>
      </c>
      <c r="B10" s="309">
        <v>46232.0</v>
      </c>
      <c r="C10" s="118" t="str">
        <f t="shared" si="1"/>
        <v>Wed</v>
      </c>
      <c r="D10" s="143">
        <f t="shared" si="2"/>
        <v>1</v>
      </c>
      <c r="E10" s="144" t="s">
        <v>142</v>
      </c>
      <c r="F10" s="134" t="s">
        <v>142</v>
      </c>
      <c r="G10" s="134" t="s">
        <v>142</v>
      </c>
      <c r="H10" s="134" t="s">
        <v>142</v>
      </c>
      <c r="I10" s="134" t="s">
        <v>142</v>
      </c>
      <c r="J10" s="134" t="s">
        <v>142</v>
      </c>
      <c r="K10" s="134" t="s">
        <v>142</v>
      </c>
      <c r="L10" s="134" t="s">
        <v>142</v>
      </c>
      <c r="M10" s="136"/>
      <c r="N10" s="131"/>
    </row>
    <row r="11" hidden="1" outlineLevel="1">
      <c r="A11" s="113" t="s">
        <v>1374</v>
      </c>
      <c r="B11" s="309">
        <v>46232.0</v>
      </c>
      <c r="C11" s="118" t="str">
        <f t="shared" si="1"/>
        <v>Wed</v>
      </c>
      <c r="D11" s="128">
        <f t="shared" si="2"/>
        <v>1</v>
      </c>
      <c r="E11" s="131" t="s">
        <v>142</v>
      </c>
      <c r="F11" s="134" t="s">
        <v>142</v>
      </c>
      <c r="G11" s="134" t="s">
        <v>142</v>
      </c>
      <c r="H11" s="134" t="s">
        <v>142</v>
      </c>
      <c r="I11" s="134" t="s">
        <v>142</v>
      </c>
      <c r="J11" s="134" t="s">
        <v>142</v>
      </c>
      <c r="K11" s="134" t="s">
        <v>142</v>
      </c>
      <c r="L11" s="134" t="s">
        <v>142</v>
      </c>
      <c r="M11" s="136"/>
      <c r="N11" s="137"/>
    </row>
    <row r="12" hidden="1" outlineLevel="1">
      <c r="A12" s="113" t="s">
        <v>1375</v>
      </c>
      <c r="B12" s="309">
        <v>46233.0</v>
      </c>
      <c r="C12" s="118" t="str">
        <f t="shared" si="1"/>
        <v>Thu</v>
      </c>
      <c r="D12" s="143">
        <f t="shared" si="2"/>
        <v>1</v>
      </c>
      <c r="E12" s="144" t="s">
        <v>142</v>
      </c>
      <c r="F12" s="134" t="s">
        <v>142</v>
      </c>
      <c r="G12" s="134" t="s">
        <v>142</v>
      </c>
      <c r="H12" s="134" t="s">
        <v>142</v>
      </c>
      <c r="I12" s="134" t="s">
        <v>142</v>
      </c>
      <c r="J12" s="134" t="s">
        <v>142</v>
      </c>
      <c r="K12" s="134" t="s">
        <v>142</v>
      </c>
      <c r="L12" s="134" t="s">
        <v>142</v>
      </c>
      <c r="M12" s="136"/>
      <c r="N12" s="131"/>
    </row>
    <row r="13" hidden="1" outlineLevel="1">
      <c r="A13" s="113" t="s">
        <v>1376</v>
      </c>
      <c r="B13" s="309">
        <v>46233.0</v>
      </c>
      <c r="C13" s="118" t="str">
        <f t="shared" si="1"/>
        <v>Thu</v>
      </c>
      <c r="D13" s="128">
        <f t="shared" si="2"/>
        <v>1</v>
      </c>
      <c r="E13" s="131" t="s">
        <v>142</v>
      </c>
      <c r="F13" s="134" t="s">
        <v>142</v>
      </c>
      <c r="G13" s="134" t="s">
        <v>142</v>
      </c>
      <c r="H13" s="134" t="s">
        <v>142</v>
      </c>
      <c r="I13" s="134" t="s">
        <v>142</v>
      </c>
      <c r="J13" s="134" t="s">
        <v>142</v>
      </c>
      <c r="K13" s="134" t="s">
        <v>142</v>
      </c>
      <c r="L13" s="134" t="s">
        <v>142</v>
      </c>
      <c r="M13" s="136"/>
      <c r="N13" s="131"/>
    </row>
    <row r="14" hidden="1" outlineLevel="1">
      <c r="A14" s="113" t="s">
        <v>1377</v>
      </c>
      <c r="B14" s="309">
        <v>46233.0</v>
      </c>
      <c r="C14" s="118" t="str">
        <f t="shared" si="1"/>
        <v>Thu</v>
      </c>
      <c r="D14" s="143">
        <f t="shared" si="2"/>
        <v>1</v>
      </c>
      <c r="E14" s="144" t="s">
        <v>142</v>
      </c>
      <c r="F14" s="134" t="s">
        <v>142</v>
      </c>
      <c r="G14" s="134" t="s">
        <v>142</v>
      </c>
      <c r="H14" s="134" t="s">
        <v>142</v>
      </c>
      <c r="I14" s="134" t="s">
        <v>142</v>
      </c>
      <c r="J14" s="134" t="s">
        <v>142</v>
      </c>
      <c r="K14" s="134" t="s">
        <v>142</v>
      </c>
      <c r="L14" s="134" t="s">
        <v>142</v>
      </c>
      <c r="M14" s="136"/>
      <c r="N14" s="131"/>
    </row>
    <row r="15" hidden="1" outlineLevel="1">
      <c r="A15" s="113" t="s">
        <v>1378</v>
      </c>
      <c r="B15" s="309">
        <v>46234.0</v>
      </c>
      <c r="C15" s="118" t="str">
        <f t="shared" si="1"/>
        <v>Fri</v>
      </c>
      <c r="D15" s="128">
        <f t="shared" si="2"/>
        <v>1</v>
      </c>
      <c r="E15" s="131" t="s">
        <v>142</v>
      </c>
      <c r="F15" s="134" t="s">
        <v>142</v>
      </c>
      <c r="G15" s="134" t="s">
        <v>142</v>
      </c>
      <c r="H15" s="134" t="s">
        <v>142</v>
      </c>
      <c r="I15" s="134" t="s">
        <v>142</v>
      </c>
      <c r="J15" s="134" t="s">
        <v>142</v>
      </c>
      <c r="K15" s="134" t="s">
        <v>142</v>
      </c>
      <c r="L15" s="134" t="s">
        <v>142</v>
      </c>
      <c r="M15" s="136"/>
      <c r="N15" s="131"/>
    </row>
    <row r="16" hidden="1" outlineLevel="1">
      <c r="A16" s="113" t="s">
        <v>1379</v>
      </c>
      <c r="B16" s="309">
        <v>46234.0</v>
      </c>
      <c r="C16" s="118" t="str">
        <f t="shared" si="1"/>
        <v>Fri</v>
      </c>
      <c r="D16" s="143">
        <f t="shared" si="2"/>
        <v>1</v>
      </c>
      <c r="E16" s="144" t="s">
        <v>142</v>
      </c>
      <c r="F16" s="134" t="s">
        <v>142</v>
      </c>
      <c r="G16" s="134" t="s">
        <v>142</v>
      </c>
      <c r="H16" s="134" t="s">
        <v>142</v>
      </c>
      <c r="I16" s="134" t="s">
        <v>142</v>
      </c>
      <c r="J16" s="134" t="s">
        <v>142</v>
      </c>
      <c r="K16" s="134" t="s">
        <v>142</v>
      </c>
      <c r="L16" s="134" t="s">
        <v>142</v>
      </c>
      <c r="M16" s="136"/>
      <c r="N16" s="131"/>
    </row>
    <row r="17" ht="15.0" hidden="1" customHeight="1" outlineLevel="1">
      <c r="A17" s="113" t="s">
        <v>1380</v>
      </c>
      <c r="B17" s="309">
        <v>46234.0</v>
      </c>
      <c r="C17" s="118" t="str">
        <f t="shared" si="1"/>
        <v>Fri</v>
      </c>
      <c r="D17" s="128">
        <f t="shared" si="2"/>
        <v>1</v>
      </c>
      <c r="E17" s="131" t="s">
        <v>142</v>
      </c>
      <c r="F17" s="134" t="s">
        <v>142</v>
      </c>
      <c r="G17" s="134" t="s">
        <v>142</v>
      </c>
      <c r="H17" s="134" t="s">
        <v>142</v>
      </c>
      <c r="I17" s="134" t="s">
        <v>142</v>
      </c>
      <c r="J17" s="134" t="s">
        <v>142</v>
      </c>
      <c r="K17" s="134" t="s">
        <v>142</v>
      </c>
      <c r="L17" s="134" t="s">
        <v>142</v>
      </c>
      <c r="M17" s="136"/>
      <c r="N17" s="131"/>
    </row>
    <row r="18" hidden="1" outlineLevel="1">
      <c r="B18" s="215"/>
      <c r="C18" s="216" t="s">
        <v>199</v>
      </c>
      <c r="D18" s="217">
        <f>AVERAGE(D3:D17)</f>
        <v>1</v>
      </c>
      <c r="E18" s="218"/>
      <c r="L18" s="216" t="s">
        <v>199</v>
      </c>
      <c r="M18" s="217">
        <f>SUM(M3:M17)/75*0.1</f>
        <v>0</v>
      </c>
    </row>
    <row r="19" collapsed="1">
      <c r="A19" s="85" t="s">
        <v>315</v>
      </c>
      <c r="B19" s="86"/>
      <c r="C19" s="86"/>
      <c r="D19" s="88"/>
      <c r="E19" s="89"/>
      <c r="F19" s="89"/>
      <c r="G19" s="91"/>
      <c r="H19" s="91"/>
      <c r="I19" s="91"/>
      <c r="J19" s="91"/>
      <c r="K19" s="91"/>
      <c r="L19" s="91"/>
      <c r="M19" s="93"/>
      <c r="N19" s="95"/>
    </row>
    <row r="20" hidden="1" outlineLevel="1">
      <c r="A20" s="96" t="s">
        <v>89</v>
      </c>
      <c r="B20" s="98" t="s">
        <v>90</v>
      </c>
      <c r="C20" s="98" t="s">
        <v>91</v>
      </c>
      <c r="D20" s="101" t="s">
        <v>93</v>
      </c>
      <c r="E20" s="102" t="s">
        <v>94</v>
      </c>
      <c r="F20" s="102" t="s">
        <v>95</v>
      </c>
      <c r="G20" s="105" t="s">
        <v>96</v>
      </c>
      <c r="H20" s="107" t="s">
        <v>97</v>
      </c>
      <c r="I20" s="107" t="s">
        <v>104</v>
      </c>
      <c r="J20" s="105" t="s">
        <v>106</v>
      </c>
      <c r="K20" s="107" t="s">
        <v>109</v>
      </c>
      <c r="L20" s="105" t="s">
        <v>111</v>
      </c>
      <c r="M20" s="98" t="s">
        <v>114</v>
      </c>
      <c r="N20" s="101" t="s">
        <v>116</v>
      </c>
    </row>
    <row r="21" hidden="1" outlineLevel="1">
      <c r="A21" s="353" t="s">
        <v>1381</v>
      </c>
      <c r="B21" s="309">
        <v>46237.0</v>
      </c>
      <c r="C21" s="118" t="str">
        <f t="shared" ref="C21:C35" si="3">IF(B21="", "", TEXT(B21, "ddd"))</f>
        <v>Mon</v>
      </c>
      <c r="D21" s="128">
        <f t="shared" ref="D21:D35" si="4">IF(E21="Yes",0.05,0)
+IF(F21="Yes",0.1,0)
+IF(G21="Yes",0.15,0)
+IF(H21="Yes",0.15,0)
+IF(I21="Yes",0.05,0)
+IF(J21="Yes",0.05,0)
+IF(K21="Yes",0.15,0)
+IF(L21="Yes",0.3,0)
</f>
        <v>1</v>
      </c>
      <c r="E21" s="131" t="s">
        <v>142</v>
      </c>
      <c r="F21" s="134" t="s">
        <v>142</v>
      </c>
      <c r="G21" s="134" t="s">
        <v>142</v>
      </c>
      <c r="H21" s="134" t="s">
        <v>142</v>
      </c>
      <c r="I21" s="134" t="s">
        <v>142</v>
      </c>
      <c r="J21" s="134" t="s">
        <v>142</v>
      </c>
      <c r="K21" s="134" t="s">
        <v>142</v>
      </c>
      <c r="L21" s="134" t="s">
        <v>142</v>
      </c>
      <c r="M21" s="134" t="s">
        <v>142</v>
      </c>
      <c r="N21" s="131"/>
    </row>
    <row r="22" hidden="1" outlineLevel="1">
      <c r="A22" s="353" t="s">
        <v>1383</v>
      </c>
      <c r="B22" s="309">
        <v>46237.0</v>
      </c>
      <c r="C22" s="118" t="str">
        <f t="shared" si="3"/>
        <v>Mon</v>
      </c>
      <c r="D22" s="143">
        <f t="shared" si="4"/>
        <v>1</v>
      </c>
      <c r="E22" s="144" t="s">
        <v>142</v>
      </c>
      <c r="F22" s="134" t="s">
        <v>142</v>
      </c>
      <c r="G22" s="134" t="s">
        <v>142</v>
      </c>
      <c r="H22" s="134" t="s">
        <v>142</v>
      </c>
      <c r="I22" s="134" t="s">
        <v>142</v>
      </c>
      <c r="J22" s="134" t="s">
        <v>142</v>
      </c>
      <c r="K22" s="134" t="s">
        <v>142</v>
      </c>
      <c r="L22" s="134" t="s">
        <v>142</v>
      </c>
      <c r="M22" s="134" t="s">
        <v>142</v>
      </c>
      <c r="N22" s="131"/>
    </row>
    <row r="23" hidden="1" outlineLevel="1">
      <c r="A23" s="353" t="s">
        <v>1384</v>
      </c>
      <c r="B23" s="309">
        <v>46237.0</v>
      </c>
      <c r="C23" s="118" t="str">
        <f t="shared" si="3"/>
        <v>Mon</v>
      </c>
      <c r="D23" s="128">
        <f t="shared" si="4"/>
        <v>1</v>
      </c>
      <c r="E23" s="131" t="s">
        <v>142</v>
      </c>
      <c r="F23" s="134" t="s">
        <v>142</v>
      </c>
      <c r="G23" s="134" t="s">
        <v>142</v>
      </c>
      <c r="H23" s="134" t="s">
        <v>142</v>
      </c>
      <c r="I23" s="134" t="s">
        <v>142</v>
      </c>
      <c r="J23" s="134" t="s">
        <v>142</v>
      </c>
      <c r="K23" s="134" t="s">
        <v>142</v>
      </c>
      <c r="L23" s="134" t="s">
        <v>142</v>
      </c>
      <c r="M23" s="134" t="s">
        <v>142</v>
      </c>
      <c r="N23" s="131"/>
    </row>
    <row r="24" hidden="1" outlineLevel="1">
      <c r="A24" s="353" t="s">
        <v>1386</v>
      </c>
      <c r="B24" s="309">
        <v>46238.0</v>
      </c>
      <c r="C24" s="118" t="str">
        <f t="shared" si="3"/>
        <v>Tue</v>
      </c>
      <c r="D24" s="143">
        <f t="shared" si="4"/>
        <v>1</v>
      </c>
      <c r="E24" s="144" t="s">
        <v>142</v>
      </c>
      <c r="F24" s="134" t="s">
        <v>142</v>
      </c>
      <c r="G24" s="134" t="s">
        <v>142</v>
      </c>
      <c r="H24" s="134" t="s">
        <v>142</v>
      </c>
      <c r="I24" s="134" t="s">
        <v>142</v>
      </c>
      <c r="J24" s="134" t="s">
        <v>142</v>
      </c>
      <c r="K24" s="134" t="s">
        <v>142</v>
      </c>
      <c r="L24" s="134" t="s">
        <v>142</v>
      </c>
      <c r="M24" s="134" t="s">
        <v>142</v>
      </c>
      <c r="N24" s="131"/>
    </row>
    <row r="25" hidden="1" outlineLevel="1">
      <c r="A25" s="353" t="s">
        <v>1387</v>
      </c>
      <c r="B25" s="309">
        <v>46238.0</v>
      </c>
      <c r="C25" s="118" t="str">
        <f t="shared" si="3"/>
        <v>Tue</v>
      </c>
      <c r="D25" s="128">
        <f t="shared" si="4"/>
        <v>1</v>
      </c>
      <c r="E25" s="131" t="s">
        <v>142</v>
      </c>
      <c r="F25" s="134" t="s">
        <v>142</v>
      </c>
      <c r="G25" s="134" t="s">
        <v>142</v>
      </c>
      <c r="H25" s="134" t="s">
        <v>142</v>
      </c>
      <c r="I25" s="134" t="s">
        <v>142</v>
      </c>
      <c r="J25" s="134" t="s">
        <v>142</v>
      </c>
      <c r="K25" s="134" t="s">
        <v>142</v>
      </c>
      <c r="L25" s="134" t="s">
        <v>142</v>
      </c>
      <c r="M25" s="134" t="s">
        <v>142</v>
      </c>
      <c r="N25" s="131"/>
    </row>
    <row r="26" hidden="1" outlineLevel="1">
      <c r="A26" s="353" t="s">
        <v>1388</v>
      </c>
      <c r="B26" s="309">
        <v>46238.0</v>
      </c>
      <c r="C26" s="118" t="str">
        <f t="shared" si="3"/>
        <v>Tue</v>
      </c>
      <c r="D26" s="143">
        <f t="shared" si="4"/>
        <v>1</v>
      </c>
      <c r="E26" s="144" t="s">
        <v>142</v>
      </c>
      <c r="F26" s="134" t="s">
        <v>142</v>
      </c>
      <c r="G26" s="134" t="s">
        <v>142</v>
      </c>
      <c r="H26" s="134" t="s">
        <v>142</v>
      </c>
      <c r="I26" s="134" t="s">
        <v>142</v>
      </c>
      <c r="J26" s="134" t="s">
        <v>142</v>
      </c>
      <c r="K26" s="134" t="s">
        <v>142</v>
      </c>
      <c r="L26" s="134" t="s">
        <v>142</v>
      </c>
      <c r="M26" s="134" t="s">
        <v>142</v>
      </c>
      <c r="N26" s="131"/>
    </row>
    <row r="27" hidden="1" outlineLevel="1">
      <c r="A27" s="113" t="s">
        <v>1389</v>
      </c>
      <c r="B27" s="270">
        <v>46239.0</v>
      </c>
      <c r="C27" s="308" t="str">
        <f t="shared" si="3"/>
        <v>Wed</v>
      </c>
      <c r="D27" s="128">
        <f t="shared" si="4"/>
        <v>1</v>
      </c>
      <c r="E27" s="131" t="s">
        <v>142</v>
      </c>
      <c r="F27" s="134" t="s">
        <v>142</v>
      </c>
      <c r="G27" s="134" t="s">
        <v>142</v>
      </c>
      <c r="H27" s="134" t="s">
        <v>142</v>
      </c>
      <c r="I27" s="134" t="s">
        <v>142</v>
      </c>
      <c r="J27" s="134" t="s">
        <v>142</v>
      </c>
      <c r="K27" s="134" t="s">
        <v>142</v>
      </c>
      <c r="L27" s="134" t="s">
        <v>142</v>
      </c>
      <c r="M27" s="134" t="s">
        <v>142</v>
      </c>
      <c r="N27" s="131"/>
    </row>
    <row r="28" hidden="1" outlineLevel="1">
      <c r="A28" s="113" t="s">
        <v>1391</v>
      </c>
      <c r="B28" s="270">
        <v>46239.0</v>
      </c>
      <c r="C28" s="308" t="str">
        <f t="shared" si="3"/>
        <v>Wed</v>
      </c>
      <c r="D28" s="143">
        <f t="shared" si="4"/>
        <v>1</v>
      </c>
      <c r="E28" s="144" t="s">
        <v>142</v>
      </c>
      <c r="F28" s="134" t="s">
        <v>142</v>
      </c>
      <c r="G28" s="134" t="s">
        <v>142</v>
      </c>
      <c r="H28" s="134" t="s">
        <v>142</v>
      </c>
      <c r="I28" s="134" t="s">
        <v>142</v>
      </c>
      <c r="J28" s="134" t="s">
        <v>142</v>
      </c>
      <c r="K28" s="134" t="s">
        <v>142</v>
      </c>
      <c r="L28" s="134" t="s">
        <v>142</v>
      </c>
      <c r="M28" s="134" t="s">
        <v>142</v>
      </c>
      <c r="N28" s="131"/>
    </row>
    <row r="29" hidden="1" outlineLevel="1">
      <c r="A29" s="113" t="s">
        <v>1392</v>
      </c>
      <c r="B29" s="270">
        <v>46239.0</v>
      </c>
      <c r="C29" s="308" t="str">
        <f t="shared" si="3"/>
        <v>Wed</v>
      </c>
      <c r="D29" s="128">
        <f t="shared" si="4"/>
        <v>1</v>
      </c>
      <c r="E29" s="131" t="s">
        <v>142</v>
      </c>
      <c r="F29" s="134" t="s">
        <v>142</v>
      </c>
      <c r="G29" s="134" t="s">
        <v>142</v>
      </c>
      <c r="H29" s="134" t="s">
        <v>142</v>
      </c>
      <c r="I29" s="134" t="s">
        <v>142</v>
      </c>
      <c r="J29" s="134" t="s">
        <v>142</v>
      </c>
      <c r="K29" s="134" t="s">
        <v>142</v>
      </c>
      <c r="L29" s="134" t="s">
        <v>142</v>
      </c>
      <c r="M29" s="134" t="s">
        <v>142</v>
      </c>
      <c r="N29" s="131"/>
    </row>
    <row r="30" hidden="1" outlineLevel="1">
      <c r="A30" s="113" t="s">
        <v>1394</v>
      </c>
      <c r="B30" s="270">
        <v>46240.0</v>
      </c>
      <c r="C30" s="308" t="str">
        <f t="shared" si="3"/>
        <v>Thu</v>
      </c>
      <c r="D30" s="143">
        <f t="shared" si="4"/>
        <v>1</v>
      </c>
      <c r="E30" s="144" t="s">
        <v>142</v>
      </c>
      <c r="F30" s="134" t="s">
        <v>142</v>
      </c>
      <c r="G30" s="134" t="s">
        <v>142</v>
      </c>
      <c r="H30" s="134" t="s">
        <v>142</v>
      </c>
      <c r="I30" s="134" t="s">
        <v>142</v>
      </c>
      <c r="J30" s="134" t="s">
        <v>142</v>
      </c>
      <c r="K30" s="134" t="s">
        <v>142</v>
      </c>
      <c r="L30" s="134" t="s">
        <v>142</v>
      </c>
      <c r="M30" s="134" t="s">
        <v>142</v>
      </c>
      <c r="N30" s="131"/>
    </row>
    <row r="31" hidden="1" outlineLevel="1">
      <c r="A31" s="113" t="s">
        <v>1396</v>
      </c>
      <c r="B31" s="270">
        <v>46240.0</v>
      </c>
      <c r="C31" s="308" t="str">
        <f t="shared" si="3"/>
        <v>Thu</v>
      </c>
      <c r="D31" s="128">
        <f t="shared" si="4"/>
        <v>1</v>
      </c>
      <c r="E31" s="131" t="s">
        <v>142</v>
      </c>
      <c r="F31" s="134" t="s">
        <v>142</v>
      </c>
      <c r="G31" s="134" t="s">
        <v>142</v>
      </c>
      <c r="H31" s="134" t="s">
        <v>142</v>
      </c>
      <c r="I31" s="134" t="s">
        <v>142</v>
      </c>
      <c r="J31" s="134" t="s">
        <v>142</v>
      </c>
      <c r="K31" s="134" t="s">
        <v>142</v>
      </c>
      <c r="L31" s="134" t="s">
        <v>142</v>
      </c>
      <c r="M31" s="134" t="s">
        <v>142</v>
      </c>
      <c r="N31" s="131"/>
    </row>
    <row r="32" hidden="1" outlineLevel="1">
      <c r="A32" s="113" t="s">
        <v>1399</v>
      </c>
      <c r="B32" s="270">
        <v>46240.0</v>
      </c>
      <c r="C32" s="308" t="str">
        <f t="shared" si="3"/>
        <v>Thu</v>
      </c>
      <c r="D32" s="143">
        <f t="shared" si="4"/>
        <v>1</v>
      </c>
      <c r="E32" s="144" t="s">
        <v>142</v>
      </c>
      <c r="F32" s="134" t="s">
        <v>142</v>
      </c>
      <c r="G32" s="134" t="s">
        <v>142</v>
      </c>
      <c r="H32" s="134" t="s">
        <v>142</v>
      </c>
      <c r="I32" s="134" t="s">
        <v>142</v>
      </c>
      <c r="J32" s="134" t="s">
        <v>142</v>
      </c>
      <c r="K32" s="134" t="s">
        <v>142</v>
      </c>
      <c r="L32" s="134" t="s">
        <v>142</v>
      </c>
      <c r="M32" s="134" t="s">
        <v>142</v>
      </c>
      <c r="N32" s="131"/>
    </row>
    <row r="33" hidden="1" outlineLevel="1">
      <c r="A33" s="113" t="s">
        <v>1400</v>
      </c>
      <c r="B33" s="270">
        <v>46241.0</v>
      </c>
      <c r="C33" s="308" t="str">
        <f t="shared" si="3"/>
        <v>Fri</v>
      </c>
      <c r="D33" s="128">
        <f t="shared" si="4"/>
        <v>1</v>
      </c>
      <c r="E33" s="131" t="s">
        <v>142</v>
      </c>
      <c r="F33" s="134" t="s">
        <v>142</v>
      </c>
      <c r="G33" s="134" t="s">
        <v>142</v>
      </c>
      <c r="H33" s="134" t="s">
        <v>142</v>
      </c>
      <c r="I33" s="134" t="s">
        <v>142</v>
      </c>
      <c r="J33" s="134" t="s">
        <v>142</v>
      </c>
      <c r="K33" s="134" t="s">
        <v>142</v>
      </c>
      <c r="L33" s="134" t="s">
        <v>142</v>
      </c>
      <c r="M33" s="134" t="s">
        <v>142</v>
      </c>
      <c r="N33" s="131"/>
    </row>
    <row r="34" hidden="1" outlineLevel="1">
      <c r="A34" s="113" t="s">
        <v>1401</v>
      </c>
      <c r="B34" s="270">
        <v>46241.0</v>
      </c>
      <c r="C34" s="308" t="str">
        <f t="shared" si="3"/>
        <v>Fri</v>
      </c>
      <c r="D34" s="143">
        <f t="shared" si="4"/>
        <v>1</v>
      </c>
      <c r="E34" s="144" t="s">
        <v>142</v>
      </c>
      <c r="F34" s="134" t="s">
        <v>142</v>
      </c>
      <c r="G34" s="134" t="s">
        <v>142</v>
      </c>
      <c r="H34" s="134" t="s">
        <v>142</v>
      </c>
      <c r="I34" s="134" t="s">
        <v>142</v>
      </c>
      <c r="J34" s="134" t="s">
        <v>142</v>
      </c>
      <c r="K34" s="134" t="s">
        <v>142</v>
      </c>
      <c r="L34" s="134" t="s">
        <v>142</v>
      </c>
      <c r="M34" s="134" t="s">
        <v>142</v>
      </c>
      <c r="N34" s="131"/>
    </row>
    <row r="35" ht="15.0" hidden="1" customHeight="1" outlineLevel="1">
      <c r="A35" s="113" t="s">
        <v>1402</v>
      </c>
      <c r="B35" s="270">
        <v>46241.0</v>
      </c>
      <c r="C35" s="308" t="str">
        <f t="shared" si="3"/>
        <v>Fri</v>
      </c>
      <c r="D35" s="128">
        <f t="shared" si="4"/>
        <v>1</v>
      </c>
      <c r="E35" s="131" t="s">
        <v>142</v>
      </c>
      <c r="F35" s="134" t="s">
        <v>142</v>
      </c>
      <c r="G35" s="134" t="s">
        <v>142</v>
      </c>
      <c r="H35" s="134" t="s">
        <v>142</v>
      </c>
      <c r="I35" s="134" t="s">
        <v>142</v>
      </c>
      <c r="J35" s="134" t="s">
        <v>142</v>
      </c>
      <c r="K35" s="134" t="s">
        <v>142</v>
      </c>
      <c r="L35" s="134" t="s">
        <v>142</v>
      </c>
      <c r="M35" s="134" t="s">
        <v>142</v>
      </c>
      <c r="N35" s="131"/>
    </row>
    <row r="36" hidden="1" outlineLevel="1">
      <c r="B36" s="215"/>
      <c r="C36" s="216" t="s">
        <v>199</v>
      </c>
      <c r="D36" s="217">
        <f>AVERAGE(D21:D35)</f>
        <v>1</v>
      </c>
      <c r="E36" s="218"/>
      <c r="L36" s="216" t="s">
        <v>199</v>
      </c>
      <c r="M36" s="217">
        <f>SUM(M21:M35)/75*0.1</f>
        <v>0</v>
      </c>
    </row>
    <row r="37" collapsed="1">
      <c r="A37" s="85" t="s">
        <v>347</v>
      </c>
      <c r="B37" s="86"/>
      <c r="C37" s="86"/>
      <c r="D37" s="88"/>
      <c r="E37" s="89"/>
      <c r="F37" s="89"/>
      <c r="G37" s="91"/>
      <c r="H37" s="91"/>
      <c r="I37" s="91"/>
      <c r="J37" s="91"/>
      <c r="K37" s="91"/>
      <c r="L37" s="91"/>
      <c r="M37" s="93"/>
      <c r="N37" s="95"/>
    </row>
    <row r="38" hidden="1" outlineLevel="1">
      <c r="A38" s="96" t="s">
        <v>89</v>
      </c>
      <c r="B38" s="98" t="s">
        <v>90</v>
      </c>
      <c r="C38" s="98" t="s">
        <v>91</v>
      </c>
      <c r="D38" s="101" t="s">
        <v>93</v>
      </c>
      <c r="E38" s="102" t="s">
        <v>94</v>
      </c>
      <c r="F38" s="102" t="s">
        <v>95</v>
      </c>
      <c r="G38" s="105" t="s">
        <v>96</v>
      </c>
      <c r="H38" s="107" t="s">
        <v>97</v>
      </c>
      <c r="I38" s="107" t="s">
        <v>104</v>
      </c>
      <c r="J38" s="105" t="s">
        <v>106</v>
      </c>
      <c r="K38" s="107" t="s">
        <v>109</v>
      </c>
      <c r="L38" s="105" t="s">
        <v>111</v>
      </c>
      <c r="M38" s="98" t="s">
        <v>114</v>
      </c>
      <c r="N38" s="101" t="s">
        <v>116</v>
      </c>
    </row>
    <row r="39" hidden="1" outlineLevel="1">
      <c r="A39" s="353" t="s">
        <v>1408</v>
      </c>
      <c r="B39" s="309">
        <v>46244.0</v>
      </c>
      <c r="C39" s="118" t="str">
        <f t="shared" ref="C39:C53" si="5">IF(B39="", "", TEXT(B39, "ddd"))</f>
        <v>Mon</v>
      </c>
      <c r="D39" s="128">
        <f t="shared" ref="D39:D53" si="6">IF(E39="Yes",0.05,0)
+IF(F39="Yes",0.1,0)
+IF(G39="Yes",0.15,0)
+IF(H39="Yes",0.15,0)
+IF(I39="Yes",0.05,0)
+IF(J39="Yes",0.05,0)
+IF(K39="Yes",0.15,0)
+IF(L39="Yes",0.3,0)
</f>
        <v>1</v>
      </c>
      <c r="E39" s="131" t="s">
        <v>142</v>
      </c>
      <c r="F39" s="134" t="s">
        <v>142</v>
      </c>
      <c r="G39" s="134" t="s">
        <v>142</v>
      </c>
      <c r="H39" s="134" t="s">
        <v>142</v>
      </c>
      <c r="I39" s="134" t="s">
        <v>142</v>
      </c>
      <c r="J39" s="134" t="s">
        <v>142</v>
      </c>
      <c r="K39" s="134" t="s">
        <v>142</v>
      </c>
      <c r="L39" s="134" t="s">
        <v>142</v>
      </c>
      <c r="M39" s="136"/>
      <c r="N39" s="137"/>
    </row>
    <row r="40" hidden="1" outlineLevel="1">
      <c r="A40" s="353" t="s">
        <v>1414</v>
      </c>
      <c r="B40" s="309">
        <v>46244.0</v>
      </c>
      <c r="C40" s="118" t="str">
        <f t="shared" si="5"/>
        <v>Mon</v>
      </c>
      <c r="D40" s="143">
        <f t="shared" si="6"/>
        <v>1</v>
      </c>
      <c r="E40" s="144" t="s">
        <v>142</v>
      </c>
      <c r="F40" s="134" t="s">
        <v>142</v>
      </c>
      <c r="G40" s="134" t="s">
        <v>142</v>
      </c>
      <c r="H40" s="134" t="s">
        <v>142</v>
      </c>
      <c r="I40" s="134" t="s">
        <v>142</v>
      </c>
      <c r="J40" s="134" t="s">
        <v>142</v>
      </c>
      <c r="K40" s="134" t="s">
        <v>142</v>
      </c>
      <c r="L40" s="134" t="s">
        <v>142</v>
      </c>
      <c r="M40" s="136"/>
      <c r="N40" s="131"/>
    </row>
    <row r="41" hidden="1" outlineLevel="1">
      <c r="A41" s="353" t="s">
        <v>1415</v>
      </c>
      <c r="B41" s="309">
        <v>46244.0</v>
      </c>
      <c r="C41" s="118" t="str">
        <f t="shared" si="5"/>
        <v>Mon</v>
      </c>
      <c r="D41" s="128">
        <f t="shared" si="6"/>
        <v>1</v>
      </c>
      <c r="E41" s="131" t="s">
        <v>142</v>
      </c>
      <c r="F41" s="134" t="s">
        <v>142</v>
      </c>
      <c r="G41" s="134" t="s">
        <v>142</v>
      </c>
      <c r="H41" s="134" t="s">
        <v>142</v>
      </c>
      <c r="I41" s="134" t="s">
        <v>142</v>
      </c>
      <c r="J41" s="134" t="s">
        <v>142</v>
      </c>
      <c r="K41" s="134" t="s">
        <v>142</v>
      </c>
      <c r="L41" s="134" t="s">
        <v>142</v>
      </c>
      <c r="M41" s="136"/>
      <c r="N41" s="131"/>
    </row>
    <row r="42" hidden="1" outlineLevel="1">
      <c r="A42" s="353" t="s">
        <v>1417</v>
      </c>
      <c r="B42" s="309">
        <v>46245.0</v>
      </c>
      <c r="C42" s="118" t="str">
        <f t="shared" si="5"/>
        <v>Tue</v>
      </c>
      <c r="D42" s="143">
        <f t="shared" si="6"/>
        <v>1</v>
      </c>
      <c r="E42" s="144" t="s">
        <v>142</v>
      </c>
      <c r="F42" s="134" t="s">
        <v>142</v>
      </c>
      <c r="G42" s="134" t="s">
        <v>142</v>
      </c>
      <c r="H42" s="134" t="s">
        <v>142</v>
      </c>
      <c r="I42" s="134" t="s">
        <v>142</v>
      </c>
      <c r="J42" s="134" t="s">
        <v>142</v>
      </c>
      <c r="K42" s="134" t="s">
        <v>142</v>
      </c>
      <c r="L42" s="134" t="s">
        <v>142</v>
      </c>
      <c r="M42" s="136"/>
      <c r="N42" s="131"/>
    </row>
    <row r="43" hidden="1" outlineLevel="1">
      <c r="A43" s="353" t="s">
        <v>1420</v>
      </c>
      <c r="B43" s="309">
        <v>46245.0</v>
      </c>
      <c r="C43" s="118" t="str">
        <f t="shared" si="5"/>
        <v>Tue</v>
      </c>
      <c r="D43" s="128">
        <f t="shared" si="6"/>
        <v>1</v>
      </c>
      <c r="E43" s="131" t="s">
        <v>142</v>
      </c>
      <c r="F43" s="134" t="s">
        <v>142</v>
      </c>
      <c r="G43" s="134" t="s">
        <v>142</v>
      </c>
      <c r="H43" s="134" t="s">
        <v>142</v>
      </c>
      <c r="I43" s="134" t="s">
        <v>142</v>
      </c>
      <c r="J43" s="134" t="s">
        <v>142</v>
      </c>
      <c r="K43" s="134" t="s">
        <v>142</v>
      </c>
      <c r="L43" s="134" t="s">
        <v>142</v>
      </c>
      <c r="M43" s="136"/>
      <c r="N43" s="131"/>
    </row>
    <row r="44" hidden="1" outlineLevel="1">
      <c r="A44" s="353" t="s">
        <v>1422</v>
      </c>
      <c r="B44" s="309">
        <v>46245.0</v>
      </c>
      <c r="C44" s="118" t="str">
        <f t="shared" si="5"/>
        <v>Tue</v>
      </c>
      <c r="D44" s="143">
        <f t="shared" si="6"/>
        <v>1</v>
      </c>
      <c r="E44" s="144" t="s">
        <v>142</v>
      </c>
      <c r="F44" s="134" t="s">
        <v>142</v>
      </c>
      <c r="G44" s="134" t="s">
        <v>142</v>
      </c>
      <c r="H44" s="134" t="s">
        <v>142</v>
      </c>
      <c r="I44" s="134" t="s">
        <v>142</v>
      </c>
      <c r="J44" s="134" t="s">
        <v>142</v>
      </c>
      <c r="K44" s="134" t="s">
        <v>142</v>
      </c>
      <c r="L44" s="134" t="s">
        <v>142</v>
      </c>
      <c r="M44" s="136"/>
      <c r="N44" s="131"/>
    </row>
    <row r="45" hidden="1" outlineLevel="1">
      <c r="A45" s="113" t="s">
        <v>1425</v>
      </c>
      <c r="B45" s="309">
        <v>46246.0</v>
      </c>
      <c r="C45" s="118" t="str">
        <f t="shared" si="5"/>
        <v>Wed</v>
      </c>
      <c r="D45" s="128">
        <f t="shared" si="6"/>
        <v>1</v>
      </c>
      <c r="E45" s="131" t="s">
        <v>142</v>
      </c>
      <c r="F45" s="134" t="s">
        <v>142</v>
      </c>
      <c r="G45" s="134" t="s">
        <v>142</v>
      </c>
      <c r="H45" s="134" t="s">
        <v>142</v>
      </c>
      <c r="I45" s="134" t="s">
        <v>142</v>
      </c>
      <c r="J45" s="134" t="s">
        <v>142</v>
      </c>
      <c r="K45" s="134" t="s">
        <v>142</v>
      </c>
      <c r="L45" s="134" t="s">
        <v>142</v>
      </c>
      <c r="M45" s="136"/>
      <c r="N45" s="131"/>
    </row>
    <row r="46" hidden="1" outlineLevel="1">
      <c r="A46" s="113" t="s">
        <v>1426</v>
      </c>
      <c r="B46" s="309">
        <v>46246.0</v>
      </c>
      <c r="C46" s="118" t="str">
        <f t="shared" si="5"/>
        <v>Wed</v>
      </c>
      <c r="D46" s="143">
        <f t="shared" si="6"/>
        <v>1</v>
      </c>
      <c r="E46" s="144" t="s">
        <v>142</v>
      </c>
      <c r="F46" s="134" t="s">
        <v>142</v>
      </c>
      <c r="G46" s="134" t="s">
        <v>142</v>
      </c>
      <c r="H46" s="134" t="s">
        <v>142</v>
      </c>
      <c r="I46" s="134" t="s">
        <v>142</v>
      </c>
      <c r="J46" s="134" t="s">
        <v>142</v>
      </c>
      <c r="K46" s="134" t="s">
        <v>142</v>
      </c>
      <c r="L46" s="134" t="s">
        <v>142</v>
      </c>
      <c r="M46" s="136"/>
      <c r="N46" s="131"/>
    </row>
    <row r="47" hidden="1" outlineLevel="1">
      <c r="A47" s="113" t="s">
        <v>1427</v>
      </c>
      <c r="B47" s="309">
        <v>46246.0</v>
      </c>
      <c r="C47" s="118" t="str">
        <f t="shared" si="5"/>
        <v>Wed</v>
      </c>
      <c r="D47" s="128">
        <f t="shared" si="6"/>
        <v>1</v>
      </c>
      <c r="E47" s="131" t="s">
        <v>142</v>
      </c>
      <c r="F47" s="134" t="s">
        <v>142</v>
      </c>
      <c r="G47" s="134" t="s">
        <v>142</v>
      </c>
      <c r="H47" s="134" t="s">
        <v>142</v>
      </c>
      <c r="I47" s="134" t="s">
        <v>142</v>
      </c>
      <c r="J47" s="134" t="s">
        <v>142</v>
      </c>
      <c r="K47" s="134" t="s">
        <v>142</v>
      </c>
      <c r="L47" s="134" t="s">
        <v>142</v>
      </c>
      <c r="M47" s="136"/>
      <c r="N47" s="131"/>
    </row>
    <row r="48" hidden="1" outlineLevel="1">
      <c r="A48" s="113" t="s">
        <v>1429</v>
      </c>
      <c r="B48" s="309">
        <v>46247.0</v>
      </c>
      <c r="C48" s="118" t="str">
        <f t="shared" si="5"/>
        <v>Thu</v>
      </c>
      <c r="D48" s="143">
        <f t="shared" si="6"/>
        <v>1</v>
      </c>
      <c r="E48" s="144" t="s">
        <v>142</v>
      </c>
      <c r="F48" s="134" t="s">
        <v>142</v>
      </c>
      <c r="G48" s="134" t="s">
        <v>142</v>
      </c>
      <c r="H48" s="134" t="s">
        <v>142</v>
      </c>
      <c r="I48" s="134" t="s">
        <v>142</v>
      </c>
      <c r="J48" s="134" t="s">
        <v>142</v>
      </c>
      <c r="K48" s="134" t="s">
        <v>142</v>
      </c>
      <c r="L48" s="134" t="s">
        <v>142</v>
      </c>
      <c r="M48" s="136"/>
      <c r="N48" s="131"/>
    </row>
    <row r="49" hidden="1" outlineLevel="1">
      <c r="A49" s="113" t="s">
        <v>1431</v>
      </c>
      <c r="B49" s="309">
        <v>46247.0</v>
      </c>
      <c r="C49" s="118" t="str">
        <f t="shared" si="5"/>
        <v>Thu</v>
      </c>
      <c r="D49" s="128">
        <f t="shared" si="6"/>
        <v>1</v>
      </c>
      <c r="E49" s="131" t="s">
        <v>142</v>
      </c>
      <c r="F49" s="134" t="s">
        <v>142</v>
      </c>
      <c r="G49" s="134" t="s">
        <v>142</v>
      </c>
      <c r="H49" s="134" t="s">
        <v>142</v>
      </c>
      <c r="I49" s="134" t="s">
        <v>142</v>
      </c>
      <c r="J49" s="134" t="s">
        <v>142</v>
      </c>
      <c r="K49" s="134" t="s">
        <v>142</v>
      </c>
      <c r="L49" s="134" t="s">
        <v>142</v>
      </c>
      <c r="M49" s="136"/>
      <c r="N49" s="131"/>
    </row>
    <row r="50" hidden="1" outlineLevel="1">
      <c r="A50" s="113" t="s">
        <v>1433</v>
      </c>
      <c r="B50" s="309">
        <v>46247.0</v>
      </c>
      <c r="C50" s="118" t="str">
        <f t="shared" si="5"/>
        <v>Thu</v>
      </c>
      <c r="D50" s="143">
        <f t="shared" si="6"/>
        <v>1</v>
      </c>
      <c r="E50" s="144" t="s">
        <v>142</v>
      </c>
      <c r="F50" s="134" t="s">
        <v>142</v>
      </c>
      <c r="G50" s="134" t="s">
        <v>142</v>
      </c>
      <c r="H50" s="134" t="s">
        <v>142</v>
      </c>
      <c r="I50" s="134" t="s">
        <v>142</v>
      </c>
      <c r="J50" s="134" t="s">
        <v>142</v>
      </c>
      <c r="K50" s="134" t="s">
        <v>142</v>
      </c>
      <c r="L50" s="134" t="s">
        <v>142</v>
      </c>
      <c r="M50" s="136"/>
      <c r="N50" s="131"/>
    </row>
    <row r="51" hidden="1" outlineLevel="1">
      <c r="A51" s="113" t="s">
        <v>1434</v>
      </c>
      <c r="B51" s="309">
        <v>46248.0</v>
      </c>
      <c r="C51" s="118" t="str">
        <f t="shared" si="5"/>
        <v>Fri</v>
      </c>
      <c r="D51" s="128">
        <f t="shared" si="6"/>
        <v>1</v>
      </c>
      <c r="E51" s="131" t="s">
        <v>142</v>
      </c>
      <c r="F51" s="134" t="s">
        <v>142</v>
      </c>
      <c r="G51" s="134" t="s">
        <v>142</v>
      </c>
      <c r="H51" s="134" t="s">
        <v>142</v>
      </c>
      <c r="I51" s="134" t="s">
        <v>142</v>
      </c>
      <c r="J51" s="134" t="s">
        <v>142</v>
      </c>
      <c r="K51" s="134" t="s">
        <v>142</v>
      </c>
      <c r="L51" s="134" t="s">
        <v>142</v>
      </c>
      <c r="M51" s="136"/>
      <c r="N51" s="131"/>
    </row>
    <row r="52" hidden="1" outlineLevel="1">
      <c r="A52" s="113" t="s">
        <v>1437</v>
      </c>
      <c r="B52" s="309">
        <v>46248.0</v>
      </c>
      <c r="C52" s="118" t="str">
        <f t="shared" si="5"/>
        <v>Fri</v>
      </c>
      <c r="D52" s="143">
        <f t="shared" si="6"/>
        <v>1</v>
      </c>
      <c r="E52" s="144" t="s">
        <v>142</v>
      </c>
      <c r="F52" s="134" t="s">
        <v>142</v>
      </c>
      <c r="G52" s="134" t="s">
        <v>142</v>
      </c>
      <c r="H52" s="134" t="s">
        <v>142</v>
      </c>
      <c r="I52" s="134" t="s">
        <v>142</v>
      </c>
      <c r="J52" s="134" t="s">
        <v>142</v>
      </c>
      <c r="K52" s="134" t="s">
        <v>142</v>
      </c>
      <c r="L52" s="134" t="s">
        <v>142</v>
      </c>
      <c r="M52" s="136"/>
      <c r="N52" s="131"/>
    </row>
    <row r="53" ht="15.0" hidden="1" customHeight="1" outlineLevel="1">
      <c r="A53" s="113" t="s">
        <v>1439</v>
      </c>
      <c r="B53" s="309">
        <v>46248.0</v>
      </c>
      <c r="C53" s="118" t="str">
        <f t="shared" si="5"/>
        <v>Fri</v>
      </c>
      <c r="D53" s="128">
        <f t="shared" si="6"/>
        <v>1</v>
      </c>
      <c r="E53" s="131" t="s">
        <v>142</v>
      </c>
      <c r="F53" s="134" t="s">
        <v>142</v>
      </c>
      <c r="G53" s="134" t="s">
        <v>142</v>
      </c>
      <c r="H53" s="134" t="s">
        <v>142</v>
      </c>
      <c r="I53" s="134" t="s">
        <v>142</v>
      </c>
      <c r="J53" s="134" t="s">
        <v>142</v>
      </c>
      <c r="K53" s="134" t="s">
        <v>142</v>
      </c>
      <c r="L53" s="134" t="s">
        <v>142</v>
      </c>
      <c r="M53" s="136"/>
      <c r="N53" s="131"/>
    </row>
    <row r="54" hidden="1" outlineLevel="1">
      <c r="B54" s="215"/>
      <c r="C54" s="216" t="s">
        <v>199</v>
      </c>
      <c r="D54" s="217">
        <f>AVERAGE(D39:D53)</f>
        <v>1</v>
      </c>
      <c r="E54" s="218"/>
      <c r="L54" s="216" t="s">
        <v>199</v>
      </c>
      <c r="M54" s="217">
        <f>SUM(M39:M53)/75*0.1</f>
        <v>0</v>
      </c>
    </row>
    <row r="55" collapsed="1">
      <c r="A55" s="85" t="s">
        <v>368</v>
      </c>
      <c r="B55" s="86"/>
      <c r="C55" s="86"/>
      <c r="D55" s="88"/>
      <c r="E55" s="89"/>
      <c r="F55" s="89"/>
      <c r="G55" s="91"/>
      <c r="H55" s="91"/>
      <c r="I55" s="91"/>
      <c r="J55" s="91"/>
      <c r="K55" s="91"/>
      <c r="L55" s="91"/>
      <c r="M55" s="93"/>
      <c r="N55" s="95"/>
    </row>
    <row r="56" hidden="1" outlineLevel="1">
      <c r="A56" s="96" t="s">
        <v>89</v>
      </c>
      <c r="B56" s="98" t="s">
        <v>90</v>
      </c>
      <c r="C56" s="98" t="s">
        <v>91</v>
      </c>
      <c r="D56" s="101" t="s">
        <v>93</v>
      </c>
      <c r="E56" s="102" t="s">
        <v>94</v>
      </c>
      <c r="F56" s="102" t="s">
        <v>95</v>
      </c>
      <c r="G56" s="105" t="s">
        <v>96</v>
      </c>
      <c r="H56" s="107" t="s">
        <v>97</v>
      </c>
      <c r="I56" s="107" t="s">
        <v>104</v>
      </c>
      <c r="J56" s="105" t="s">
        <v>106</v>
      </c>
      <c r="K56" s="107" t="s">
        <v>109</v>
      </c>
      <c r="L56" s="105" t="s">
        <v>111</v>
      </c>
      <c r="M56" s="98" t="s">
        <v>114</v>
      </c>
      <c r="N56" s="101" t="s">
        <v>116</v>
      </c>
    </row>
    <row r="57" hidden="1" outlineLevel="1">
      <c r="A57" s="353" t="s">
        <v>1445</v>
      </c>
      <c r="B57" s="309">
        <v>46251.0</v>
      </c>
      <c r="C57" s="118" t="str">
        <f t="shared" ref="C57:C71" si="7">IF(B57="", "", TEXT(B57, "ddd"))</f>
        <v>Mon</v>
      </c>
      <c r="D57" s="128">
        <f t="shared" ref="D57:D71" si="8">IF(E57="Yes",0.05,0)
+IF(F57="Yes",0.1,0)
+IF(G57="Yes",0.15,0)
+IF(H57="Yes",0.15,0)
+IF(I57="Yes",0.05,0)
+IF(J57="Yes",0.05,0)
+IF(K57="Yes",0.15,0)
+IF(L57="Yes",0.3,0)
</f>
        <v>1</v>
      </c>
      <c r="E57" s="131" t="s">
        <v>142</v>
      </c>
      <c r="F57" s="134" t="s">
        <v>142</v>
      </c>
      <c r="G57" s="134" t="s">
        <v>142</v>
      </c>
      <c r="H57" s="134" t="s">
        <v>142</v>
      </c>
      <c r="I57" s="134" t="s">
        <v>142</v>
      </c>
      <c r="J57" s="134" t="s">
        <v>142</v>
      </c>
      <c r="K57" s="134" t="s">
        <v>142</v>
      </c>
      <c r="L57" s="134" t="s">
        <v>142</v>
      </c>
      <c r="M57" s="136"/>
      <c r="N57" s="137"/>
    </row>
    <row r="58" hidden="1" outlineLevel="1">
      <c r="A58" s="113" t="s">
        <v>1448</v>
      </c>
      <c r="B58" s="309">
        <v>46251.0</v>
      </c>
      <c r="C58" s="118" t="str">
        <f t="shared" si="7"/>
        <v>Mon</v>
      </c>
      <c r="D58" s="143">
        <f t="shared" si="8"/>
        <v>1</v>
      </c>
      <c r="E58" s="144" t="s">
        <v>142</v>
      </c>
      <c r="F58" s="134" t="s">
        <v>142</v>
      </c>
      <c r="G58" s="134" t="s">
        <v>142</v>
      </c>
      <c r="H58" s="134" t="s">
        <v>142</v>
      </c>
      <c r="I58" s="134" t="s">
        <v>142</v>
      </c>
      <c r="J58" s="134" t="s">
        <v>142</v>
      </c>
      <c r="K58" s="134" t="s">
        <v>142</v>
      </c>
      <c r="L58" s="134" t="s">
        <v>142</v>
      </c>
      <c r="M58" s="136"/>
      <c r="N58" s="137"/>
    </row>
    <row r="59" hidden="1" outlineLevel="1">
      <c r="A59" s="113" t="s">
        <v>1452</v>
      </c>
      <c r="B59" s="309">
        <v>46251.0</v>
      </c>
      <c r="C59" s="118" t="str">
        <f t="shared" si="7"/>
        <v>Mon</v>
      </c>
      <c r="D59" s="128">
        <f t="shared" si="8"/>
        <v>1</v>
      </c>
      <c r="E59" s="131" t="s">
        <v>142</v>
      </c>
      <c r="F59" s="134" t="s">
        <v>142</v>
      </c>
      <c r="G59" s="134" t="s">
        <v>142</v>
      </c>
      <c r="H59" s="134" t="s">
        <v>142</v>
      </c>
      <c r="I59" s="134" t="s">
        <v>142</v>
      </c>
      <c r="J59" s="134" t="s">
        <v>142</v>
      </c>
      <c r="K59" s="134" t="s">
        <v>142</v>
      </c>
      <c r="L59" s="134" t="s">
        <v>142</v>
      </c>
      <c r="M59" s="136"/>
      <c r="N59" s="137"/>
    </row>
    <row r="60" hidden="1" outlineLevel="1">
      <c r="A60" s="113" t="s">
        <v>1454</v>
      </c>
      <c r="B60" s="309">
        <v>46252.0</v>
      </c>
      <c r="C60" s="118" t="str">
        <f t="shared" si="7"/>
        <v>Tue</v>
      </c>
      <c r="D60" s="143">
        <f t="shared" si="8"/>
        <v>1</v>
      </c>
      <c r="E60" s="144" t="s">
        <v>142</v>
      </c>
      <c r="F60" s="134" t="s">
        <v>142</v>
      </c>
      <c r="G60" s="134" t="s">
        <v>142</v>
      </c>
      <c r="H60" s="134" t="s">
        <v>142</v>
      </c>
      <c r="I60" s="134" t="s">
        <v>142</v>
      </c>
      <c r="J60" s="134" t="s">
        <v>142</v>
      </c>
      <c r="K60" s="134" t="s">
        <v>142</v>
      </c>
      <c r="L60" s="134" t="s">
        <v>142</v>
      </c>
      <c r="M60" s="136"/>
      <c r="N60" s="137"/>
    </row>
    <row r="61" hidden="1" outlineLevel="1">
      <c r="A61" s="113" t="s">
        <v>1457</v>
      </c>
      <c r="B61" s="309">
        <v>46252.0</v>
      </c>
      <c r="C61" s="118" t="str">
        <f t="shared" si="7"/>
        <v>Tue</v>
      </c>
      <c r="D61" s="128">
        <f t="shared" si="8"/>
        <v>1</v>
      </c>
      <c r="E61" s="131" t="s">
        <v>142</v>
      </c>
      <c r="F61" s="134" t="s">
        <v>142</v>
      </c>
      <c r="G61" s="134" t="s">
        <v>142</v>
      </c>
      <c r="H61" s="134" t="s">
        <v>142</v>
      </c>
      <c r="I61" s="134" t="s">
        <v>142</v>
      </c>
      <c r="J61" s="134" t="s">
        <v>142</v>
      </c>
      <c r="K61" s="134" t="s">
        <v>142</v>
      </c>
      <c r="L61" s="134" t="s">
        <v>142</v>
      </c>
      <c r="M61" s="136"/>
      <c r="N61" s="137"/>
    </row>
    <row r="62" hidden="1" outlineLevel="1">
      <c r="A62" s="113" t="s">
        <v>1458</v>
      </c>
      <c r="B62" s="309">
        <v>46252.0</v>
      </c>
      <c r="C62" s="118" t="str">
        <f t="shared" si="7"/>
        <v>Tue</v>
      </c>
      <c r="D62" s="143">
        <f t="shared" si="8"/>
        <v>1</v>
      </c>
      <c r="E62" s="144" t="s">
        <v>142</v>
      </c>
      <c r="F62" s="134" t="s">
        <v>142</v>
      </c>
      <c r="G62" s="134" t="s">
        <v>142</v>
      </c>
      <c r="H62" s="134" t="s">
        <v>142</v>
      </c>
      <c r="I62" s="134" t="s">
        <v>142</v>
      </c>
      <c r="J62" s="134" t="s">
        <v>142</v>
      </c>
      <c r="K62" s="134" t="s">
        <v>142</v>
      </c>
      <c r="L62" s="134" t="s">
        <v>142</v>
      </c>
      <c r="M62" s="136"/>
      <c r="N62" s="137"/>
    </row>
    <row r="63" hidden="1" outlineLevel="1">
      <c r="A63" s="113" t="s">
        <v>1461</v>
      </c>
      <c r="B63" s="309">
        <v>46253.0</v>
      </c>
      <c r="C63" s="118" t="str">
        <f t="shared" si="7"/>
        <v>Wed</v>
      </c>
      <c r="D63" s="128">
        <f t="shared" si="8"/>
        <v>1</v>
      </c>
      <c r="E63" s="131" t="s">
        <v>142</v>
      </c>
      <c r="F63" s="134" t="s">
        <v>142</v>
      </c>
      <c r="G63" s="134" t="s">
        <v>142</v>
      </c>
      <c r="H63" s="134" t="s">
        <v>142</v>
      </c>
      <c r="I63" s="134" t="s">
        <v>142</v>
      </c>
      <c r="J63" s="134" t="s">
        <v>142</v>
      </c>
      <c r="K63" s="134" t="s">
        <v>142</v>
      </c>
      <c r="L63" s="134" t="s">
        <v>142</v>
      </c>
      <c r="M63" s="136"/>
      <c r="N63" s="137"/>
    </row>
    <row r="64" hidden="1" outlineLevel="1">
      <c r="A64" s="113" t="s">
        <v>1463</v>
      </c>
      <c r="B64" s="309">
        <v>46253.0</v>
      </c>
      <c r="C64" s="118" t="str">
        <f t="shared" si="7"/>
        <v>Wed</v>
      </c>
      <c r="D64" s="143">
        <f t="shared" si="8"/>
        <v>1</v>
      </c>
      <c r="E64" s="144" t="s">
        <v>142</v>
      </c>
      <c r="F64" s="134" t="s">
        <v>142</v>
      </c>
      <c r="G64" s="134" t="s">
        <v>142</v>
      </c>
      <c r="H64" s="134" t="s">
        <v>142</v>
      </c>
      <c r="I64" s="134" t="s">
        <v>142</v>
      </c>
      <c r="J64" s="134" t="s">
        <v>142</v>
      </c>
      <c r="K64" s="134" t="s">
        <v>142</v>
      </c>
      <c r="L64" s="134" t="s">
        <v>142</v>
      </c>
      <c r="M64" s="136"/>
      <c r="N64" s="137"/>
    </row>
    <row r="65" hidden="1" outlineLevel="1">
      <c r="A65" s="113" t="s">
        <v>1465</v>
      </c>
      <c r="B65" s="309">
        <v>46253.0</v>
      </c>
      <c r="C65" s="118" t="str">
        <f t="shared" si="7"/>
        <v>Wed</v>
      </c>
      <c r="D65" s="128">
        <f t="shared" si="8"/>
        <v>1</v>
      </c>
      <c r="E65" s="131" t="s">
        <v>142</v>
      </c>
      <c r="F65" s="134" t="s">
        <v>142</v>
      </c>
      <c r="G65" s="134" t="s">
        <v>142</v>
      </c>
      <c r="H65" s="134" t="s">
        <v>142</v>
      </c>
      <c r="I65" s="134" t="s">
        <v>142</v>
      </c>
      <c r="J65" s="134" t="s">
        <v>142</v>
      </c>
      <c r="K65" s="134" t="s">
        <v>142</v>
      </c>
      <c r="L65" s="134" t="s">
        <v>142</v>
      </c>
      <c r="M65" s="136"/>
      <c r="N65" s="137"/>
    </row>
    <row r="66" hidden="1" outlineLevel="1">
      <c r="A66" s="113" t="s">
        <v>1466</v>
      </c>
      <c r="B66" s="309">
        <v>46254.0</v>
      </c>
      <c r="C66" s="118" t="str">
        <f t="shared" si="7"/>
        <v>Thu</v>
      </c>
      <c r="D66" s="143">
        <f t="shared" si="8"/>
        <v>1</v>
      </c>
      <c r="E66" s="144" t="s">
        <v>142</v>
      </c>
      <c r="F66" s="134" t="s">
        <v>142</v>
      </c>
      <c r="G66" s="134" t="s">
        <v>142</v>
      </c>
      <c r="H66" s="134" t="s">
        <v>142</v>
      </c>
      <c r="I66" s="134" t="s">
        <v>142</v>
      </c>
      <c r="J66" s="134" t="s">
        <v>142</v>
      </c>
      <c r="K66" s="134" t="s">
        <v>142</v>
      </c>
      <c r="L66" s="134" t="s">
        <v>142</v>
      </c>
      <c r="M66" s="136"/>
      <c r="N66" s="137"/>
    </row>
    <row r="67" hidden="1" outlineLevel="1">
      <c r="A67" s="113" t="s">
        <v>1468</v>
      </c>
      <c r="B67" s="309">
        <v>46254.0</v>
      </c>
      <c r="C67" s="118" t="str">
        <f t="shared" si="7"/>
        <v>Thu</v>
      </c>
      <c r="D67" s="128">
        <f t="shared" si="8"/>
        <v>1</v>
      </c>
      <c r="E67" s="131" t="s">
        <v>142</v>
      </c>
      <c r="F67" s="134" t="s">
        <v>142</v>
      </c>
      <c r="G67" s="134" t="s">
        <v>142</v>
      </c>
      <c r="H67" s="134" t="s">
        <v>142</v>
      </c>
      <c r="I67" s="134" t="s">
        <v>142</v>
      </c>
      <c r="J67" s="134" t="s">
        <v>142</v>
      </c>
      <c r="K67" s="134" t="s">
        <v>142</v>
      </c>
      <c r="L67" s="134" t="s">
        <v>142</v>
      </c>
      <c r="M67" s="136"/>
      <c r="N67" s="137"/>
    </row>
    <row r="68" hidden="1" outlineLevel="1">
      <c r="A68" s="113" t="s">
        <v>1471</v>
      </c>
      <c r="B68" s="309">
        <v>46254.0</v>
      </c>
      <c r="C68" s="118" t="str">
        <f t="shared" si="7"/>
        <v>Thu</v>
      </c>
      <c r="D68" s="143">
        <f t="shared" si="8"/>
        <v>1</v>
      </c>
      <c r="E68" s="144" t="s">
        <v>142</v>
      </c>
      <c r="F68" s="134" t="s">
        <v>142</v>
      </c>
      <c r="G68" s="134" t="s">
        <v>142</v>
      </c>
      <c r="H68" s="134" t="s">
        <v>142</v>
      </c>
      <c r="I68" s="134" t="s">
        <v>142</v>
      </c>
      <c r="J68" s="134" t="s">
        <v>142</v>
      </c>
      <c r="K68" s="134" t="s">
        <v>142</v>
      </c>
      <c r="L68" s="134" t="s">
        <v>142</v>
      </c>
      <c r="M68" s="136"/>
      <c r="N68" s="137"/>
    </row>
    <row r="69" hidden="1" outlineLevel="1">
      <c r="A69" s="113" t="s">
        <v>1472</v>
      </c>
      <c r="B69" s="309">
        <v>46256.0</v>
      </c>
      <c r="C69" s="118" t="str">
        <f t="shared" si="7"/>
        <v>Sat</v>
      </c>
      <c r="D69" s="128">
        <f t="shared" si="8"/>
        <v>1</v>
      </c>
      <c r="E69" s="131" t="s">
        <v>142</v>
      </c>
      <c r="F69" s="134" t="s">
        <v>142</v>
      </c>
      <c r="G69" s="134" t="s">
        <v>142</v>
      </c>
      <c r="H69" s="134" t="s">
        <v>142</v>
      </c>
      <c r="I69" s="134" t="s">
        <v>142</v>
      </c>
      <c r="J69" s="134" t="s">
        <v>142</v>
      </c>
      <c r="K69" s="134" t="s">
        <v>142</v>
      </c>
      <c r="L69" s="134" t="s">
        <v>142</v>
      </c>
      <c r="M69" s="136"/>
      <c r="N69" s="137"/>
    </row>
    <row r="70" hidden="1" outlineLevel="1">
      <c r="A70" s="113" t="s">
        <v>1473</v>
      </c>
      <c r="B70" s="309">
        <v>46256.0</v>
      </c>
      <c r="C70" s="118" t="str">
        <f t="shared" si="7"/>
        <v>Sat</v>
      </c>
      <c r="D70" s="143">
        <f t="shared" si="8"/>
        <v>1</v>
      </c>
      <c r="E70" s="144" t="s">
        <v>142</v>
      </c>
      <c r="F70" s="134" t="s">
        <v>142</v>
      </c>
      <c r="G70" s="134" t="s">
        <v>142</v>
      </c>
      <c r="H70" s="134" t="s">
        <v>142</v>
      </c>
      <c r="I70" s="134" t="s">
        <v>142</v>
      </c>
      <c r="J70" s="134" t="s">
        <v>142</v>
      </c>
      <c r="K70" s="134" t="s">
        <v>142</v>
      </c>
      <c r="L70" s="134" t="s">
        <v>142</v>
      </c>
      <c r="M70" s="136"/>
      <c r="N70" s="137"/>
    </row>
    <row r="71" ht="15.75" hidden="1" customHeight="1" outlineLevel="1">
      <c r="A71" s="113" t="s">
        <v>1475</v>
      </c>
      <c r="B71" s="309">
        <v>46256.0</v>
      </c>
      <c r="C71" s="118" t="str">
        <f t="shared" si="7"/>
        <v>Sat</v>
      </c>
      <c r="D71" s="128">
        <f t="shared" si="8"/>
        <v>1</v>
      </c>
      <c r="E71" s="131" t="s">
        <v>142</v>
      </c>
      <c r="F71" s="134" t="s">
        <v>142</v>
      </c>
      <c r="G71" s="134" t="s">
        <v>142</v>
      </c>
      <c r="H71" s="134" t="s">
        <v>142</v>
      </c>
      <c r="I71" s="134" t="s">
        <v>142</v>
      </c>
      <c r="J71" s="134" t="s">
        <v>142</v>
      </c>
      <c r="K71" s="134" t="s">
        <v>142</v>
      </c>
      <c r="L71" s="134" t="s">
        <v>142</v>
      </c>
      <c r="M71" s="136"/>
      <c r="N71" s="137"/>
    </row>
    <row r="72" hidden="1" outlineLevel="1">
      <c r="B72" s="215"/>
      <c r="C72" s="216" t="s">
        <v>199</v>
      </c>
      <c r="D72" s="217">
        <f>AVERAGE(D57:D71)</f>
        <v>1</v>
      </c>
      <c r="E72" s="218"/>
      <c r="L72" s="216" t="s">
        <v>199</v>
      </c>
      <c r="M72" s="217">
        <f>SUM(M57:M71)/75*0.1</f>
        <v>0</v>
      </c>
    </row>
    <row r="73" collapsed="1">
      <c r="A73" s="85" t="s">
        <v>397</v>
      </c>
      <c r="B73" s="86"/>
      <c r="C73" s="86"/>
      <c r="D73" s="88"/>
      <c r="E73" s="361"/>
      <c r="F73" s="361"/>
      <c r="G73" s="361"/>
      <c r="H73" s="361"/>
      <c r="I73" s="361"/>
      <c r="J73" s="361"/>
      <c r="K73" s="361"/>
      <c r="L73" s="361"/>
      <c r="M73" s="361"/>
      <c r="N73" s="361"/>
    </row>
    <row r="74" hidden="1" outlineLevel="1">
      <c r="A74" s="362" t="s">
        <v>89</v>
      </c>
      <c r="B74" s="363" t="s">
        <v>90</v>
      </c>
      <c r="C74" s="363" t="s">
        <v>91</v>
      </c>
      <c r="D74" s="364" t="s">
        <v>93</v>
      </c>
      <c r="E74" s="365" t="s">
        <v>94</v>
      </c>
      <c r="F74" s="365" t="s">
        <v>95</v>
      </c>
      <c r="G74" s="366" t="s">
        <v>96</v>
      </c>
      <c r="H74" s="366" t="s">
        <v>97</v>
      </c>
      <c r="I74" s="366" t="s">
        <v>104</v>
      </c>
      <c r="J74" s="366" t="s">
        <v>106</v>
      </c>
      <c r="K74" s="366" t="s">
        <v>109</v>
      </c>
      <c r="L74" s="366" t="s">
        <v>111</v>
      </c>
      <c r="M74" s="363" t="s">
        <v>114</v>
      </c>
      <c r="N74" s="363" t="s">
        <v>116</v>
      </c>
    </row>
    <row r="75" hidden="1" outlineLevel="1">
      <c r="A75" s="372" t="s">
        <v>1477</v>
      </c>
      <c r="B75" s="309">
        <v>46258.0</v>
      </c>
      <c r="C75" s="368" t="str">
        <f t="shared" ref="C75:C89" si="9">IF(B75="", "", TEXT(B75, "ddd"))</f>
        <v>Mon</v>
      </c>
      <c r="D75" s="128">
        <f t="shared" ref="D75:D89" si="10">IF(E75="Yes",0.05,0)
+IF(F75="Yes",0.1,0)
+IF(G75="Yes",0.15,0)
+IF(H75="Yes",0.15,0)
+IF(I75="Yes",0.05,0)
+IF(J75="Yes",0.05,0)
+IF(K75="Yes",0.15,0)
+IF(L75="Yes",0.3,0)
</f>
        <v>1</v>
      </c>
      <c r="E75" s="131" t="s">
        <v>142</v>
      </c>
      <c r="F75" s="134" t="s">
        <v>142</v>
      </c>
      <c r="G75" s="134" t="s">
        <v>142</v>
      </c>
      <c r="H75" s="134" t="s">
        <v>142</v>
      </c>
      <c r="I75" s="134" t="s">
        <v>142</v>
      </c>
      <c r="J75" s="134" t="s">
        <v>142</v>
      </c>
      <c r="K75" s="134" t="s">
        <v>142</v>
      </c>
      <c r="L75" s="134" t="s">
        <v>142</v>
      </c>
      <c r="M75" s="370"/>
      <c r="N75" s="137"/>
    </row>
    <row r="76" hidden="1" outlineLevel="1">
      <c r="A76" s="372" t="s">
        <v>1479</v>
      </c>
      <c r="B76" s="309">
        <v>46258.0</v>
      </c>
      <c r="C76" s="368" t="str">
        <f t="shared" si="9"/>
        <v>Mon</v>
      </c>
      <c r="D76" s="143">
        <f t="shared" si="10"/>
        <v>1</v>
      </c>
      <c r="E76" s="144" t="s">
        <v>142</v>
      </c>
      <c r="F76" s="134" t="s">
        <v>142</v>
      </c>
      <c r="G76" s="134" t="s">
        <v>142</v>
      </c>
      <c r="H76" s="134" t="s">
        <v>142</v>
      </c>
      <c r="I76" s="134" t="s">
        <v>142</v>
      </c>
      <c r="J76" s="134" t="s">
        <v>142</v>
      </c>
      <c r="K76" s="134" t="s">
        <v>142</v>
      </c>
      <c r="L76" s="134" t="s">
        <v>142</v>
      </c>
      <c r="M76" s="370"/>
      <c r="N76" s="370"/>
    </row>
    <row r="77" hidden="1" outlineLevel="1">
      <c r="A77" s="372" t="s">
        <v>1481</v>
      </c>
      <c r="B77" s="309">
        <v>46258.0</v>
      </c>
      <c r="C77" s="368" t="str">
        <f t="shared" si="9"/>
        <v>Mon</v>
      </c>
      <c r="D77" s="128">
        <f t="shared" si="10"/>
        <v>1</v>
      </c>
      <c r="E77" s="131" t="s">
        <v>142</v>
      </c>
      <c r="F77" s="134" t="s">
        <v>142</v>
      </c>
      <c r="G77" s="134" t="s">
        <v>142</v>
      </c>
      <c r="H77" s="134" t="s">
        <v>142</v>
      </c>
      <c r="I77" s="134" t="s">
        <v>142</v>
      </c>
      <c r="J77" s="134" t="s">
        <v>142</v>
      </c>
      <c r="K77" s="134" t="s">
        <v>142</v>
      </c>
      <c r="L77" s="134" t="s">
        <v>142</v>
      </c>
      <c r="M77" s="370"/>
      <c r="N77" s="370"/>
    </row>
    <row r="78" hidden="1" outlineLevel="1">
      <c r="A78" s="372" t="s">
        <v>1483</v>
      </c>
      <c r="B78" s="309">
        <v>46259.0</v>
      </c>
      <c r="C78" s="368" t="str">
        <f t="shared" si="9"/>
        <v>Tue</v>
      </c>
      <c r="D78" s="143">
        <f t="shared" si="10"/>
        <v>1</v>
      </c>
      <c r="E78" s="144" t="s">
        <v>142</v>
      </c>
      <c r="F78" s="134" t="s">
        <v>142</v>
      </c>
      <c r="G78" s="134" t="s">
        <v>142</v>
      </c>
      <c r="H78" s="134" t="s">
        <v>142</v>
      </c>
      <c r="I78" s="134" t="s">
        <v>142</v>
      </c>
      <c r="J78" s="134" t="s">
        <v>142</v>
      </c>
      <c r="K78" s="134" t="s">
        <v>142</v>
      </c>
      <c r="L78" s="134" t="s">
        <v>142</v>
      </c>
      <c r="M78" s="370"/>
      <c r="N78" s="370"/>
    </row>
    <row r="79" hidden="1" outlineLevel="1">
      <c r="A79" s="372" t="s">
        <v>1485</v>
      </c>
      <c r="B79" s="309">
        <v>46259.0</v>
      </c>
      <c r="C79" s="368" t="str">
        <f t="shared" si="9"/>
        <v>Tue</v>
      </c>
      <c r="D79" s="128">
        <f t="shared" si="10"/>
        <v>1</v>
      </c>
      <c r="E79" s="131" t="s">
        <v>142</v>
      </c>
      <c r="F79" s="134" t="s">
        <v>142</v>
      </c>
      <c r="G79" s="134" t="s">
        <v>142</v>
      </c>
      <c r="H79" s="134" t="s">
        <v>142</v>
      </c>
      <c r="I79" s="134" t="s">
        <v>142</v>
      </c>
      <c r="J79" s="134" t="s">
        <v>142</v>
      </c>
      <c r="K79" s="134" t="s">
        <v>142</v>
      </c>
      <c r="L79" s="134" t="s">
        <v>142</v>
      </c>
      <c r="M79" s="370"/>
      <c r="N79" s="370"/>
    </row>
    <row r="80" hidden="1" outlineLevel="1">
      <c r="A80" s="372" t="s">
        <v>1487</v>
      </c>
      <c r="B80" s="309">
        <v>46259.0</v>
      </c>
      <c r="C80" s="368" t="str">
        <f t="shared" si="9"/>
        <v>Tue</v>
      </c>
      <c r="D80" s="143">
        <f t="shared" si="10"/>
        <v>1</v>
      </c>
      <c r="E80" s="144" t="s">
        <v>142</v>
      </c>
      <c r="F80" s="134" t="s">
        <v>142</v>
      </c>
      <c r="G80" s="134" t="s">
        <v>142</v>
      </c>
      <c r="H80" s="134" t="s">
        <v>142</v>
      </c>
      <c r="I80" s="134" t="s">
        <v>142</v>
      </c>
      <c r="J80" s="134" t="s">
        <v>142</v>
      </c>
      <c r="K80" s="134" t="s">
        <v>142</v>
      </c>
      <c r="L80" s="134" t="s">
        <v>142</v>
      </c>
      <c r="M80" s="370"/>
      <c r="N80" s="370"/>
    </row>
    <row r="81" hidden="1" outlineLevel="1">
      <c r="A81" s="372" t="s">
        <v>1489</v>
      </c>
      <c r="B81" s="309">
        <v>46260.0</v>
      </c>
      <c r="C81" s="368" t="str">
        <f t="shared" si="9"/>
        <v>Wed</v>
      </c>
      <c r="D81" s="128">
        <f t="shared" si="10"/>
        <v>1</v>
      </c>
      <c r="E81" s="131" t="s">
        <v>142</v>
      </c>
      <c r="F81" s="134" t="s">
        <v>142</v>
      </c>
      <c r="G81" s="134" t="s">
        <v>142</v>
      </c>
      <c r="H81" s="134" t="s">
        <v>142</v>
      </c>
      <c r="I81" s="134" t="s">
        <v>142</v>
      </c>
      <c r="J81" s="134" t="s">
        <v>142</v>
      </c>
      <c r="K81" s="134" t="s">
        <v>142</v>
      </c>
      <c r="L81" s="134" t="s">
        <v>142</v>
      </c>
      <c r="M81" s="370"/>
      <c r="N81" s="370"/>
    </row>
    <row r="82" hidden="1" outlineLevel="1">
      <c r="A82" s="372" t="s">
        <v>1491</v>
      </c>
      <c r="B82" s="309">
        <v>46260.0</v>
      </c>
      <c r="C82" s="368" t="str">
        <f t="shared" si="9"/>
        <v>Wed</v>
      </c>
      <c r="D82" s="143">
        <f t="shared" si="10"/>
        <v>1</v>
      </c>
      <c r="E82" s="144" t="s">
        <v>142</v>
      </c>
      <c r="F82" s="134" t="s">
        <v>142</v>
      </c>
      <c r="G82" s="134" t="s">
        <v>142</v>
      </c>
      <c r="H82" s="134" t="s">
        <v>142</v>
      </c>
      <c r="I82" s="134" t="s">
        <v>142</v>
      </c>
      <c r="J82" s="134" t="s">
        <v>142</v>
      </c>
      <c r="K82" s="134" t="s">
        <v>142</v>
      </c>
      <c r="L82" s="134" t="s">
        <v>142</v>
      </c>
      <c r="M82" s="370"/>
      <c r="N82" s="370"/>
    </row>
    <row r="83" hidden="1" outlineLevel="1">
      <c r="A83" s="372" t="s">
        <v>1493</v>
      </c>
      <c r="B83" s="309">
        <v>46260.0</v>
      </c>
      <c r="C83" s="368" t="str">
        <f t="shared" si="9"/>
        <v>Wed</v>
      </c>
      <c r="D83" s="128">
        <f t="shared" si="10"/>
        <v>1</v>
      </c>
      <c r="E83" s="131" t="s">
        <v>142</v>
      </c>
      <c r="F83" s="134" t="s">
        <v>142</v>
      </c>
      <c r="G83" s="134" t="s">
        <v>142</v>
      </c>
      <c r="H83" s="134" t="s">
        <v>142</v>
      </c>
      <c r="I83" s="134" t="s">
        <v>142</v>
      </c>
      <c r="J83" s="134" t="s">
        <v>142</v>
      </c>
      <c r="K83" s="134" t="s">
        <v>142</v>
      </c>
      <c r="L83" s="134" t="s">
        <v>142</v>
      </c>
      <c r="M83" s="370"/>
      <c r="N83" s="370"/>
    </row>
    <row r="84" hidden="1" outlineLevel="1">
      <c r="A84" s="372" t="s">
        <v>1495</v>
      </c>
      <c r="B84" s="309">
        <v>46261.0</v>
      </c>
      <c r="C84" s="368" t="str">
        <f t="shared" si="9"/>
        <v>Thu</v>
      </c>
      <c r="D84" s="143">
        <f t="shared" si="10"/>
        <v>1</v>
      </c>
      <c r="E84" s="144" t="s">
        <v>142</v>
      </c>
      <c r="F84" s="134" t="s">
        <v>142</v>
      </c>
      <c r="G84" s="134" t="s">
        <v>142</v>
      </c>
      <c r="H84" s="134" t="s">
        <v>142</v>
      </c>
      <c r="I84" s="134" t="s">
        <v>142</v>
      </c>
      <c r="J84" s="134" t="s">
        <v>142</v>
      </c>
      <c r="K84" s="134" t="s">
        <v>142</v>
      </c>
      <c r="L84" s="134" t="s">
        <v>142</v>
      </c>
      <c r="M84" s="370"/>
      <c r="N84" s="370"/>
    </row>
    <row r="85" hidden="1" outlineLevel="1">
      <c r="A85" s="372" t="s">
        <v>1497</v>
      </c>
      <c r="B85" s="309">
        <v>46261.0</v>
      </c>
      <c r="C85" s="368" t="str">
        <f t="shared" si="9"/>
        <v>Thu</v>
      </c>
      <c r="D85" s="128">
        <f t="shared" si="10"/>
        <v>1</v>
      </c>
      <c r="E85" s="131" t="s">
        <v>142</v>
      </c>
      <c r="F85" s="134" t="s">
        <v>142</v>
      </c>
      <c r="G85" s="134" t="s">
        <v>142</v>
      </c>
      <c r="H85" s="134" t="s">
        <v>142</v>
      </c>
      <c r="I85" s="134" t="s">
        <v>142</v>
      </c>
      <c r="J85" s="134" t="s">
        <v>142</v>
      </c>
      <c r="K85" s="134" t="s">
        <v>142</v>
      </c>
      <c r="L85" s="134" t="s">
        <v>142</v>
      </c>
      <c r="M85" s="370"/>
      <c r="N85" s="370"/>
    </row>
    <row r="86" hidden="1" outlineLevel="1">
      <c r="A86" s="372" t="s">
        <v>1500</v>
      </c>
      <c r="B86" s="309">
        <v>46261.0</v>
      </c>
      <c r="C86" s="368" t="str">
        <f t="shared" si="9"/>
        <v>Thu</v>
      </c>
      <c r="D86" s="143">
        <f t="shared" si="10"/>
        <v>1</v>
      </c>
      <c r="E86" s="144" t="s">
        <v>142</v>
      </c>
      <c r="F86" s="134" t="s">
        <v>142</v>
      </c>
      <c r="G86" s="134" t="s">
        <v>142</v>
      </c>
      <c r="H86" s="134" t="s">
        <v>142</v>
      </c>
      <c r="I86" s="134" t="s">
        <v>142</v>
      </c>
      <c r="J86" s="134" t="s">
        <v>142</v>
      </c>
      <c r="K86" s="134" t="s">
        <v>142</v>
      </c>
      <c r="L86" s="134" t="s">
        <v>142</v>
      </c>
      <c r="M86" s="370"/>
      <c r="N86" s="370"/>
    </row>
    <row r="87" hidden="1" outlineLevel="1">
      <c r="A87" s="372" t="s">
        <v>1502</v>
      </c>
      <c r="B87" s="309">
        <v>46262.0</v>
      </c>
      <c r="C87" s="368" t="str">
        <f t="shared" si="9"/>
        <v>Fri</v>
      </c>
      <c r="D87" s="128">
        <f t="shared" si="10"/>
        <v>1</v>
      </c>
      <c r="E87" s="131" t="s">
        <v>142</v>
      </c>
      <c r="F87" s="134" t="s">
        <v>142</v>
      </c>
      <c r="G87" s="134" t="s">
        <v>142</v>
      </c>
      <c r="H87" s="134" t="s">
        <v>142</v>
      </c>
      <c r="I87" s="134" t="s">
        <v>142</v>
      </c>
      <c r="J87" s="134" t="s">
        <v>142</v>
      </c>
      <c r="K87" s="134" t="s">
        <v>142</v>
      </c>
      <c r="L87" s="134" t="s">
        <v>142</v>
      </c>
      <c r="M87" s="370"/>
      <c r="N87" s="370"/>
    </row>
    <row r="88" hidden="1" outlineLevel="1">
      <c r="A88" s="372" t="s">
        <v>1504</v>
      </c>
      <c r="B88" s="309">
        <v>46262.0</v>
      </c>
      <c r="C88" s="368" t="str">
        <f t="shared" si="9"/>
        <v>Fri</v>
      </c>
      <c r="D88" s="143">
        <f t="shared" si="10"/>
        <v>1</v>
      </c>
      <c r="E88" s="144" t="s">
        <v>142</v>
      </c>
      <c r="F88" s="134" t="s">
        <v>142</v>
      </c>
      <c r="G88" s="134" t="s">
        <v>142</v>
      </c>
      <c r="H88" s="134" t="s">
        <v>142</v>
      </c>
      <c r="I88" s="134" t="s">
        <v>142</v>
      </c>
      <c r="J88" s="134" t="s">
        <v>142</v>
      </c>
      <c r="K88" s="134" t="s">
        <v>142</v>
      </c>
      <c r="L88" s="134" t="s">
        <v>142</v>
      </c>
      <c r="M88" s="370"/>
      <c r="N88" s="370"/>
    </row>
    <row r="89" hidden="1" outlineLevel="1">
      <c r="A89" s="372" t="s">
        <v>1506</v>
      </c>
      <c r="B89" s="309">
        <v>46262.0</v>
      </c>
      <c r="C89" s="368" t="str">
        <f t="shared" si="9"/>
        <v>Fri</v>
      </c>
      <c r="D89" s="128">
        <f t="shared" si="10"/>
        <v>1</v>
      </c>
      <c r="E89" s="131" t="s">
        <v>142</v>
      </c>
      <c r="F89" s="134" t="s">
        <v>142</v>
      </c>
      <c r="G89" s="134" t="s">
        <v>142</v>
      </c>
      <c r="H89" s="134" t="s">
        <v>142</v>
      </c>
      <c r="I89" s="134" t="s">
        <v>142</v>
      </c>
      <c r="J89" s="134" t="s">
        <v>142</v>
      </c>
      <c r="K89" s="134" t="s">
        <v>142</v>
      </c>
      <c r="L89" s="134" t="s">
        <v>142</v>
      </c>
      <c r="M89" s="370"/>
      <c r="N89" s="370"/>
    </row>
    <row r="90" hidden="1" outlineLevel="1">
      <c r="A90" s="373"/>
      <c r="B90" s="373"/>
      <c r="C90" s="374" t="s">
        <v>199</v>
      </c>
      <c r="D90" s="414">
        <f>AVERAGE(D75:D89)</f>
        <v>1</v>
      </c>
      <c r="E90" s="391"/>
      <c r="F90" s="373"/>
      <c r="G90" s="373"/>
      <c r="H90" s="373"/>
      <c r="I90" s="373"/>
      <c r="J90" s="373"/>
      <c r="K90" s="373"/>
      <c r="L90" s="374" t="s">
        <v>199</v>
      </c>
      <c r="M90" s="377">
        <f>SUM(M75:M89)/75*0.1</f>
        <v>0</v>
      </c>
      <c r="N90" s="373"/>
    </row>
    <row r="91" collapsed="1">
      <c r="A91" s="85" t="s">
        <v>423</v>
      </c>
      <c r="B91" s="86"/>
      <c r="C91" s="86"/>
      <c r="D91" s="88"/>
      <c r="E91" s="361"/>
      <c r="F91" s="361"/>
      <c r="G91" s="361"/>
      <c r="H91" s="361"/>
      <c r="I91" s="361"/>
      <c r="J91" s="361"/>
      <c r="K91" s="361"/>
      <c r="L91" s="361"/>
      <c r="M91" s="361"/>
      <c r="N91" s="361"/>
    </row>
    <row r="92" hidden="1" outlineLevel="1">
      <c r="A92" s="362" t="s">
        <v>89</v>
      </c>
      <c r="B92" s="363" t="s">
        <v>90</v>
      </c>
      <c r="C92" s="363" t="s">
        <v>91</v>
      </c>
      <c r="D92" s="364" t="s">
        <v>93</v>
      </c>
      <c r="E92" s="365" t="s">
        <v>94</v>
      </c>
      <c r="F92" s="365" t="s">
        <v>95</v>
      </c>
      <c r="G92" s="366" t="s">
        <v>96</v>
      </c>
      <c r="H92" s="366" t="s">
        <v>97</v>
      </c>
      <c r="I92" s="366" t="s">
        <v>104</v>
      </c>
      <c r="J92" s="366" t="s">
        <v>106</v>
      </c>
      <c r="K92" s="366" t="s">
        <v>109</v>
      </c>
      <c r="L92" s="366" t="s">
        <v>111</v>
      </c>
      <c r="M92" s="363" t="s">
        <v>114</v>
      </c>
      <c r="N92" s="363" t="s">
        <v>116</v>
      </c>
    </row>
    <row r="93" hidden="1" outlineLevel="1">
      <c r="A93" s="372" t="s">
        <v>1509</v>
      </c>
      <c r="B93" s="309">
        <v>46265.0</v>
      </c>
      <c r="C93" s="368" t="str">
        <f t="shared" ref="C93:C107" si="11">IF(B93="", "", TEXT(B93, "ddd"))</f>
        <v>Mon</v>
      </c>
      <c r="D93" s="128">
        <f t="shared" ref="D93:D107" si="12">IF(E93="Yes",0.05,0)
+IF(F93="Yes",0.1,0)
+IF(G93="Yes",0.15,0)
+IF(H93="Yes",0.15,0)
+IF(I93="Yes",0.05,0)
+IF(J93="Yes",0.05,0)
+IF(K93="Yes",0.15,0)
+IF(L93="Yes",0.3,0)
</f>
        <v>1</v>
      </c>
      <c r="E93" s="131" t="s">
        <v>142</v>
      </c>
      <c r="F93" s="134" t="s">
        <v>142</v>
      </c>
      <c r="G93" s="134" t="s">
        <v>142</v>
      </c>
      <c r="H93" s="134" t="s">
        <v>142</v>
      </c>
      <c r="I93" s="134" t="s">
        <v>142</v>
      </c>
      <c r="J93" s="134" t="s">
        <v>142</v>
      </c>
      <c r="K93" s="134" t="s">
        <v>142</v>
      </c>
      <c r="L93" s="134" t="s">
        <v>142</v>
      </c>
      <c r="M93" s="370"/>
      <c r="N93" s="137"/>
    </row>
    <row r="94" hidden="1" outlineLevel="1">
      <c r="A94" s="367" t="s">
        <v>1511</v>
      </c>
      <c r="B94" s="309">
        <v>46265.0</v>
      </c>
      <c r="C94" s="368" t="str">
        <f t="shared" si="11"/>
        <v>Mon</v>
      </c>
      <c r="D94" s="143">
        <f t="shared" si="12"/>
        <v>1</v>
      </c>
      <c r="E94" s="144" t="s">
        <v>142</v>
      </c>
      <c r="F94" s="134" t="s">
        <v>142</v>
      </c>
      <c r="G94" s="134" t="s">
        <v>142</v>
      </c>
      <c r="H94" s="134" t="s">
        <v>142</v>
      </c>
      <c r="I94" s="134" t="s">
        <v>142</v>
      </c>
      <c r="J94" s="134" t="s">
        <v>142</v>
      </c>
      <c r="K94" s="134" t="s">
        <v>142</v>
      </c>
      <c r="L94" s="134" t="s">
        <v>142</v>
      </c>
      <c r="M94" s="370"/>
      <c r="N94" s="137"/>
    </row>
    <row r="95" hidden="1" outlineLevel="1">
      <c r="A95" s="367" t="s">
        <v>1513</v>
      </c>
      <c r="B95" s="309">
        <v>46265.0</v>
      </c>
      <c r="C95" s="368" t="str">
        <f t="shared" si="11"/>
        <v>Mon</v>
      </c>
      <c r="D95" s="128">
        <f t="shared" si="12"/>
        <v>1</v>
      </c>
      <c r="E95" s="131" t="s">
        <v>142</v>
      </c>
      <c r="F95" s="134" t="s">
        <v>142</v>
      </c>
      <c r="G95" s="134" t="s">
        <v>142</v>
      </c>
      <c r="H95" s="134" t="s">
        <v>142</v>
      </c>
      <c r="I95" s="134" t="s">
        <v>142</v>
      </c>
      <c r="J95" s="134" t="s">
        <v>142</v>
      </c>
      <c r="K95" s="134" t="s">
        <v>142</v>
      </c>
      <c r="L95" s="134" t="s">
        <v>142</v>
      </c>
      <c r="M95" s="370"/>
      <c r="N95" s="137"/>
    </row>
    <row r="96" hidden="1" outlineLevel="1">
      <c r="A96" s="367" t="s">
        <v>1516</v>
      </c>
      <c r="B96" s="309">
        <v>46266.0</v>
      </c>
      <c r="C96" s="368" t="str">
        <f t="shared" si="11"/>
        <v>Tue</v>
      </c>
      <c r="D96" s="143">
        <f t="shared" si="12"/>
        <v>1</v>
      </c>
      <c r="E96" s="144" t="s">
        <v>142</v>
      </c>
      <c r="F96" s="134" t="s">
        <v>142</v>
      </c>
      <c r="G96" s="134" t="s">
        <v>142</v>
      </c>
      <c r="H96" s="134" t="s">
        <v>142</v>
      </c>
      <c r="I96" s="134" t="s">
        <v>142</v>
      </c>
      <c r="J96" s="134" t="s">
        <v>142</v>
      </c>
      <c r="K96" s="134" t="s">
        <v>142</v>
      </c>
      <c r="L96" s="134" t="s">
        <v>142</v>
      </c>
      <c r="M96" s="370"/>
      <c r="N96" s="137"/>
    </row>
    <row r="97" hidden="1" outlineLevel="1">
      <c r="A97" s="367" t="s">
        <v>1518</v>
      </c>
      <c r="B97" s="309">
        <v>46266.0</v>
      </c>
      <c r="C97" s="368" t="str">
        <f t="shared" si="11"/>
        <v>Tue</v>
      </c>
      <c r="D97" s="128">
        <f t="shared" si="12"/>
        <v>1</v>
      </c>
      <c r="E97" s="131" t="s">
        <v>142</v>
      </c>
      <c r="F97" s="134" t="s">
        <v>142</v>
      </c>
      <c r="G97" s="134" t="s">
        <v>142</v>
      </c>
      <c r="H97" s="134" t="s">
        <v>142</v>
      </c>
      <c r="I97" s="134" t="s">
        <v>142</v>
      </c>
      <c r="J97" s="134" t="s">
        <v>142</v>
      </c>
      <c r="K97" s="134" t="s">
        <v>142</v>
      </c>
      <c r="L97" s="134" t="s">
        <v>142</v>
      </c>
      <c r="M97" s="370"/>
      <c r="N97" s="137"/>
    </row>
    <row r="98" hidden="1" outlineLevel="1">
      <c r="A98" s="367" t="s">
        <v>1519</v>
      </c>
      <c r="B98" s="309">
        <v>46266.0</v>
      </c>
      <c r="C98" s="368" t="str">
        <f t="shared" si="11"/>
        <v>Tue</v>
      </c>
      <c r="D98" s="143">
        <f t="shared" si="12"/>
        <v>1</v>
      </c>
      <c r="E98" s="144" t="s">
        <v>142</v>
      </c>
      <c r="F98" s="134" t="s">
        <v>142</v>
      </c>
      <c r="G98" s="134" t="s">
        <v>142</v>
      </c>
      <c r="H98" s="134" t="s">
        <v>142</v>
      </c>
      <c r="I98" s="134" t="s">
        <v>142</v>
      </c>
      <c r="J98" s="134" t="s">
        <v>142</v>
      </c>
      <c r="K98" s="134" t="s">
        <v>142</v>
      </c>
      <c r="L98" s="134" t="s">
        <v>142</v>
      </c>
      <c r="M98" s="370"/>
      <c r="N98" s="137"/>
    </row>
    <row r="99" hidden="1" outlineLevel="1">
      <c r="A99" s="367" t="s">
        <v>1520</v>
      </c>
      <c r="B99" s="309">
        <v>46268.0</v>
      </c>
      <c r="C99" s="368" t="str">
        <f t="shared" si="11"/>
        <v>Thu</v>
      </c>
      <c r="D99" s="128">
        <f t="shared" si="12"/>
        <v>1</v>
      </c>
      <c r="E99" s="131" t="s">
        <v>142</v>
      </c>
      <c r="F99" s="134" t="s">
        <v>142</v>
      </c>
      <c r="G99" s="134" t="s">
        <v>142</v>
      </c>
      <c r="H99" s="134" t="s">
        <v>142</v>
      </c>
      <c r="I99" s="134" t="s">
        <v>142</v>
      </c>
      <c r="J99" s="134" t="s">
        <v>142</v>
      </c>
      <c r="K99" s="134" t="s">
        <v>142</v>
      </c>
      <c r="L99" s="134" t="s">
        <v>142</v>
      </c>
      <c r="M99" s="370"/>
      <c r="N99" s="137"/>
    </row>
    <row r="100" hidden="1" outlineLevel="1">
      <c r="A100" s="367" t="s">
        <v>1521</v>
      </c>
      <c r="B100" s="309">
        <v>46268.0</v>
      </c>
      <c r="C100" s="368" t="str">
        <f t="shared" si="11"/>
        <v>Thu</v>
      </c>
      <c r="D100" s="143">
        <f t="shared" si="12"/>
        <v>1</v>
      </c>
      <c r="E100" s="144" t="s">
        <v>142</v>
      </c>
      <c r="F100" s="134" t="s">
        <v>142</v>
      </c>
      <c r="G100" s="134" t="s">
        <v>142</v>
      </c>
      <c r="H100" s="134" t="s">
        <v>142</v>
      </c>
      <c r="I100" s="134" t="s">
        <v>142</v>
      </c>
      <c r="J100" s="134" t="s">
        <v>142</v>
      </c>
      <c r="K100" s="134" t="s">
        <v>142</v>
      </c>
      <c r="L100" s="134" t="s">
        <v>142</v>
      </c>
      <c r="M100" s="370"/>
      <c r="N100" s="137"/>
    </row>
    <row r="101" hidden="1" outlineLevel="1">
      <c r="A101" s="367" t="s">
        <v>1522</v>
      </c>
      <c r="B101" s="309">
        <v>46268.0</v>
      </c>
      <c r="C101" s="368" t="str">
        <f t="shared" si="11"/>
        <v>Thu</v>
      </c>
      <c r="D101" s="128">
        <f t="shared" si="12"/>
        <v>1</v>
      </c>
      <c r="E101" s="131" t="s">
        <v>142</v>
      </c>
      <c r="F101" s="134" t="s">
        <v>142</v>
      </c>
      <c r="G101" s="134" t="s">
        <v>142</v>
      </c>
      <c r="H101" s="134" t="s">
        <v>142</v>
      </c>
      <c r="I101" s="134" t="s">
        <v>142</v>
      </c>
      <c r="J101" s="134" t="s">
        <v>142</v>
      </c>
      <c r="K101" s="134" t="s">
        <v>142</v>
      </c>
      <c r="L101" s="134" t="s">
        <v>142</v>
      </c>
      <c r="M101" s="370"/>
      <c r="N101" s="137"/>
    </row>
    <row r="102" hidden="1" outlineLevel="1">
      <c r="A102" s="367" t="s">
        <v>1524</v>
      </c>
      <c r="B102" s="309">
        <v>46269.0</v>
      </c>
      <c r="C102" s="368" t="str">
        <f t="shared" si="11"/>
        <v>Fri</v>
      </c>
      <c r="D102" s="143">
        <f t="shared" si="12"/>
        <v>1</v>
      </c>
      <c r="E102" s="144" t="s">
        <v>142</v>
      </c>
      <c r="F102" s="134" t="s">
        <v>142</v>
      </c>
      <c r="G102" s="134" t="s">
        <v>142</v>
      </c>
      <c r="H102" s="134" t="s">
        <v>142</v>
      </c>
      <c r="I102" s="134" t="s">
        <v>142</v>
      </c>
      <c r="J102" s="134" t="s">
        <v>142</v>
      </c>
      <c r="K102" s="134" t="s">
        <v>142</v>
      </c>
      <c r="L102" s="134" t="s">
        <v>142</v>
      </c>
      <c r="M102" s="370"/>
      <c r="N102" s="137"/>
    </row>
    <row r="103" hidden="1" outlineLevel="1">
      <c r="A103" s="367" t="s">
        <v>1526</v>
      </c>
      <c r="B103" s="309">
        <v>46269.0</v>
      </c>
      <c r="C103" s="368" t="str">
        <f t="shared" si="11"/>
        <v>Fri</v>
      </c>
      <c r="D103" s="128">
        <f t="shared" si="12"/>
        <v>1</v>
      </c>
      <c r="E103" s="131" t="s">
        <v>142</v>
      </c>
      <c r="F103" s="134" t="s">
        <v>142</v>
      </c>
      <c r="G103" s="134" t="s">
        <v>142</v>
      </c>
      <c r="H103" s="134" t="s">
        <v>142</v>
      </c>
      <c r="I103" s="134" t="s">
        <v>142</v>
      </c>
      <c r="J103" s="134" t="s">
        <v>142</v>
      </c>
      <c r="K103" s="134" t="s">
        <v>142</v>
      </c>
      <c r="L103" s="134" t="s">
        <v>142</v>
      </c>
      <c r="M103" s="370"/>
      <c r="N103" s="137"/>
    </row>
    <row r="104" hidden="1" outlineLevel="1">
      <c r="A104" s="367" t="s">
        <v>1528</v>
      </c>
      <c r="B104" s="309">
        <v>46269.0</v>
      </c>
      <c r="C104" s="368" t="str">
        <f t="shared" si="11"/>
        <v>Fri</v>
      </c>
      <c r="D104" s="143">
        <f t="shared" si="12"/>
        <v>1</v>
      </c>
      <c r="E104" s="144" t="s">
        <v>142</v>
      </c>
      <c r="F104" s="134" t="s">
        <v>142</v>
      </c>
      <c r="G104" s="134" t="s">
        <v>142</v>
      </c>
      <c r="H104" s="134" t="s">
        <v>142</v>
      </c>
      <c r="I104" s="134" t="s">
        <v>142</v>
      </c>
      <c r="J104" s="134" t="s">
        <v>142</v>
      </c>
      <c r="K104" s="134" t="s">
        <v>142</v>
      </c>
      <c r="L104" s="134" t="s">
        <v>142</v>
      </c>
      <c r="M104" s="370"/>
      <c r="N104" s="137"/>
    </row>
    <row r="105" hidden="1" outlineLevel="1">
      <c r="A105" s="367" t="s">
        <v>1530</v>
      </c>
      <c r="B105" s="309">
        <v>46270.0</v>
      </c>
      <c r="C105" s="368" t="str">
        <f t="shared" si="11"/>
        <v>Sat</v>
      </c>
      <c r="D105" s="128">
        <f t="shared" si="12"/>
        <v>1</v>
      </c>
      <c r="E105" s="131" t="s">
        <v>142</v>
      </c>
      <c r="F105" s="134" t="s">
        <v>142</v>
      </c>
      <c r="G105" s="134" t="s">
        <v>142</v>
      </c>
      <c r="H105" s="134" t="s">
        <v>142</v>
      </c>
      <c r="I105" s="134" t="s">
        <v>142</v>
      </c>
      <c r="J105" s="134" t="s">
        <v>142</v>
      </c>
      <c r="K105" s="134" t="s">
        <v>142</v>
      </c>
      <c r="L105" s="134" t="s">
        <v>142</v>
      </c>
      <c r="M105" s="370"/>
      <c r="N105" s="137"/>
    </row>
    <row r="106" hidden="1" outlineLevel="1">
      <c r="A106" s="367" t="s">
        <v>1533</v>
      </c>
      <c r="B106" s="309">
        <v>46270.0</v>
      </c>
      <c r="C106" s="368" t="str">
        <f t="shared" si="11"/>
        <v>Sat</v>
      </c>
      <c r="D106" s="143">
        <f t="shared" si="12"/>
        <v>1</v>
      </c>
      <c r="E106" s="144" t="s">
        <v>142</v>
      </c>
      <c r="F106" s="134" t="s">
        <v>142</v>
      </c>
      <c r="G106" s="134" t="s">
        <v>142</v>
      </c>
      <c r="H106" s="134" t="s">
        <v>142</v>
      </c>
      <c r="I106" s="134" t="s">
        <v>142</v>
      </c>
      <c r="J106" s="134" t="s">
        <v>142</v>
      </c>
      <c r="K106" s="134" t="s">
        <v>142</v>
      </c>
      <c r="L106" s="134" t="s">
        <v>142</v>
      </c>
      <c r="M106" s="370"/>
      <c r="N106" s="137"/>
    </row>
    <row r="107" hidden="1" outlineLevel="1">
      <c r="A107" s="367" t="s">
        <v>1535</v>
      </c>
      <c r="B107" s="309">
        <v>46270.0</v>
      </c>
      <c r="C107" s="368" t="str">
        <f t="shared" si="11"/>
        <v>Sat</v>
      </c>
      <c r="D107" s="128">
        <f t="shared" si="12"/>
        <v>1</v>
      </c>
      <c r="E107" s="131" t="s">
        <v>142</v>
      </c>
      <c r="F107" s="134" t="s">
        <v>142</v>
      </c>
      <c r="G107" s="134" t="s">
        <v>142</v>
      </c>
      <c r="H107" s="134" t="s">
        <v>142</v>
      </c>
      <c r="I107" s="134" t="s">
        <v>142</v>
      </c>
      <c r="J107" s="134" t="s">
        <v>142</v>
      </c>
      <c r="K107" s="134" t="s">
        <v>142</v>
      </c>
      <c r="L107" s="134" t="s">
        <v>142</v>
      </c>
      <c r="M107" s="370"/>
      <c r="N107" s="137"/>
    </row>
    <row r="108" hidden="1" outlineLevel="1">
      <c r="A108" s="373"/>
      <c r="B108" s="373"/>
      <c r="C108" s="374" t="s">
        <v>199</v>
      </c>
      <c r="D108" s="414">
        <f>AVERAGE(D93:D107)</f>
        <v>1</v>
      </c>
      <c r="E108" s="391"/>
      <c r="F108" s="373"/>
      <c r="G108" s="373"/>
      <c r="H108" s="373"/>
      <c r="I108" s="373"/>
      <c r="J108" s="373"/>
      <c r="K108" s="373"/>
      <c r="L108" s="374" t="s">
        <v>199</v>
      </c>
      <c r="M108" s="377">
        <f>SUM(M93:M107)/75*0.1</f>
        <v>0</v>
      </c>
      <c r="N108" s="373"/>
    </row>
    <row r="109" collapsed="1">
      <c r="A109" s="85" t="s">
        <v>450</v>
      </c>
      <c r="B109" s="86"/>
      <c r="C109" s="86"/>
      <c r="D109" s="88"/>
      <c r="E109" s="361"/>
      <c r="F109" s="361"/>
      <c r="G109" s="361"/>
      <c r="H109" s="361"/>
      <c r="I109" s="361"/>
      <c r="J109" s="361"/>
      <c r="K109" s="361"/>
      <c r="L109" s="361"/>
      <c r="M109" s="361"/>
      <c r="N109" s="361"/>
    </row>
    <row r="110" hidden="1" outlineLevel="1">
      <c r="A110" s="362" t="s">
        <v>89</v>
      </c>
      <c r="B110" s="363" t="s">
        <v>90</v>
      </c>
      <c r="C110" s="363" t="s">
        <v>91</v>
      </c>
      <c r="D110" s="364" t="s">
        <v>93</v>
      </c>
      <c r="E110" s="365" t="s">
        <v>94</v>
      </c>
      <c r="F110" s="365" t="s">
        <v>95</v>
      </c>
      <c r="G110" s="366" t="s">
        <v>96</v>
      </c>
      <c r="H110" s="366" t="s">
        <v>97</v>
      </c>
      <c r="I110" s="366" t="s">
        <v>104</v>
      </c>
      <c r="J110" s="366" t="s">
        <v>106</v>
      </c>
      <c r="K110" s="366" t="s">
        <v>109</v>
      </c>
      <c r="L110" s="366" t="s">
        <v>111</v>
      </c>
      <c r="M110" s="363" t="s">
        <v>114</v>
      </c>
      <c r="N110" s="363" t="s">
        <v>116</v>
      </c>
    </row>
    <row r="111" hidden="1" outlineLevel="1">
      <c r="A111" s="372" t="s">
        <v>1536</v>
      </c>
      <c r="B111" s="309">
        <v>46273.0</v>
      </c>
      <c r="C111" s="368" t="str">
        <f t="shared" ref="C111:C125" si="13">IF(B111="", "", TEXT(B111, "ddd"))</f>
        <v>Tue</v>
      </c>
      <c r="D111" s="128">
        <f t="shared" ref="D111:D125" si="14">IF(E111="Yes",0.05,0)
+IF(F111="Yes",0.1,0)
+IF(G111="Yes",0.15,0)
+IF(H111="Yes",0.15,0)
+IF(I111="Yes",0.05,0)
+IF(J111="Yes",0.05,0)
+IF(K111="Yes",0.15,0)
+IF(L111="Yes",0.3,0)
</f>
        <v>1</v>
      </c>
      <c r="E111" s="131" t="s">
        <v>142</v>
      </c>
      <c r="F111" s="134" t="s">
        <v>142</v>
      </c>
      <c r="G111" s="134" t="s">
        <v>142</v>
      </c>
      <c r="H111" s="134" t="s">
        <v>142</v>
      </c>
      <c r="I111" s="134" t="s">
        <v>142</v>
      </c>
      <c r="J111" s="134" t="s">
        <v>142</v>
      </c>
      <c r="K111" s="134" t="s">
        <v>142</v>
      </c>
      <c r="L111" s="134" t="s">
        <v>142</v>
      </c>
      <c r="M111" s="370"/>
      <c r="N111" s="137"/>
    </row>
    <row r="112" hidden="1" outlineLevel="1">
      <c r="A112" s="372" t="s">
        <v>1539</v>
      </c>
      <c r="B112" s="309">
        <v>46273.0</v>
      </c>
      <c r="C112" s="368" t="str">
        <f t="shared" si="13"/>
        <v>Tue</v>
      </c>
      <c r="D112" s="143">
        <f t="shared" si="14"/>
        <v>1</v>
      </c>
      <c r="E112" s="144" t="s">
        <v>142</v>
      </c>
      <c r="F112" s="134" t="s">
        <v>142</v>
      </c>
      <c r="G112" s="134" t="s">
        <v>142</v>
      </c>
      <c r="H112" s="134" t="s">
        <v>142</v>
      </c>
      <c r="I112" s="134" t="s">
        <v>142</v>
      </c>
      <c r="J112" s="134" t="s">
        <v>142</v>
      </c>
      <c r="K112" s="134" t="s">
        <v>142</v>
      </c>
      <c r="L112" s="134" t="s">
        <v>142</v>
      </c>
      <c r="M112" s="370"/>
      <c r="N112" s="137"/>
    </row>
    <row r="113" hidden="1" outlineLevel="1">
      <c r="A113" s="372" t="s">
        <v>1541</v>
      </c>
      <c r="B113" s="309">
        <v>46273.0</v>
      </c>
      <c r="C113" s="368" t="str">
        <f t="shared" si="13"/>
        <v>Tue</v>
      </c>
      <c r="D113" s="128">
        <f t="shared" si="14"/>
        <v>1</v>
      </c>
      <c r="E113" s="131" t="s">
        <v>142</v>
      </c>
      <c r="F113" s="134" t="s">
        <v>142</v>
      </c>
      <c r="G113" s="134" t="s">
        <v>142</v>
      </c>
      <c r="H113" s="134" t="s">
        <v>142</v>
      </c>
      <c r="I113" s="134" t="s">
        <v>142</v>
      </c>
      <c r="J113" s="134" t="s">
        <v>142</v>
      </c>
      <c r="K113" s="134" t="s">
        <v>142</v>
      </c>
      <c r="L113" s="134" t="s">
        <v>142</v>
      </c>
      <c r="M113" s="370"/>
      <c r="N113" s="137"/>
    </row>
    <row r="114" hidden="1" outlineLevel="1">
      <c r="A114" s="372" t="s">
        <v>1543</v>
      </c>
      <c r="B114" s="309">
        <v>46274.0</v>
      </c>
      <c r="C114" s="368" t="str">
        <f t="shared" si="13"/>
        <v>Wed</v>
      </c>
      <c r="D114" s="143">
        <f t="shared" si="14"/>
        <v>1</v>
      </c>
      <c r="E114" s="144" t="s">
        <v>142</v>
      </c>
      <c r="F114" s="134" t="s">
        <v>142</v>
      </c>
      <c r="G114" s="134" t="s">
        <v>142</v>
      </c>
      <c r="H114" s="134" t="s">
        <v>142</v>
      </c>
      <c r="I114" s="134" t="s">
        <v>142</v>
      </c>
      <c r="J114" s="134" t="s">
        <v>142</v>
      </c>
      <c r="K114" s="134" t="s">
        <v>142</v>
      </c>
      <c r="L114" s="134" t="s">
        <v>142</v>
      </c>
      <c r="M114" s="370"/>
      <c r="N114" s="137"/>
    </row>
    <row r="115" hidden="1" outlineLevel="1">
      <c r="A115" s="372" t="s">
        <v>1544</v>
      </c>
      <c r="B115" s="309">
        <v>46274.0</v>
      </c>
      <c r="C115" s="368" t="str">
        <f t="shared" si="13"/>
        <v>Wed</v>
      </c>
      <c r="D115" s="128">
        <f t="shared" si="14"/>
        <v>1</v>
      </c>
      <c r="E115" s="131" t="s">
        <v>142</v>
      </c>
      <c r="F115" s="134" t="s">
        <v>142</v>
      </c>
      <c r="G115" s="134" t="s">
        <v>142</v>
      </c>
      <c r="H115" s="134" t="s">
        <v>142</v>
      </c>
      <c r="I115" s="134" t="s">
        <v>142</v>
      </c>
      <c r="J115" s="134" t="s">
        <v>142</v>
      </c>
      <c r="K115" s="134" t="s">
        <v>142</v>
      </c>
      <c r="L115" s="134" t="s">
        <v>142</v>
      </c>
      <c r="M115" s="370"/>
      <c r="N115" s="137"/>
    </row>
    <row r="116" hidden="1" outlineLevel="1">
      <c r="A116" s="372" t="s">
        <v>1545</v>
      </c>
      <c r="B116" s="309">
        <v>46274.0</v>
      </c>
      <c r="C116" s="368" t="str">
        <f t="shared" si="13"/>
        <v>Wed</v>
      </c>
      <c r="D116" s="143">
        <f t="shared" si="14"/>
        <v>1</v>
      </c>
      <c r="E116" s="144" t="s">
        <v>142</v>
      </c>
      <c r="F116" s="134" t="s">
        <v>142</v>
      </c>
      <c r="G116" s="134" t="s">
        <v>142</v>
      </c>
      <c r="H116" s="134" t="s">
        <v>142</v>
      </c>
      <c r="I116" s="134" t="s">
        <v>142</v>
      </c>
      <c r="J116" s="134" t="s">
        <v>142</v>
      </c>
      <c r="K116" s="134" t="s">
        <v>142</v>
      </c>
      <c r="L116" s="134" t="s">
        <v>142</v>
      </c>
      <c r="M116" s="370"/>
      <c r="N116" s="137"/>
    </row>
    <row r="117" hidden="1" outlineLevel="1">
      <c r="A117" s="372" t="s">
        <v>1547</v>
      </c>
      <c r="B117" s="309">
        <v>46275.0</v>
      </c>
      <c r="C117" s="368" t="str">
        <f t="shared" si="13"/>
        <v>Thu</v>
      </c>
      <c r="D117" s="128">
        <f t="shared" si="14"/>
        <v>1</v>
      </c>
      <c r="E117" s="131" t="s">
        <v>142</v>
      </c>
      <c r="F117" s="134" t="s">
        <v>142</v>
      </c>
      <c r="G117" s="134" t="s">
        <v>142</v>
      </c>
      <c r="H117" s="134" t="s">
        <v>142</v>
      </c>
      <c r="I117" s="134" t="s">
        <v>142</v>
      </c>
      <c r="J117" s="134" t="s">
        <v>142</v>
      </c>
      <c r="K117" s="134" t="s">
        <v>142</v>
      </c>
      <c r="L117" s="134" t="s">
        <v>142</v>
      </c>
      <c r="M117" s="370"/>
      <c r="N117" s="137"/>
    </row>
    <row r="118" hidden="1" outlineLevel="1">
      <c r="A118" s="372" t="s">
        <v>1549</v>
      </c>
      <c r="B118" s="309">
        <v>46275.0</v>
      </c>
      <c r="C118" s="368" t="str">
        <f t="shared" si="13"/>
        <v>Thu</v>
      </c>
      <c r="D118" s="143">
        <f t="shared" si="14"/>
        <v>1</v>
      </c>
      <c r="E118" s="144" t="s">
        <v>142</v>
      </c>
      <c r="F118" s="134" t="s">
        <v>142</v>
      </c>
      <c r="G118" s="134" t="s">
        <v>142</v>
      </c>
      <c r="H118" s="134" t="s">
        <v>142</v>
      </c>
      <c r="I118" s="134" t="s">
        <v>142</v>
      </c>
      <c r="J118" s="134" t="s">
        <v>142</v>
      </c>
      <c r="K118" s="134" t="s">
        <v>142</v>
      </c>
      <c r="L118" s="134" t="s">
        <v>142</v>
      </c>
      <c r="M118" s="370"/>
      <c r="N118" s="137"/>
    </row>
    <row r="119" hidden="1" outlineLevel="1">
      <c r="A119" s="372" t="s">
        <v>1550</v>
      </c>
      <c r="B119" s="309">
        <v>46275.0</v>
      </c>
      <c r="C119" s="368" t="str">
        <f t="shared" si="13"/>
        <v>Thu</v>
      </c>
      <c r="D119" s="128">
        <f t="shared" si="14"/>
        <v>1</v>
      </c>
      <c r="E119" s="131" t="s">
        <v>142</v>
      </c>
      <c r="F119" s="134" t="s">
        <v>142</v>
      </c>
      <c r="G119" s="134" t="s">
        <v>142</v>
      </c>
      <c r="H119" s="134" t="s">
        <v>142</v>
      </c>
      <c r="I119" s="134" t="s">
        <v>142</v>
      </c>
      <c r="J119" s="134" t="s">
        <v>142</v>
      </c>
      <c r="K119" s="134" t="s">
        <v>142</v>
      </c>
      <c r="L119" s="134" t="s">
        <v>142</v>
      </c>
      <c r="M119" s="370"/>
      <c r="N119" s="137"/>
    </row>
    <row r="120" hidden="1" outlineLevel="1">
      <c r="A120" s="372" t="s">
        <v>1551</v>
      </c>
      <c r="B120" s="309">
        <v>46276.0</v>
      </c>
      <c r="C120" s="368" t="str">
        <f t="shared" si="13"/>
        <v>Fri</v>
      </c>
      <c r="D120" s="143">
        <f t="shared" si="14"/>
        <v>1</v>
      </c>
      <c r="E120" s="144" t="s">
        <v>142</v>
      </c>
      <c r="F120" s="134" t="s">
        <v>142</v>
      </c>
      <c r="G120" s="134" t="s">
        <v>142</v>
      </c>
      <c r="H120" s="134" t="s">
        <v>142</v>
      </c>
      <c r="I120" s="134" t="s">
        <v>142</v>
      </c>
      <c r="J120" s="134" t="s">
        <v>142</v>
      </c>
      <c r="K120" s="134" t="s">
        <v>142</v>
      </c>
      <c r="L120" s="134" t="s">
        <v>142</v>
      </c>
      <c r="M120" s="370"/>
      <c r="N120" s="137"/>
    </row>
    <row r="121" hidden="1" outlineLevel="1">
      <c r="A121" s="372" t="s">
        <v>1553</v>
      </c>
      <c r="B121" s="309">
        <v>46276.0</v>
      </c>
      <c r="C121" s="368" t="str">
        <f t="shared" si="13"/>
        <v>Fri</v>
      </c>
      <c r="D121" s="128">
        <f t="shared" si="14"/>
        <v>1</v>
      </c>
      <c r="E121" s="131" t="s">
        <v>142</v>
      </c>
      <c r="F121" s="134" t="s">
        <v>142</v>
      </c>
      <c r="G121" s="134" t="s">
        <v>142</v>
      </c>
      <c r="H121" s="134" t="s">
        <v>142</v>
      </c>
      <c r="I121" s="134" t="s">
        <v>142</v>
      </c>
      <c r="J121" s="134" t="s">
        <v>142</v>
      </c>
      <c r="K121" s="134" t="s">
        <v>142</v>
      </c>
      <c r="L121" s="134" t="s">
        <v>142</v>
      </c>
      <c r="M121" s="370"/>
      <c r="N121" s="137"/>
    </row>
    <row r="122" hidden="1" outlineLevel="1">
      <c r="A122" s="372" t="s">
        <v>1556</v>
      </c>
      <c r="B122" s="309">
        <v>46276.0</v>
      </c>
      <c r="C122" s="368" t="str">
        <f t="shared" si="13"/>
        <v>Fri</v>
      </c>
      <c r="D122" s="143">
        <f t="shared" si="14"/>
        <v>1</v>
      </c>
      <c r="E122" s="144" t="s">
        <v>142</v>
      </c>
      <c r="F122" s="134" t="s">
        <v>142</v>
      </c>
      <c r="G122" s="134" t="s">
        <v>142</v>
      </c>
      <c r="H122" s="134" t="s">
        <v>142</v>
      </c>
      <c r="I122" s="134" t="s">
        <v>142</v>
      </c>
      <c r="J122" s="134" t="s">
        <v>142</v>
      </c>
      <c r="K122" s="134" t="s">
        <v>142</v>
      </c>
      <c r="L122" s="134" t="s">
        <v>142</v>
      </c>
      <c r="M122" s="370"/>
      <c r="N122" s="137"/>
    </row>
    <row r="123" hidden="1" outlineLevel="1">
      <c r="A123" s="372" t="s">
        <v>1558</v>
      </c>
      <c r="B123" s="309">
        <v>46277.0</v>
      </c>
      <c r="C123" s="368" t="str">
        <f t="shared" si="13"/>
        <v>Sat</v>
      </c>
      <c r="D123" s="128">
        <f t="shared" si="14"/>
        <v>1</v>
      </c>
      <c r="E123" s="131" t="s">
        <v>142</v>
      </c>
      <c r="F123" s="134" t="s">
        <v>142</v>
      </c>
      <c r="G123" s="134" t="s">
        <v>142</v>
      </c>
      <c r="H123" s="134" t="s">
        <v>142</v>
      </c>
      <c r="I123" s="134" t="s">
        <v>142</v>
      </c>
      <c r="J123" s="134" t="s">
        <v>142</v>
      </c>
      <c r="K123" s="134" t="s">
        <v>142</v>
      </c>
      <c r="L123" s="134" t="s">
        <v>142</v>
      </c>
      <c r="M123" s="370"/>
      <c r="N123" s="137"/>
    </row>
    <row r="124" hidden="1" outlineLevel="1">
      <c r="A124" s="372" t="s">
        <v>1560</v>
      </c>
      <c r="B124" s="309">
        <v>46277.0</v>
      </c>
      <c r="C124" s="368" t="str">
        <f t="shared" si="13"/>
        <v>Sat</v>
      </c>
      <c r="D124" s="143">
        <f t="shared" si="14"/>
        <v>1</v>
      </c>
      <c r="E124" s="144" t="s">
        <v>142</v>
      </c>
      <c r="F124" s="134" t="s">
        <v>142</v>
      </c>
      <c r="G124" s="134" t="s">
        <v>142</v>
      </c>
      <c r="H124" s="134" t="s">
        <v>142</v>
      </c>
      <c r="I124" s="134" t="s">
        <v>142</v>
      </c>
      <c r="J124" s="134" t="s">
        <v>142</v>
      </c>
      <c r="K124" s="134" t="s">
        <v>142</v>
      </c>
      <c r="L124" s="134" t="s">
        <v>142</v>
      </c>
      <c r="M124" s="370"/>
      <c r="N124" s="137"/>
    </row>
    <row r="125" hidden="1" outlineLevel="1">
      <c r="A125" s="372" t="s">
        <v>1562</v>
      </c>
      <c r="B125" s="309">
        <v>46277.0</v>
      </c>
      <c r="C125" s="368" t="str">
        <f t="shared" si="13"/>
        <v>Sat</v>
      </c>
      <c r="D125" s="128">
        <f t="shared" si="14"/>
        <v>1</v>
      </c>
      <c r="E125" s="131" t="s">
        <v>142</v>
      </c>
      <c r="F125" s="134" t="s">
        <v>142</v>
      </c>
      <c r="G125" s="134" t="s">
        <v>142</v>
      </c>
      <c r="H125" s="134" t="s">
        <v>142</v>
      </c>
      <c r="I125" s="134" t="s">
        <v>142</v>
      </c>
      <c r="J125" s="134" t="s">
        <v>142</v>
      </c>
      <c r="K125" s="134" t="s">
        <v>142</v>
      </c>
      <c r="L125" s="134" t="s">
        <v>142</v>
      </c>
      <c r="M125" s="370"/>
      <c r="N125" s="137"/>
    </row>
    <row r="126" hidden="1" outlineLevel="1">
      <c r="A126" s="373"/>
      <c r="B126" s="373"/>
      <c r="C126" s="374" t="s">
        <v>199</v>
      </c>
      <c r="D126" s="414">
        <f>AVERAGE(D111:D125)</f>
        <v>1</v>
      </c>
      <c r="E126" s="391"/>
      <c r="F126" s="373"/>
      <c r="G126" s="373"/>
      <c r="H126" s="373"/>
      <c r="I126" s="373"/>
      <c r="J126" s="373"/>
      <c r="K126" s="373"/>
      <c r="L126" s="374" t="s">
        <v>199</v>
      </c>
      <c r="M126" s="377">
        <f>SUM(M111:M125)/75*0.1</f>
        <v>0</v>
      </c>
      <c r="N126" s="373"/>
    </row>
    <row r="127" collapsed="1">
      <c r="A127" s="85" t="s">
        <v>471</v>
      </c>
      <c r="B127" s="86"/>
      <c r="C127" s="86"/>
      <c r="D127" s="88"/>
      <c r="E127" s="361"/>
      <c r="F127" s="361"/>
      <c r="G127" s="361"/>
      <c r="H127" s="361"/>
      <c r="I127" s="361"/>
      <c r="J127" s="361"/>
      <c r="K127" s="361"/>
      <c r="L127" s="361"/>
      <c r="M127" s="361"/>
      <c r="N127" s="361"/>
    </row>
    <row r="128" hidden="1" outlineLevel="1">
      <c r="A128" s="363" t="s">
        <v>89</v>
      </c>
      <c r="B128" s="363" t="s">
        <v>90</v>
      </c>
      <c r="C128" s="363" t="s">
        <v>91</v>
      </c>
      <c r="D128" s="364" t="s">
        <v>93</v>
      </c>
      <c r="E128" s="365" t="s">
        <v>94</v>
      </c>
      <c r="F128" s="365" t="s">
        <v>95</v>
      </c>
      <c r="G128" s="366" t="s">
        <v>96</v>
      </c>
      <c r="H128" s="366" t="s">
        <v>97</v>
      </c>
      <c r="I128" s="366" t="s">
        <v>104</v>
      </c>
      <c r="J128" s="366" t="s">
        <v>106</v>
      </c>
      <c r="K128" s="366" t="s">
        <v>109</v>
      </c>
      <c r="L128" s="366" t="s">
        <v>111</v>
      </c>
      <c r="M128" s="363" t="s">
        <v>114</v>
      </c>
      <c r="N128" s="363" t="s">
        <v>116</v>
      </c>
    </row>
    <row r="129" hidden="1" outlineLevel="1">
      <c r="A129" s="367" t="s">
        <v>1566</v>
      </c>
      <c r="B129" s="309">
        <v>46279.0</v>
      </c>
      <c r="C129" s="368" t="str">
        <f t="shared" ref="C129:C143" si="15">IF(B129="", "", TEXT(B129, "ddd"))</f>
        <v>Mon</v>
      </c>
      <c r="D129" s="128">
        <f t="shared" ref="D129:D143" si="16">IF(E129="Yes",0.05,0)
+IF(F129="Yes",0.1,0)
+IF(G129="Yes",0.15,0)
+IF(H129="Yes",0.15,0)
+IF(I129="Yes",0.05,0)
+IF(J129="Yes",0.05,0)
+IF(K129="Yes",0.15,0)
+IF(L129="Yes",0.3,0)
</f>
        <v>1</v>
      </c>
      <c r="E129" s="131" t="s">
        <v>142</v>
      </c>
      <c r="F129" s="134" t="s">
        <v>142</v>
      </c>
      <c r="G129" s="134" t="s">
        <v>142</v>
      </c>
      <c r="H129" s="134" t="s">
        <v>142</v>
      </c>
      <c r="I129" s="134" t="s">
        <v>142</v>
      </c>
      <c r="J129" s="134" t="s">
        <v>142</v>
      </c>
      <c r="K129" s="134" t="s">
        <v>142</v>
      </c>
      <c r="L129" s="134" t="s">
        <v>142</v>
      </c>
      <c r="M129" s="370"/>
      <c r="N129" s="137"/>
    </row>
    <row r="130" hidden="1" outlineLevel="1">
      <c r="A130" s="367" t="s">
        <v>1570</v>
      </c>
      <c r="B130" s="309">
        <v>46279.0</v>
      </c>
      <c r="C130" s="368" t="str">
        <f t="shared" si="15"/>
        <v>Mon</v>
      </c>
      <c r="D130" s="143">
        <f t="shared" si="16"/>
        <v>1</v>
      </c>
      <c r="E130" s="144" t="s">
        <v>142</v>
      </c>
      <c r="F130" s="134" t="s">
        <v>142</v>
      </c>
      <c r="G130" s="134" t="s">
        <v>142</v>
      </c>
      <c r="H130" s="134" t="s">
        <v>142</v>
      </c>
      <c r="I130" s="134" t="s">
        <v>142</v>
      </c>
      <c r="J130" s="134" t="s">
        <v>142</v>
      </c>
      <c r="K130" s="134" t="s">
        <v>142</v>
      </c>
      <c r="L130" s="134" t="s">
        <v>142</v>
      </c>
      <c r="M130" s="370"/>
      <c r="N130" s="137"/>
    </row>
    <row r="131" hidden="1" outlineLevel="1">
      <c r="A131" s="367" t="s">
        <v>1571</v>
      </c>
      <c r="B131" s="309">
        <v>46279.0</v>
      </c>
      <c r="C131" s="368" t="str">
        <f t="shared" si="15"/>
        <v>Mon</v>
      </c>
      <c r="D131" s="128">
        <f t="shared" si="16"/>
        <v>1</v>
      </c>
      <c r="E131" s="131" t="s">
        <v>142</v>
      </c>
      <c r="F131" s="134" t="s">
        <v>142</v>
      </c>
      <c r="G131" s="134" t="s">
        <v>142</v>
      </c>
      <c r="H131" s="134" t="s">
        <v>142</v>
      </c>
      <c r="I131" s="134" t="s">
        <v>142</v>
      </c>
      <c r="J131" s="134" t="s">
        <v>142</v>
      </c>
      <c r="K131" s="134" t="s">
        <v>142</v>
      </c>
      <c r="L131" s="134" t="s">
        <v>142</v>
      </c>
      <c r="M131" s="370"/>
      <c r="N131" s="137"/>
    </row>
    <row r="132" hidden="1" outlineLevel="1">
      <c r="A132" s="367" t="s">
        <v>1573</v>
      </c>
      <c r="B132" s="309">
        <v>46280.0</v>
      </c>
      <c r="C132" s="368" t="str">
        <f t="shared" si="15"/>
        <v>Tue</v>
      </c>
      <c r="D132" s="143">
        <f t="shared" si="16"/>
        <v>1</v>
      </c>
      <c r="E132" s="144" t="s">
        <v>142</v>
      </c>
      <c r="F132" s="134" t="s">
        <v>142</v>
      </c>
      <c r="G132" s="134" t="s">
        <v>142</v>
      </c>
      <c r="H132" s="134" t="s">
        <v>142</v>
      </c>
      <c r="I132" s="134" t="s">
        <v>142</v>
      </c>
      <c r="J132" s="134" t="s">
        <v>142</v>
      </c>
      <c r="K132" s="134" t="s">
        <v>142</v>
      </c>
      <c r="L132" s="134" t="s">
        <v>142</v>
      </c>
      <c r="M132" s="370"/>
      <c r="N132" s="137"/>
    </row>
    <row r="133" hidden="1" outlineLevel="1">
      <c r="A133" s="367" t="s">
        <v>1574</v>
      </c>
      <c r="B133" s="309">
        <v>46280.0</v>
      </c>
      <c r="C133" s="368" t="str">
        <f t="shared" si="15"/>
        <v>Tue</v>
      </c>
      <c r="D133" s="128">
        <f t="shared" si="16"/>
        <v>1</v>
      </c>
      <c r="E133" s="131" t="s">
        <v>142</v>
      </c>
      <c r="F133" s="134" t="s">
        <v>142</v>
      </c>
      <c r="G133" s="134" t="s">
        <v>142</v>
      </c>
      <c r="H133" s="134" t="s">
        <v>142</v>
      </c>
      <c r="I133" s="134" t="s">
        <v>142</v>
      </c>
      <c r="J133" s="134" t="s">
        <v>142</v>
      </c>
      <c r="K133" s="134" t="s">
        <v>142</v>
      </c>
      <c r="L133" s="134" t="s">
        <v>142</v>
      </c>
      <c r="M133" s="370"/>
      <c r="N133" s="137"/>
    </row>
    <row r="134" hidden="1" outlineLevel="1">
      <c r="A134" s="367" t="s">
        <v>1575</v>
      </c>
      <c r="B134" s="309">
        <v>46280.0</v>
      </c>
      <c r="C134" s="368" t="str">
        <f t="shared" si="15"/>
        <v>Tue</v>
      </c>
      <c r="D134" s="143">
        <f t="shared" si="16"/>
        <v>1</v>
      </c>
      <c r="E134" s="144" t="s">
        <v>142</v>
      </c>
      <c r="F134" s="134" t="s">
        <v>142</v>
      </c>
      <c r="G134" s="134" t="s">
        <v>142</v>
      </c>
      <c r="H134" s="134" t="s">
        <v>142</v>
      </c>
      <c r="I134" s="134" t="s">
        <v>142</v>
      </c>
      <c r="J134" s="134" t="s">
        <v>142</v>
      </c>
      <c r="K134" s="134" t="s">
        <v>142</v>
      </c>
      <c r="L134" s="134" t="s">
        <v>142</v>
      </c>
      <c r="M134" s="370"/>
      <c r="N134" s="137"/>
    </row>
    <row r="135" hidden="1" outlineLevel="1">
      <c r="A135" s="367" t="s">
        <v>1577</v>
      </c>
      <c r="B135" s="309">
        <v>46281.0</v>
      </c>
      <c r="C135" s="368" t="str">
        <f t="shared" si="15"/>
        <v>Wed</v>
      </c>
      <c r="D135" s="128">
        <f t="shared" si="16"/>
        <v>1</v>
      </c>
      <c r="E135" s="131" t="s">
        <v>142</v>
      </c>
      <c r="F135" s="134" t="s">
        <v>142</v>
      </c>
      <c r="G135" s="134" t="s">
        <v>142</v>
      </c>
      <c r="H135" s="134" t="s">
        <v>142</v>
      </c>
      <c r="I135" s="134" t="s">
        <v>142</v>
      </c>
      <c r="J135" s="134" t="s">
        <v>142</v>
      </c>
      <c r="K135" s="134" t="s">
        <v>142</v>
      </c>
      <c r="L135" s="134" t="s">
        <v>142</v>
      </c>
      <c r="M135" s="370"/>
      <c r="N135" s="137"/>
    </row>
    <row r="136" hidden="1" outlineLevel="1">
      <c r="A136" s="367" t="s">
        <v>1578</v>
      </c>
      <c r="B136" s="309">
        <v>46281.0</v>
      </c>
      <c r="C136" s="368" t="str">
        <f t="shared" si="15"/>
        <v>Wed</v>
      </c>
      <c r="D136" s="143">
        <f t="shared" si="16"/>
        <v>1</v>
      </c>
      <c r="E136" s="144" t="s">
        <v>142</v>
      </c>
      <c r="F136" s="134" t="s">
        <v>142</v>
      </c>
      <c r="G136" s="134" t="s">
        <v>142</v>
      </c>
      <c r="H136" s="134" t="s">
        <v>142</v>
      </c>
      <c r="I136" s="134" t="s">
        <v>142</v>
      </c>
      <c r="J136" s="134" t="s">
        <v>142</v>
      </c>
      <c r="K136" s="134" t="s">
        <v>142</v>
      </c>
      <c r="L136" s="134" t="s">
        <v>142</v>
      </c>
      <c r="M136" s="370"/>
      <c r="N136" s="137"/>
    </row>
    <row r="137" hidden="1" outlineLevel="1">
      <c r="A137" s="367" t="s">
        <v>1580</v>
      </c>
      <c r="B137" s="309">
        <v>46281.0</v>
      </c>
      <c r="C137" s="368" t="str">
        <f t="shared" si="15"/>
        <v>Wed</v>
      </c>
      <c r="D137" s="128">
        <f t="shared" si="16"/>
        <v>1</v>
      </c>
      <c r="E137" s="131" t="s">
        <v>142</v>
      </c>
      <c r="F137" s="134" t="s">
        <v>142</v>
      </c>
      <c r="G137" s="134" t="s">
        <v>142</v>
      </c>
      <c r="H137" s="134" t="s">
        <v>142</v>
      </c>
      <c r="I137" s="134" t="s">
        <v>142</v>
      </c>
      <c r="J137" s="134" t="s">
        <v>142</v>
      </c>
      <c r="K137" s="134" t="s">
        <v>142</v>
      </c>
      <c r="L137" s="134" t="s">
        <v>142</v>
      </c>
      <c r="M137" s="370"/>
      <c r="N137" s="137"/>
    </row>
    <row r="138" hidden="1" outlineLevel="1">
      <c r="A138" s="367" t="s">
        <v>1582</v>
      </c>
      <c r="B138" s="309">
        <v>46282.0</v>
      </c>
      <c r="C138" s="368" t="str">
        <f t="shared" si="15"/>
        <v>Thu</v>
      </c>
      <c r="D138" s="143">
        <f t="shared" si="16"/>
        <v>1</v>
      </c>
      <c r="E138" s="144" t="s">
        <v>142</v>
      </c>
      <c r="F138" s="134" t="s">
        <v>142</v>
      </c>
      <c r="G138" s="134" t="s">
        <v>142</v>
      </c>
      <c r="H138" s="134" t="s">
        <v>142</v>
      </c>
      <c r="I138" s="134" t="s">
        <v>142</v>
      </c>
      <c r="J138" s="134" t="s">
        <v>142</v>
      </c>
      <c r="K138" s="134" t="s">
        <v>142</v>
      </c>
      <c r="L138" s="134" t="s">
        <v>142</v>
      </c>
      <c r="M138" s="370"/>
      <c r="N138" s="137"/>
    </row>
    <row r="139" hidden="1" outlineLevel="1">
      <c r="A139" s="367" t="s">
        <v>1585</v>
      </c>
      <c r="B139" s="309">
        <v>46282.0</v>
      </c>
      <c r="C139" s="368" t="str">
        <f t="shared" si="15"/>
        <v>Thu</v>
      </c>
      <c r="D139" s="128">
        <f t="shared" si="16"/>
        <v>1</v>
      </c>
      <c r="E139" s="131" t="s">
        <v>142</v>
      </c>
      <c r="F139" s="134" t="s">
        <v>142</v>
      </c>
      <c r="G139" s="134" t="s">
        <v>142</v>
      </c>
      <c r="H139" s="134" t="s">
        <v>142</v>
      </c>
      <c r="I139" s="134" t="s">
        <v>142</v>
      </c>
      <c r="J139" s="134" t="s">
        <v>142</v>
      </c>
      <c r="K139" s="134" t="s">
        <v>142</v>
      </c>
      <c r="L139" s="134" t="s">
        <v>142</v>
      </c>
      <c r="M139" s="370"/>
      <c r="N139" s="137"/>
    </row>
    <row r="140" hidden="1" outlineLevel="1">
      <c r="A140" s="367" t="s">
        <v>1587</v>
      </c>
      <c r="B140" s="309">
        <v>46282.0</v>
      </c>
      <c r="C140" s="368" t="str">
        <f t="shared" si="15"/>
        <v>Thu</v>
      </c>
      <c r="D140" s="143">
        <f t="shared" si="16"/>
        <v>1</v>
      </c>
      <c r="E140" s="144" t="s">
        <v>142</v>
      </c>
      <c r="F140" s="134" t="s">
        <v>142</v>
      </c>
      <c r="G140" s="134" t="s">
        <v>142</v>
      </c>
      <c r="H140" s="134" t="s">
        <v>142</v>
      </c>
      <c r="I140" s="134" t="s">
        <v>142</v>
      </c>
      <c r="J140" s="134" t="s">
        <v>142</v>
      </c>
      <c r="K140" s="134" t="s">
        <v>142</v>
      </c>
      <c r="L140" s="134" t="s">
        <v>142</v>
      </c>
      <c r="M140" s="370"/>
      <c r="N140" s="137"/>
    </row>
    <row r="141" hidden="1" outlineLevel="1">
      <c r="A141" s="367" t="s">
        <v>1589</v>
      </c>
      <c r="B141" s="309">
        <v>46283.0</v>
      </c>
      <c r="C141" s="368" t="str">
        <f t="shared" si="15"/>
        <v>Fri</v>
      </c>
      <c r="D141" s="128">
        <f t="shared" si="16"/>
        <v>1</v>
      </c>
      <c r="E141" s="131" t="s">
        <v>142</v>
      </c>
      <c r="F141" s="134" t="s">
        <v>142</v>
      </c>
      <c r="G141" s="134" t="s">
        <v>142</v>
      </c>
      <c r="H141" s="134" t="s">
        <v>142</v>
      </c>
      <c r="I141" s="134" t="s">
        <v>142</v>
      </c>
      <c r="J141" s="134" t="s">
        <v>142</v>
      </c>
      <c r="K141" s="134" t="s">
        <v>142</v>
      </c>
      <c r="L141" s="134" t="s">
        <v>142</v>
      </c>
      <c r="M141" s="370"/>
      <c r="N141" s="137"/>
    </row>
    <row r="142" hidden="1" outlineLevel="1">
      <c r="A142" s="367" t="s">
        <v>1590</v>
      </c>
      <c r="B142" s="309">
        <v>46283.0</v>
      </c>
      <c r="C142" s="368" t="str">
        <f t="shared" si="15"/>
        <v>Fri</v>
      </c>
      <c r="D142" s="143">
        <f t="shared" si="16"/>
        <v>1</v>
      </c>
      <c r="E142" s="144" t="s">
        <v>142</v>
      </c>
      <c r="F142" s="134" t="s">
        <v>142</v>
      </c>
      <c r="G142" s="134" t="s">
        <v>142</v>
      </c>
      <c r="H142" s="134" t="s">
        <v>142</v>
      </c>
      <c r="I142" s="134" t="s">
        <v>142</v>
      </c>
      <c r="J142" s="134" t="s">
        <v>142</v>
      </c>
      <c r="K142" s="134" t="s">
        <v>142</v>
      </c>
      <c r="L142" s="134" t="s">
        <v>142</v>
      </c>
      <c r="M142" s="370"/>
      <c r="N142" s="137"/>
    </row>
    <row r="143" hidden="1" outlineLevel="1">
      <c r="A143" s="367" t="s">
        <v>1591</v>
      </c>
      <c r="B143" s="309">
        <v>46283.0</v>
      </c>
      <c r="C143" s="368" t="str">
        <f t="shared" si="15"/>
        <v>Fri</v>
      </c>
      <c r="D143" s="128">
        <f t="shared" si="16"/>
        <v>1</v>
      </c>
      <c r="E143" s="131" t="s">
        <v>142</v>
      </c>
      <c r="F143" s="134" t="s">
        <v>142</v>
      </c>
      <c r="G143" s="134" t="s">
        <v>142</v>
      </c>
      <c r="H143" s="134" t="s">
        <v>142</v>
      </c>
      <c r="I143" s="134" t="s">
        <v>142</v>
      </c>
      <c r="J143" s="134" t="s">
        <v>142</v>
      </c>
      <c r="K143" s="134" t="s">
        <v>142</v>
      </c>
      <c r="L143" s="134" t="s">
        <v>142</v>
      </c>
      <c r="M143" s="370"/>
      <c r="N143" s="137"/>
    </row>
    <row r="144" hidden="1" outlineLevel="1">
      <c r="A144" s="373"/>
      <c r="B144" s="373"/>
      <c r="C144" s="374" t="s">
        <v>199</v>
      </c>
      <c r="D144" s="414">
        <f>AVERAGE(D129:D143)</f>
        <v>1</v>
      </c>
      <c r="E144" s="391"/>
      <c r="F144" s="373"/>
      <c r="G144" s="373"/>
      <c r="H144" s="373"/>
      <c r="I144" s="373"/>
      <c r="J144" s="373"/>
      <c r="K144" s="373"/>
      <c r="L144" s="374" t="s">
        <v>199</v>
      </c>
      <c r="M144" s="377">
        <f>SUM(M129:M143)/75*0.1</f>
        <v>0</v>
      </c>
      <c r="N144" s="373"/>
    </row>
    <row r="145" collapsed="1">
      <c r="A145" s="85" t="s">
        <v>493</v>
      </c>
      <c r="B145" s="86"/>
      <c r="C145" s="86"/>
      <c r="D145" s="88"/>
      <c r="E145" s="361"/>
      <c r="F145" s="361"/>
      <c r="G145" s="361"/>
      <c r="H145" s="361"/>
      <c r="I145" s="361"/>
      <c r="J145" s="361"/>
      <c r="K145" s="361"/>
      <c r="L145" s="361"/>
      <c r="M145" s="361"/>
      <c r="N145" s="361"/>
    </row>
    <row r="146" hidden="1" outlineLevel="1">
      <c r="A146" s="363" t="s">
        <v>89</v>
      </c>
      <c r="B146" s="363" t="s">
        <v>90</v>
      </c>
      <c r="C146" s="363" t="s">
        <v>91</v>
      </c>
      <c r="D146" s="364" t="s">
        <v>93</v>
      </c>
      <c r="E146" s="365" t="s">
        <v>94</v>
      </c>
      <c r="F146" s="365" t="s">
        <v>95</v>
      </c>
      <c r="G146" s="366" t="s">
        <v>96</v>
      </c>
      <c r="H146" s="366" t="s">
        <v>97</v>
      </c>
      <c r="I146" s="366" t="s">
        <v>104</v>
      </c>
      <c r="J146" s="366" t="s">
        <v>106</v>
      </c>
      <c r="K146" s="366" t="s">
        <v>109</v>
      </c>
      <c r="L146" s="366" t="s">
        <v>111</v>
      </c>
      <c r="M146" s="363" t="s">
        <v>114</v>
      </c>
      <c r="N146" s="363" t="s">
        <v>116</v>
      </c>
    </row>
    <row r="147" hidden="1" outlineLevel="1">
      <c r="A147" s="367" t="s">
        <v>1594</v>
      </c>
      <c r="B147" s="309">
        <v>46286.0</v>
      </c>
      <c r="C147" s="368" t="str">
        <f t="shared" ref="C147:C161" si="17">IF(B147="", "", TEXT(B147, "ddd"))</f>
        <v>Mon</v>
      </c>
      <c r="D147" s="128">
        <f t="shared" ref="D147:D161" si="18">IF(E147="Yes",0.05,0)
+IF(F147="Yes",0.1,0)
+IF(G147="Yes",0.15,0)
+IF(H147="Yes",0.15,0)
+IF(I147="Yes",0.05,0)
+IF(J147="Yes",0.05,0)
+IF(K147="Yes",0.15,0)
+IF(L147="Yes",0.3,0)
</f>
        <v>1</v>
      </c>
      <c r="E147" s="131" t="s">
        <v>142</v>
      </c>
      <c r="F147" s="134" t="s">
        <v>142</v>
      </c>
      <c r="G147" s="134" t="s">
        <v>142</v>
      </c>
      <c r="H147" s="134" t="s">
        <v>142</v>
      </c>
      <c r="I147" s="134" t="s">
        <v>142</v>
      </c>
      <c r="J147" s="134" t="s">
        <v>142</v>
      </c>
      <c r="K147" s="134" t="s">
        <v>142</v>
      </c>
      <c r="L147" s="134" t="s">
        <v>142</v>
      </c>
      <c r="M147" s="370"/>
      <c r="N147" s="137"/>
    </row>
    <row r="148" hidden="1" outlineLevel="1">
      <c r="A148" s="367" t="s">
        <v>1597</v>
      </c>
      <c r="B148" s="309">
        <v>46286.0</v>
      </c>
      <c r="C148" s="368" t="str">
        <f t="shared" si="17"/>
        <v>Mon</v>
      </c>
      <c r="D148" s="143">
        <f t="shared" si="18"/>
        <v>1</v>
      </c>
      <c r="E148" s="144" t="s">
        <v>142</v>
      </c>
      <c r="F148" s="134" t="s">
        <v>142</v>
      </c>
      <c r="G148" s="134" t="s">
        <v>142</v>
      </c>
      <c r="H148" s="134" t="s">
        <v>142</v>
      </c>
      <c r="I148" s="134" t="s">
        <v>142</v>
      </c>
      <c r="J148" s="134" t="s">
        <v>142</v>
      </c>
      <c r="K148" s="134" t="s">
        <v>142</v>
      </c>
      <c r="L148" s="134" t="s">
        <v>142</v>
      </c>
      <c r="M148" s="370"/>
      <c r="N148" s="137"/>
    </row>
    <row r="149" hidden="1" outlineLevel="1">
      <c r="A149" s="367" t="s">
        <v>1600</v>
      </c>
      <c r="B149" s="309">
        <v>46286.0</v>
      </c>
      <c r="C149" s="368" t="str">
        <f t="shared" si="17"/>
        <v>Mon</v>
      </c>
      <c r="D149" s="128">
        <f t="shared" si="18"/>
        <v>1</v>
      </c>
      <c r="E149" s="131" t="s">
        <v>142</v>
      </c>
      <c r="F149" s="134" t="s">
        <v>142</v>
      </c>
      <c r="G149" s="134" t="s">
        <v>142</v>
      </c>
      <c r="H149" s="134" t="s">
        <v>142</v>
      </c>
      <c r="I149" s="134" t="s">
        <v>142</v>
      </c>
      <c r="J149" s="134" t="s">
        <v>142</v>
      </c>
      <c r="K149" s="134" t="s">
        <v>142</v>
      </c>
      <c r="L149" s="134" t="s">
        <v>142</v>
      </c>
      <c r="M149" s="370"/>
      <c r="N149" s="137"/>
    </row>
    <row r="150" hidden="1" outlineLevel="1">
      <c r="A150" s="367" t="s">
        <v>1602</v>
      </c>
      <c r="B150" s="309">
        <v>46287.0</v>
      </c>
      <c r="C150" s="368" t="str">
        <f t="shared" si="17"/>
        <v>Tue</v>
      </c>
      <c r="D150" s="143">
        <f t="shared" si="18"/>
        <v>1</v>
      </c>
      <c r="E150" s="144" t="s">
        <v>142</v>
      </c>
      <c r="F150" s="134" t="s">
        <v>142</v>
      </c>
      <c r="G150" s="134" t="s">
        <v>142</v>
      </c>
      <c r="H150" s="134" t="s">
        <v>142</v>
      </c>
      <c r="I150" s="134" t="s">
        <v>142</v>
      </c>
      <c r="J150" s="134" t="s">
        <v>142</v>
      </c>
      <c r="K150" s="134" t="s">
        <v>142</v>
      </c>
      <c r="L150" s="134" t="s">
        <v>142</v>
      </c>
      <c r="M150" s="370"/>
      <c r="N150" s="137"/>
    </row>
    <row r="151" hidden="1" outlineLevel="1">
      <c r="A151" s="367" t="s">
        <v>1604</v>
      </c>
      <c r="B151" s="309">
        <v>46287.0</v>
      </c>
      <c r="C151" s="368" t="str">
        <f t="shared" si="17"/>
        <v>Tue</v>
      </c>
      <c r="D151" s="128">
        <f t="shared" si="18"/>
        <v>1</v>
      </c>
      <c r="E151" s="131" t="s">
        <v>142</v>
      </c>
      <c r="F151" s="134" t="s">
        <v>142</v>
      </c>
      <c r="G151" s="134" t="s">
        <v>142</v>
      </c>
      <c r="H151" s="134" t="s">
        <v>142</v>
      </c>
      <c r="I151" s="134" t="s">
        <v>142</v>
      </c>
      <c r="J151" s="134" t="s">
        <v>142</v>
      </c>
      <c r="K151" s="134" t="s">
        <v>142</v>
      </c>
      <c r="L151" s="134" t="s">
        <v>142</v>
      </c>
      <c r="M151" s="370"/>
      <c r="N151" s="137"/>
    </row>
    <row r="152" hidden="1" outlineLevel="1">
      <c r="A152" s="367" t="s">
        <v>1605</v>
      </c>
      <c r="B152" s="309">
        <v>46287.0</v>
      </c>
      <c r="C152" s="368" t="str">
        <f t="shared" si="17"/>
        <v>Tue</v>
      </c>
      <c r="D152" s="143">
        <f t="shared" si="18"/>
        <v>1</v>
      </c>
      <c r="E152" s="144" t="s">
        <v>142</v>
      </c>
      <c r="F152" s="134" t="s">
        <v>142</v>
      </c>
      <c r="G152" s="134" t="s">
        <v>142</v>
      </c>
      <c r="H152" s="134" t="s">
        <v>142</v>
      </c>
      <c r="I152" s="134" t="s">
        <v>142</v>
      </c>
      <c r="J152" s="134" t="s">
        <v>142</v>
      </c>
      <c r="K152" s="134" t="s">
        <v>142</v>
      </c>
      <c r="L152" s="134" t="s">
        <v>142</v>
      </c>
      <c r="M152" s="370"/>
      <c r="N152" s="137"/>
    </row>
    <row r="153" hidden="1" outlineLevel="1">
      <c r="A153" s="367" t="s">
        <v>1608</v>
      </c>
      <c r="B153" s="309">
        <v>46288.0</v>
      </c>
      <c r="C153" s="368" t="str">
        <f t="shared" si="17"/>
        <v>Wed</v>
      </c>
      <c r="D153" s="128">
        <f t="shared" si="18"/>
        <v>1</v>
      </c>
      <c r="E153" s="131" t="s">
        <v>142</v>
      </c>
      <c r="F153" s="134" t="s">
        <v>142</v>
      </c>
      <c r="G153" s="134" t="s">
        <v>142</v>
      </c>
      <c r="H153" s="134" t="s">
        <v>142</v>
      </c>
      <c r="I153" s="134" t="s">
        <v>142</v>
      </c>
      <c r="J153" s="134" t="s">
        <v>142</v>
      </c>
      <c r="K153" s="134" t="s">
        <v>142</v>
      </c>
      <c r="L153" s="134" t="s">
        <v>142</v>
      </c>
      <c r="M153" s="370"/>
      <c r="N153" s="137"/>
    </row>
    <row r="154" hidden="1" outlineLevel="1">
      <c r="A154" s="367" t="s">
        <v>1610</v>
      </c>
      <c r="B154" s="309">
        <v>46288.0</v>
      </c>
      <c r="C154" s="368" t="str">
        <f t="shared" si="17"/>
        <v>Wed</v>
      </c>
      <c r="D154" s="143">
        <f t="shared" si="18"/>
        <v>1</v>
      </c>
      <c r="E154" s="144" t="s">
        <v>142</v>
      </c>
      <c r="F154" s="134" t="s">
        <v>142</v>
      </c>
      <c r="G154" s="134" t="s">
        <v>142</v>
      </c>
      <c r="H154" s="134" t="s">
        <v>142</v>
      </c>
      <c r="I154" s="134" t="s">
        <v>142</v>
      </c>
      <c r="J154" s="134" t="s">
        <v>142</v>
      </c>
      <c r="K154" s="134" t="s">
        <v>142</v>
      </c>
      <c r="L154" s="134" t="s">
        <v>142</v>
      </c>
      <c r="M154" s="370"/>
      <c r="N154" s="137"/>
    </row>
    <row r="155" hidden="1" outlineLevel="1">
      <c r="A155" s="367" t="s">
        <v>1613</v>
      </c>
      <c r="B155" s="309">
        <v>46288.0</v>
      </c>
      <c r="C155" s="368" t="str">
        <f t="shared" si="17"/>
        <v>Wed</v>
      </c>
      <c r="D155" s="128">
        <f t="shared" si="18"/>
        <v>1</v>
      </c>
      <c r="E155" s="131" t="s">
        <v>142</v>
      </c>
      <c r="F155" s="134" t="s">
        <v>142</v>
      </c>
      <c r="G155" s="134" t="s">
        <v>142</v>
      </c>
      <c r="H155" s="134" t="s">
        <v>142</v>
      </c>
      <c r="I155" s="134" t="s">
        <v>142</v>
      </c>
      <c r="J155" s="134" t="s">
        <v>142</v>
      </c>
      <c r="K155" s="134" t="s">
        <v>142</v>
      </c>
      <c r="L155" s="134" t="s">
        <v>142</v>
      </c>
      <c r="M155" s="370"/>
      <c r="N155" s="137"/>
    </row>
    <row r="156" hidden="1" outlineLevel="1">
      <c r="A156" s="367" t="s">
        <v>1614</v>
      </c>
      <c r="B156" s="309">
        <v>46289.0</v>
      </c>
      <c r="C156" s="368" t="str">
        <f t="shared" si="17"/>
        <v>Thu</v>
      </c>
      <c r="D156" s="143">
        <f t="shared" si="18"/>
        <v>1</v>
      </c>
      <c r="E156" s="144" t="s">
        <v>142</v>
      </c>
      <c r="F156" s="134" t="s">
        <v>142</v>
      </c>
      <c r="G156" s="134" t="s">
        <v>142</v>
      </c>
      <c r="H156" s="134" t="s">
        <v>142</v>
      </c>
      <c r="I156" s="134" t="s">
        <v>142</v>
      </c>
      <c r="J156" s="134" t="s">
        <v>142</v>
      </c>
      <c r="K156" s="134" t="s">
        <v>142</v>
      </c>
      <c r="L156" s="134" t="s">
        <v>142</v>
      </c>
      <c r="M156" s="370"/>
      <c r="N156" s="137"/>
    </row>
    <row r="157" hidden="1" outlineLevel="1">
      <c r="A157" s="367" t="s">
        <v>1616</v>
      </c>
      <c r="B157" s="309">
        <v>46289.0</v>
      </c>
      <c r="C157" s="368" t="str">
        <f t="shared" si="17"/>
        <v>Thu</v>
      </c>
      <c r="D157" s="128">
        <f t="shared" si="18"/>
        <v>1</v>
      </c>
      <c r="E157" s="131" t="s">
        <v>142</v>
      </c>
      <c r="F157" s="134" t="s">
        <v>142</v>
      </c>
      <c r="G157" s="134" t="s">
        <v>142</v>
      </c>
      <c r="H157" s="134" t="s">
        <v>142</v>
      </c>
      <c r="I157" s="134" t="s">
        <v>142</v>
      </c>
      <c r="J157" s="134" t="s">
        <v>142</v>
      </c>
      <c r="K157" s="134" t="s">
        <v>142</v>
      </c>
      <c r="L157" s="134" t="s">
        <v>142</v>
      </c>
      <c r="M157" s="370"/>
      <c r="N157" s="137"/>
    </row>
    <row r="158" hidden="1" outlineLevel="1">
      <c r="A158" s="367" t="s">
        <v>1620</v>
      </c>
      <c r="B158" s="309">
        <v>46289.0</v>
      </c>
      <c r="C158" s="368" t="str">
        <f t="shared" si="17"/>
        <v>Thu</v>
      </c>
      <c r="D158" s="143">
        <f t="shared" si="18"/>
        <v>1</v>
      </c>
      <c r="E158" s="144" t="s">
        <v>142</v>
      </c>
      <c r="F158" s="134" t="s">
        <v>142</v>
      </c>
      <c r="G158" s="134" t="s">
        <v>142</v>
      </c>
      <c r="H158" s="134" t="s">
        <v>142</v>
      </c>
      <c r="I158" s="134" t="s">
        <v>142</v>
      </c>
      <c r="J158" s="134" t="s">
        <v>142</v>
      </c>
      <c r="K158" s="134" t="s">
        <v>142</v>
      </c>
      <c r="L158" s="134" t="s">
        <v>142</v>
      </c>
      <c r="M158" s="370"/>
      <c r="N158" s="137"/>
    </row>
    <row r="159" hidden="1" outlineLevel="1">
      <c r="A159" s="367" t="s">
        <v>1622</v>
      </c>
      <c r="B159" s="309">
        <v>46290.0</v>
      </c>
      <c r="C159" s="368" t="str">
        <f t="shared" si="17"/>
        <v>Fri</v>
      </c>
      <c r="D159" s="128">
        <f t="shared" si="18"/>
        <v>1</v>
      </c>
      <c r="E159" s="131" t="s">
        <v>142</v>
      </c>
      <c r="F159" s="134" t="s">
        <v>142</v>
      </c>
      <c r="G159" s="134" t="s">
        <v>142</v>
      </c>
      <c r="H159" s="134" t="s">
        <v>142</v>
      </c>
      <c r="I159" s="134" t="s">
        <v>142</v>
      </c>
      <c r="J159" s="134" t="s">
        <v>142</v>
      </c>
      <c r="K159" s="134" t="s">
        <v>142</v>
      </c>
      <c r="L159" s="134" t="s">
        <v>142</v>
      </c>
      <c r="M159" s="370"/>
      <c r="N159" s="137"/>
    </row>
    <row r="160" hidden="1" outlineLevel="1">
      <c r="A160" s="367" t="s">
        <v>1625</v>
      </c>
      <c r="B160" s="309">
        <v>46290.0</v>
      </c>
      <c r="C160" s="368" t="str">
        <f t="shared" si="17"/>
        <v>Fri</v>
      </c>
      <c r="D160" s="143">
        <f t="shared" si="18"/>
        <v>1</v>
      </c>
      <c r="E160" s="144" t="s">
        <v>142</v>
      </c>
      <c r="F160" s="134" t="s">
        <v>142</v>
      </c>
      <c r="G160" s="134" t="s">
        <v>142</v>
      </c>
      <c r="H160" s="134" t="s">
        <v>142</v>
      </c>
      <c r="I160" s="134" t="s">
        <v>142</v>
      </c>
      <c r="J160" s="134" t="s">
        <v>142</v>
      </c>
      <c r="K160" s="134" t="s">
        <v>142</v>
      </c>
      <c r="L160" s="134" t="s">
        <v>142</v>
      </c>
      <c r="M160" s="370"/>
      <c r="N160" s="137"/>
    </row>
    <row r="161" hidden="1" outlineLevel="1">
      <c r="A161" s="367" t="s">
        <v>1626</v>
      </c>
      <c r="B161" s="309">
        <v>46290.0</v>
      </c>
      <c r="C161" s="368" t="str">
        <f t="shared" si="17"/>
        <v>Fri</v>
      </c>
      <c r="D161" s="128">
        <f t="shared" si="18"/>
        <v>1</v>
      </c>
      <c r="E161" s="131" t="s">
        <v>142</v>
      </c>
      <c r="F161" s="134" t="s">
        <v>142</v>
      </c>
      <c r="G161" s="134" t="s">
        <v>142</v>
      </c>
      <c r="H161" s="134" t="s">
        <v>142</v>
      </c>
      <c r="I161" s="134" t="s">
        <v>142</v>
      </c>
      <c r="J161" s="134" t="s">
        <v>142</v>
      </c>
      <c r="K161" s="134" t="s">
        <v>142</v>
      </c>
      <c r="L161" s="134" t="s">
        <v>142</v>
      </c>
      <c r="M161" s="370"/>
      <c r="N161" s="137"/>
    </row>
    <row r="162" hidden="1" outlineLevel="1">
      <c r="A162" s="372"/>
      <c r="B162" s="373"/>
      <c r="C162" s="374" t="s">
        <v>199</v>
      </c>
      <c r="D162" s="414">
        <f>AVERAGE(D147:D161)</f>
        <v>1</v>
      </c>
      <c r="E162" s="391"/>
      <c r="F162" s="373"/>
      <c r="G162" s="373"/>
      <c r="H162" s="373"/>
      <c r="I162" s="373"/>
      <c r="J162" s="373"/>
      <c r="K162" s="373"/>
      <c r="L162" s="374" t="s">
        <v>199</v>
      </c>
      <c r="M162" s="377">
        <f>SUM(M147:M161)/75*0.1</f>
        <v>0</v>
      </c>
      <c r="N162" s="373"/>
    </row>
    <row r="163" collapsed="1">
      <c r="A163" s="85" t="s">
        <v>514</v>
      </c>
      <c r="B163" s="86"/>
      <c r="C163" s="86"/>
      <c r="D163" s="88"/>
      <c r="E163" s="361"/>
      <c r="F163" s="361"/>
      <c r="G163" s="361"/>
      <c r="H163" s="361"/>
      <c r="I163" s="361"/>
      <c r="J163" s="361"/>
      <c r="K163" s="361"/>
      <c r="L163" s="361"/>
      <c r="M163" s="361"/>
      <c r="N163" s="361"/>
    </row>
    <row r="164" hidden="1" outlineLevel="1">
      <c r="A164" s="362" t="s">
        <v>89</v>
      </c>
      <c r="B164" s="363" t="s">
        <v>90</v>
      </c>
      <c r="C164" s="363" t="s">
        <v>91</v>
      </c>
      <c r="D164" s="364" t="s">
        <v>93</v>
      </c>
      <c r="E164" s="365" t="s">
        <v>94</v>
      </c>
      <c r="F164" s="365" t="s">
        <v>95</v>
      </c>
      <c r="G164" s="366" t="s">
        <v>96</v>
      </c>
      <c r="H164" s="366" t="s">
        <v>97</v>
      </c>
      <c r="I164" s="366" t="s">
        <v>104</v>
      </c>
      <c r="J164" s="366" t="s">
        <v>106</v>
      </c>
      <c r="K164" s="366" t="s">
        <v>109</v>
      </c>
      <c r="L164" s="366" t="s">
        <v>111</v>
      </c>
      <c r="M164" s="363" t="s">
        <v>114</v>
      </c>
      <c r="N164" s="363" t="s">
        <v>116</v>
      </c>
    </row>
    <row r="165" hidden="1" outlineLevel="1">
      <c r="A165" s="372" t="s">
        <v>1634</v>
      </c>
      <c r="B165" s="309">
        <v>46293.0</v>
      </c>
      <c r="C165" s="368" t="str">
        <f t="shared" ref="C165:C179" si="19">IF(B165="", "", TEXT(B165, "ddd"))</f>
        <v>Mon</v>
      </c>
      <c r="D165" s="128">
        <f t="shared" ref="D165:D179" si="20">IF(E165="Yes",0.05,0)
+IF(F165="Yes",0.1,0)
+IF(G165="Yes",0.15,0)
+IF(H165="Yes",0.15,0)
+IF(I165="Yes",0.05,0)
+IF(J165="Yes",0.05,0)
+IF(K165="Yes",0.15,0)
+IF(L165="Yes",0.3,0)
</f>
        <v>1</v>
      </c>
      <c r="E165" s="131" t="s">
        <v>142</v>
      </c>
      <c r="F165" s="134" t="s">
        <v>142</v>
      </c>
      <c r="G165" s="134" t="s">
        <v>142</v>
      </c>
      <c r="H165" s="134" t="s">
        <v>142</v>
      </c>
      <c r="I165" s="134" t="s">
        <v>142</v>
      </c>
      <c r="J165" s="134" t="s">
        <v>142</v>
      </c>
      <c r="K165" s="134" t="s">
        <v>142</v>
      </c>
      <c r="L165" s="134" t="s">
        <v>142</v>
      </c>
      <c r="M165" s="370"/>
      <c r="N165" s="137"/>
    </row>
    <row r="166" hidden="1" outlineLevel="1">
      <c r="A166" s="367" t="s">
        <v>1637</v>
      </c>
      <c r="B166" s="309">
        <v>46293.0</v>
      </c>
      <c r="C166" s="368" t="str">
        <f t="shared" si="19"/>
        <v>Mon</v>
      </c>
      <c r="D166" s="143">
        <f t="shared" si="20"/>
        <v>1</v>
      </c>
      <c r="E166" s="144" t="s">
        <v>142</v>
      </c>
      <c r="F166" s="134" t="s">
        <v>142</v>
      </c>
      <c r="G166" s="134" t="s">
        <v>142</v>
      </c>
      <c r="H166" s="134" t="s">
        <v>142</v>
      </c>
      <c r="I166" s="134" t="s">
        <v>142</v>
      </c>
      <c r="J166" s="134" t="s">
        <v>142</v>
      </c>
      <c r="K166" s="134" t="s">
        <v>142</v>
      </c>
      <c r="L166" s="134" t="s">
        <v>142</v>
      </c>
      <c r="M166" s="370"/>
      <c r="N166" s="137"/>
    </row>
    <row r="167" hidden="1" outlineLevel="1">
      <c r="A167" s="367" t="s">
        <v>1639</v>
      </c>
      <c r="B167" s="309">
        <v>46293.0</v>
      </c>
      <c r="C167" s="368" t="str">
        <f t="shared" si="19"/>
        <v>Mon</v>
      </c>
      <c r="D167" s="128">
        <f t="shared" si="20"/>
        <v>1</v>
      </c>
      <c r="E167" s="131" t="s">
        <v>142</v>
      </c>
      <c r="F167" s="134" t="s">
        <v>142</v>
      </c>
      <c r="G167" s="134" t="s">
        <v>142</v>
      </c>
      <c r="H167" s="134" t="s">
        <v>142</v>
      </c>
      <c r="I167" s="134" t="s">
        <v>142</v>
      </c>
      <c r="J167" s="134" t="s">
        <v>142</v>
      </c>
      <c r="K167" s="134" t="s">
        <v>142</v>
      </c>
      <c r="L167" s="134" t="s">
        <v>142</v>
      </c>
      <c r="M167" s="370"/>
      <c r="N167" s="137"/>
    </row>
    <row r="168" hidden="1" outlineLevel="1">
      <c r="A168" s="367" t="s">
        <v>1641</v>
      </c>
      <c r="B168" s="309">
        <v>46294.0</v>
      </c>
      <c r="C168" s="368" t="str">
        <f t="shared" si="19"/>
        <v>Tue</v>
      </c>
      <c r="D168" s="143">
        <f t="shared" si="20"/>
        <v>1</v>
      </c>
      <c r="E168" s="144" t="s">
        <v>142</v>
      </c>
      <c r="F168" s="134" t="s">
        <v>142</v>
      </c>
      <c r="G168" s="134" t="s">
        <v>142</v>
      </c>
      <c r="H168" s="134" t="s">
        <v>142</v>
      </c>
      <c r="I168" s="134" t="s">
        <v>142</v>
      </c>
      <c r="J168" s="134" t="s">
        <v>142</v>
      </c>
      <c r="K168" s="134" t="s">
        <v>142</v>
      </c>
      <c r="L168" s="134" t="s">
        <v>142</v>
      </c>
      <c r="M168" s="370"/>
      <c r="N168" s="137"/>
    </row>
    <row r="169" hidden="1" outlineLevel="1">
      <c r="A169" s="367" t="s">
        <v>1642</v>
      </c>
      <c r="B169" s="309">
        <v>46294.0</v>
      </c>
      <c r="C169" s="368" t="str">
        <f t="shared" si="19"/>
        <v>Tue</v>
      </c>
      <c r="D169" s="128">
        <f t="shared" si="20"/>
        <v>1</v>
      </c>
      <c r="E169" s="131" t="s">
        <v>142</v>
      </c>
      <c r="F169" s="134" t="s">
        <v>142</v>
      </c>
      <c r="G169" s="134" t="s">
        <v>142</v>
      </c>
      <c r="H169" s="134" t="s">
        <v>142</v>
      </c>
      <c r="I169" s="134" t="s">
        <v>142</v>
      </c>
      <c r="J169" s="134" t="s">
        <v>142</v>
      </c>
      <c r="K169" s="134" t="s">
        <v>142</v>
      </c>
      <c r="L169" s="134" t="s">
        <v>142</v>
      </c>
      <c r="M169" s="370"/>
      <c r="N169" s="137"/>
    </row>
    <row r="170" hidden="1" outlineLevel="1">
      <c r="A170" s="367" t="s">
        <v>1643</v>
      </c>
      <c r="B170" s="309">
        <v>46294.0</v>
      </c>
      <c r="C170" s="368" t="str">
        <f t="shared" si="19"/>
        <v>Tue</v>
      </c>
      <c r="D170" s="143">
        <f t="shared" si="20"/>
        <v>1</v>
      </c>
      <c r="E170" s="144" t="s">
        <v>142</v>
      </c>
      <c r="F170" s="134" t="s">
        <v>142</v>
      </c>
      <c r="G170" s="134" t="s">
        <v>142</v>
      </c>
      <c r="H170" s="134" t="s">
        <v>142</v>
      </c>
      <c r="I170" s="134" t="s">
        <v>142</v>
      </c>
      <c r="J170" s="134" t="s">
        <v>142</v>
      </c>
      <c r="K170" s="134" t="s">
        <v>142</v>
      </c>
      <c r="L170" s="134" t="s">
        <v>142</v>
      </c>
      <c r="M170" s="370"/>
      <c r="N170" s="137"/>
    </row>
    <row r="171" hidden="1" outlineLevel="1">
      <c r="A171" s="367" t="s">
        <v>1645</v>
      </c>
      <c r="B171" s="309">
        <v>46295.0</v>
      </c>
      <c r="C171" s="368" t="str">
        <f t="shared" si="19"/>
        <v>Wed</v>
      </c>
      <c r="D171" s="128">
        <f t="shared" si="20"/>
        <v>1</v>
      </c>
      <c r="E171" s="131" t="s">
        <v>142</v>
      </c>
      <c r="F171" s="134" t="s">
        <v>142</v>
      </c>
      <c r="G171" s="134" t="s">
        <v>142</v>
      </c>
      <c r="H171" s="134" t="s">
        <v>142</v>
      </c>
      <c r="I171" s="134" t="s">
        <v>142</v>
      </c>
      <c r="J171" s="134" t="s">
        <v>142</v>
      </c>
      <c r="K171" s="134" t="s">
        <v>142</v>
      </c>
      <c r="L171" s="134" t="s">
        <v>142</v>
      </c>
      <c r="M171" s="370"/>
      <c r="N171" s="137"/>
    </row>
    <row r="172" hidden="1" outlineLevel="1">
      <c r="A172" s="367" t="s">
        <v>1647</v>
      </c>
      <c r="B172" s="309">
        <v>46295.0</v>
      </c>
      <c r="C172" s="368" t="str">
        <f t="shared" si="19"/>
        <v>Wed</v>
      </c>
      <c r="D172" s="143">
        <f t="shared" si="20"/>
        <v>1</v>
      </c>
      <c r="E172" s="144" t="s">
        <v>142</v>
      </c>
      <c r="F172" s="134" t="s">
        <v>142</v>
      </c>
      <c r="G172" s="134" t="s">
        <v>142</v>
      </c>
      <c r="H172" s="134" t="s">
        <v>142</v>
      </c>
      <c r="I172" s="134" t="s">
        <v>142</v>
      </c>
      <c r="J172" s="134" t="s">
        <v>142</v>
      </c>
      <c r="K172" s="134" t="s">
        <v>142</v>
      </c>
      <c r="L172" s="134" t="s">
        <v>142</v>
      </c>
      <c r="M172" s="370"/>
      <c r="N172" s="137"/>
    </row>
    <row r="173" hidden="1" outlineLevel="1">
      <c r="A173" s="367" t="s">
        <v>1649</v>
      </c>
      <c r="B173" s="309">
        <v>46295.0</v>
      </c>
      <c r="C173" s="368" t="str">
        <f t="shared" si="19"/>
        <v>Wed</v>
      </c>
      <c r="D173" s="128">
        <f t="shared" si="20"/>
        <v>1</v>
      </c>
      <c r="E173" s="131" t="s">
        <v>142</v>
      </c>
      <c r="F173" s="134" t="s">
        <v>142</v>
      </c>
      <c r="G173" s="134" t="s">
        <v>142</v>
      </c>
      <c r="H173" s="134" t="s">
        <v>142</v>
      </c>
      <c r="I173" s="134" t="s">
        <v>142</v>
      </c>
      <c r="J173" s="134" t="s">
        <v>142</v>
      </c>
      <c r="K173" s="134" t="s">
        <v>142</v>
      </c>
      <c r="L173" s="134" t="s">
        <v>142</v>
      </c>
      <c r="M173" s="370"/>
      <c r="N173" s="137"/>
    </row>
    <row r="174" hidden="1" outlineLevel="1">
      <c r="A174" s="367" t="s">
        <v>1650</v>
      </c>
      <c r="B174" s="309">
        <v>46296.0</v>
      </c>
      <c r="C174" s="368" t="str">
        <f t="shared" si="19"/>
        <v>Thu</v>
      </c>
      <c r="D174" s="143">
        <f t="shared" si="20"/>
        <v>1</v>
      </c>
      <c r="E174" s="144" t="s">
        <v>142</v>
      </c>
      <c r="F174" s="134" t="s">
        <v>142</v>
      </c>
      <c r="G174" s="134" t="s">
        <v>142</v>
      </c>
      <c r="H174" s="134" t="s">
        <v>142</v>
      </c>
      <c r="I174" s="134" t="s">
        <v>142</v>
      </c>
      <c r="J174" s="134" t="s">
        <v>142</v>
      </c>
      <c r="K174" s="134" t="s">
        <v>142</v>
      </c>
      <c r="L174" s="134" t="s">
        <v>142</v>
      </c>
      <c r="M174" s="370"/>
      <c r="N174" s="137"/>
    </row>
    <row r="175" hidden="1" outlineLevel="1">
      <c r="A175" s="367" t="s">
        <v>1652</v>
      </c>
      <c r="B175" s="309">
        <v>46296.0</v>
      </c>
      <c r="C175" s="368" t="str">
        <f t="shared" si="19"/>
        <v>Thu</v>
      </c>
      <c r="D175" s="128">
        <f t="shared" si="20"/>
        <v>1</v>
      </c>
      <c r="E175" s="131" t="s">
        <v>142</v>
      </c>
      <c r="F175" s="134" t="s">
        <v>142</v>
      </c>
      <c r="G175" s="134" t="s">
        <v>142</v>
      </c>
      <c r="H175" s="134" t="s">
        <v>142</v>
      </c>
      <c r="I175" s="134" t="s">
        <v>142</v>
      </c>
      <c r="J175" s="134" t="s">
        <v>142</v>
      </c>
      <c r="K175" s="134" t="s">
        <v>142</v>
      </c>
      <c r="L175" s="134" t="s">
        <v>142</v>
      </c>
      <c r="M175" s="370"/>
      <c r="N175" s="137"/>
    </row>
    <row r="176" hidden="1" outlineLevel="1">
      <c r="A176" s="367" t="s">
        <v>1654</v>
      </c>
      <c r="B176" s="309">
        <v>46296.0</v>
      </c>
      <c r="C176" s="368" t="str">
        <f t="shared" si="19"/>
        <v>Thu</v>
      </c>
      <c r="D176" s="143">
        <f t="shared" si="20"/>
        <v>1</v>
      </c>
      <c r="E176" s="144" t="s">
        <v>142</v>
      </c>
      <c r="F176" s="134" t="s">
        <v>142</v>
      </c>
      <c r="G176" s="134" t="s">
        <v>142</v>
      </c>
      <c r="H176" s="134" t="s">
        <v>142</v>
      </c>
      <c r="I176" s="134" t="s">
        <v>142</v>
      </c>
      <c r="J176" s="134" t="s">
        <v>142</v>
      </c>
      <c r="K176" s="134" t="s">
        <v>142</v>
      </c>
      <c r="L176" s="134" t="s">
        <v>142</v>
      </c>
      <c r="M176" s="370"/>
      <c r="N176" s="137"/>
    </row>
    <row r="177" hidden="1" outlineLevel="1">
      <c r="A177" s="367" t="s">
        <v>1655</v>
      </c>
      <c r="B177" s="309">
        <v>46297.0</v>
      </c>
      <c r="C177" s="368" t="str">
        <f t="shared" si="19"/>
        <v>Fri</v>
      </c>
      <c r="D177" s="128">
        <f t="shared" si="20"/>
        <v>1</v>
      </c>
      <c r="E177" s="131" t="s">
        <v>142</v>
      </c>
      <c r="F177" s="134" t="s">
        <v>142</v>
      </c>
      <c r="G177" s="134" t="s">
        <v>142</v>
      </c>
      <c r="H177" s="134" t="s">
        <v>142</v>
      </c>
      <c r="I177" s="134" t="s">
        <v>142</v>
      </c>
      <c r="J177" s="134" t="s">
        <v>142</v>
      </c>
      <c r="K177" s="134" t="s">
        <v>142</v>
      </c>
      <c r="L177" s="134" t="s">
        <v>142</v>
      </c>
      <c r="M177" s="370"/>
      <c r="N177" s="137"/>
    </row>
    <row r="178" hidden="1" outlineLevel="1">
      <c r="A178" s="367" t="s">
        <v>1657</v>
      </c>
      <c r="B178" s="309">
        <v>46297.0</v>
      </c>
      <c r="C178" s="368" t="str">
        <f t="shared" si="19"/>
        <v>Fri</v>
      </c>
      <c r="D178" s="143">
        <f t="shared" si="20"/>
        <v>1</v>
      </c>
      <c r="E178" s="144" t="s">
        <v>142</v>
      </c>
      <c r="F178" s="134" t="s">
        <v>142</v>
      </c>
      <c r="G178" s="134" t="s">
        <v>142</v>
      </c>
      <c r="H178" s="134" t="s">
        <v>142</v>
      </c>
      <c r="I178" s="134" t="s">
        <v>142</v>
      </c>
      <c r="J178" s="134" t="s">
        <v>142</v>
      </c>
      <c r="K178" s="134" t="s">
        <v>142</v>
      </c>
      <c r="L178" s="134" t="s">
        <v>142</v>
      </c>
      <c r="M178" s="370"/>
      <c r="N178" s="137"/>
    </row>
    <row r="179" hidden="1" outlineLevel="1">
      <c r="A179" s="367" t="s">
        <v>1659</v>
      </c>
      <c r="B179" s="309">
        <v>46297.0</v>
      </c>
      <c r="C179" s="368" t="str">
        <f t="shared" si="19"/>
        <v>Fri</v>
      </c>
      <c r="D179" s="128">
        <f t="shared" si="20"/>
        <v>1</v>
      </c>
      <c r="E179" s="131" t="s">
        <v>142</v>
      </c>
      <c r="F179" s="134" t="s">
        <v>142</v>
      </c>
      <c r="G179" s="134" t="s">
        <v>142</v>
      </c>
      <c r="H179" s="134" t="s">
        <v>142</v>
      </c>
      <c r="I179" s="134" t="s">
        <v>142</v>
      </c>
      <c r="J179" s="134" t="s">
        <v>142</v>
      </c>
      <c r="K179" s="134" t="s">
        <v>142</v>
      </c>
      <c r="L179" s="134" t="s">
        <v>142</v>
      </c>
      <c r="M179" s="370"/>
      <c r="N179" s="137"/>
    </row>
    <row r="180" hidden="1" outlineLevel="1">
      <c r="A180" s="373"/>
      <c r="B180" s="373"/>
      <c r="C180" s="374" t="s">
        <v>199</v>
      </c>
      <c r="D180" s="414">
        <f>AVERAGE(D165:D179)</f>
        <v>1</v>
      </c>
      <c r="E180" s="391"/>
      <c r="F180" s="373"/>
      <c r="G180" s="373"/>
      <c r="H180" s="373"/>
      <c r="I180" s="373"/>
      <c r="J180" s="373"/>
      <c r="K180" s="373"/>
      <c r="L180" s="374" t="s">
        <v>199</v>
      </c>
      <c r="M180" s="377">
        <f>SUM(M165:M179)/75*0.1</f>
        <v>0</v>
      </c>
      <c r="N180" s="373"/>
    </row>
    <row r="181">
      <c r="A181" s="85" t="s">
        <v>537</v>
      </c>
      <c r="B181" s="86"/>
      <c r="C181" s="86"/>
      <c r="D181" s="88"/>
      <c r="E181" s="376"/>
      <c r="F181" s="376"/>
      <c r="G181" s="376"/>
      <c r="H181" s="376"/>
      <c r="I181" s="376"/>
      <c r="J181" s="376"/>
      <c r="K181" s="376"/>
      <c r="L181" s="376"/>
      <c r="M181" s="376"/>
      <c r="N181" s="376"/>
    </row>
    <row r="182" outlineLevel="1">
      <c r="A182" s="425" t="s">
        <v>89</v>
      </c>
      <c r="B182" s="392" t="s">
        <v>90</v>
      </c>
      <c r="C182" s="392" t="s">
        <v>91</v>
      </c>
      <c r="D182" s="426" t="s">
        <v>93</v>
      </c>
      <c r="E182" s="427" t="s">
        <v>94</v>
      </c>
      <c r="F182" s="395" t="s">
        <v>95</v>
      </c>
      <c r="G182" s="396" t="s">
        <v>96</v>
      </c>
      <c r="H182" s="396" t="s">
        <v>97</v>
      </c>
      <c r="I182" s="396" t="s">
        <v>104</v>
      </c>
      <c r="J182" s="396" t="s">
        <v>106</v>
      </c>
      <c r="K182" s="396" t="s">
        <v>109</v>
      </c>
      <c r="L182" s="396" t="s">
        <v>111</v>
      </c>
      <c r="M182" s="392" t="s">
        <v>114</v>
      </c>
      <c r="N182" s="392" t="s">
        <v>116</v>
      </c>
    </row>
    <row r="183" outlineLevel="1">
      <c r="A183" s="372" t="s">
        <v>1661</v>
      </c>
      <c r="B183" s="309">
        <v>46300.0</v>
      </c>
      <c r="C183" s="368" t="str">
        <f t="shared" ref="C183:C197" si="21">IF(B183="", "", TEXT(B183, "ddd"))</f>
        <v>Mon</v>
      </c>
      <c r="D183" s="128">
        <f t="shared" ref="D183:D197" si="22">IF(E183="Yes",0.05,0)
+IF(F183="Yes",0.1,0)
+IF(G183="Yes",0.15,0)
+IF(H183="Yes",0.15,0)
+IF(I183="Yes",0.05,0)
+IF(J183="Yes",0.05,0)
+IF(K183="Yes",0.15,0)
+IF(L183="Yes",0.3,0)
</f>
        <v>1</v>
      </c>
      <c r="E183" s="370" t="s">
        <v>142</v>
      </c>
      <c r="F183" s="7" t="s">
        <v>142</v>
      </c>
      <c r="G183" s="7" t="s">
        <v>142</v>
      </c>
      <c r="H183" s="7" t="s">
        <v>142</v>
      </c>
      <c r="I183" s="7" t="s">
        <v>142</v>
      </c>
      <c r="J183" s="7" t="s">
        <v>142</v>
      </c>
      <c r="K183" s="7" t="s">
        <v>142</v>
      </c>
      <c r="L183" s="7" t="s">
        <v>142</v>
      </c>
      <c r="M183" s="370"/>
      <c r="N183" s="137"/>
    </row>
    <row r="184" outlineLevel="1">
      <c r="A184" s="372" t="s">
        <v>1664</v>
      </c>
      <c r="B184" s="309">
        <v>46300.0</v>
      </c>
      <c r="C184" s="368" t="str">
        <f t="shared" si="21"/>
        <v>Mon</v>
      </c>
      <c r="D184" s="143">
        <f t="shared" si="22"/>
        <v>1</v>
      </c>
      <c r="E184" s="369" t="s">
        <v>142</v>
      </c>
      <c r="F184" s="7" t="s">
        <v>142</v>
      </c>
      <c r="G184" s="7" t="s">
        <v>142</v>
      </c>
      <c r="H184" s="7" t="s">
        <v>142</v>
      </c>
      <c r="I184" s="7" t="s">
        <v>142</v>
      </c>
      <c r="J184" s="7" t="s">
        <v>142</v>
      </c>
      <c r="K184" s="7" t="s">
        <v>142</v>
      </c>
      <c r="L184" s="7" t="s">
        <v>142</v>
      </c>
      <c r="M184" s="370"/>
      <c r="N184" s="137"/>
    </row>
    <row r="185" outlineLevel="1">
      <c r="A185" s="372" t="s">
        <v>1666</v>
      </c>
      <c r="B185" s="309">
        <v>46300.0</v>
      </c>
      <c r="C185" s="368" t="str">
        <f t="shared" si="21"/>
        <v>Mon</v>
      </c>
      <c r="D185" s="128">
        <f t="shared" si="22"/>
        <v>1</v>
      </c>
      <c r="E185" s="370" t="s">
        <v>142</v>
      </c>
      <c r="F185" s="7" t="s">
        <v>142</v>
      </c>
      <c r="G185" s="7" t="s">
        <v>142</v>
      </c>
      <c r="H185" s="7" t="s">
        <v>142</v>
      </c>
      <c r="I185" s="7" t="s">
        <v>142</v>
      </c>
      <c r="J185" s="7" t="s">
        <v>142</v>
      </c>
      <c r="K185" s="7" t="s">
        <v>142</v>
      </c>
      <c r="L185" s="7" t="s">
        <v>142</v>
      </c>
      <c r="M185" s="370"/>
      <c r="N185" s="137"/>
    </row>
    <row r="186" outlineLevel="1">
      <c r="A186" s="372" t="s">
        <v>1668</v>
      </c>
      <c r="B186" s="309">
        <v>46301.0</v>
      </c>
      <c r="C186" s="368" t="str">
        <f t="shared" si="21"/>
        <v>Tue</v>
      </c>
      <c r="D186" s="143">
        <f t="shared" si="22"/>
        <v>1</v>
      </c>
      <c r="E186" s="369" t="s">
        <v>142</v>
      </c>
      <c r="F186" s="7" t="s">
        <v>142</v>
      </c>
      <c r="G186" s="7" t="s">
        <v>142</v>
      </c>
      <c r="H186" s="7" t="s">
        <v>142</v>
      </c>
      <c r="I186" s="7" t="s">
        <v>142</v>
      </c>
      <c r="J186" s="7" t="s">
        <v>142</v>
      </c>
      <c r="K186" s="7" t="s">
        <v>142</v>
      </c>
      <c r="L186" s="7" t="s">
        <v>142</v>
      </c>
      <c r="M186" s="370"/>
      <c r="N186" s="137"/>
    </row>
    <row r="187" outlineLevel="1">
      <c r="A187" s="372" t="s">
        <v>1669</v>
      </c>
      <c r="B187" s="309">
        <v>46301.0</v>
      </c>
      <c r="C187" s="368" t="str">
        <f t="shared" si="21"/>
        <v>Tue</v>
      </c>
      <c r="D187" s="128">
        <f t="shared" si="22"/>
        <v>1</v>
      </c>
      <c r="E187" s="370" t="s">
        <v>142</v>
      </c>
      <c r="F187" s="7" t="s">
        <v>142</v>
      </c>
      <c r="G187" s="7" t="s">
        <v>142</v>
      </c>
      <c r="H187" s="7" t="s">
        <v>142</v>
      </c>
      <c r="I187" s="7" t="s">
        <v>142</v>
      </c>
      <c r="J187" s="7" t="s">
        <v>142</v>
      </c>
      <c r="K187" s="7" t="s">
        <v>142</v>
      </c>
      <c r="L187" s="7" t="s">
        <v>142</v>
      </c>
      <c r="M187" s="370"/>
      <c r="N187" s="137"/>
    </row>
    <row r="188" outlineLevel="1">
      <c r="A188" s="372" t="s">
        <v>1671</v>
      </c>
      <c r="B188" s="309">
        <v>46301.0</v>
      </c>
      <c r="C188" s="368" t="str">
        <f t="shared" si="21"/>
        <v>Tue</v>
      </c>
      <c r="D188" s="143">
        <f t="shared" si="22"/>
        <v>1</v>
      </c>
      <c r="E188" s="369" t="s">
        <v>142</v>
      </c>
      <c r="F188" s="7" t="s">
        <v>142</v>
      </c>
      <c r="G188" s="7" t="s">
        <v>142</v>
      </c>
      <c r="H188" s="7" t="s">
        <v>142</v>
      </c>
      <c r="I188" s="7" t="s">
        <v>142</v>
      </c>
      <c r="J188" s="7" t="s">
        <v>142</v>
      </c>
      <c r="K188" s="7" t="s">
        <v>142</v>
      </c>
      <c r="L188" s="7" t="s">
        <v>142</v>
      </c>
      <c r="M188" s="370"/>
      <c r="N188" s="137"/>
    </row>
    <row r="189" outlineLevel="1">
      <c r="A189" s="372" t="s">
        <v>1673</v>
      </c>
      <c r="B189" s="309">
        <v>46302.0</v>
      </c>
      <c r="C189" s="368" t="str">
        <f t="shared" si="21"/>
        <v>Wed</v>
      </c>
      <c r="D189" s="128">
        <f t="shared" si="22"/>
        <v>1</v>
      </c>
      <c r="E189" s="370" t="s">
        <v>142</v>
      </c>
      <c r="F189" s="7" t="s">
        <v>142</v>
      </c>
      <c r="G189" s="7" t="s">
        <v>142</v>
      </c>
      <c r="H189" s="7" t="s">
        <v>142</v>
      </c>
      <c r="I189" s="7" t="s">
        <v>142</v>
      </c>
      <c r="J189" s="7" t="s">
        <v>142</v>
      </c>
      <c r="K189" s="7" t="s">
        <v>142</v>
      </c>
      <c r="L189" s="7" t="s">
        <v>142</v>
      </c>
      <c r="M189" s="370"/>
      <c r="N189" s="137"/>
    </row>
    <row r="190" outlineLevel="1">
      <c r="A190" s="372" t="s">
        <v>1674</v>
      </c>
      <c r="B190" s="309">
        <v>46302.0</v>
      </c>
      <c r="C190" s="368" t="str">
        <f t="shared" si="21"/>
        <v>Wed</v>
      </c>
      <c r="D190" s="143">
        <f t="shared" si="22"/>
        <v>1</v>
      </c>
      <c r="E190" s="369" t="s">
        <v>142</v>
      </c>
      <c r="F190" s="7" t="s">
        <v>142</v>
      </c>
      <c r="G190" s="7" t="s">
        <v>142</v>
      </c>
      <c r="H190" s="7" t="s">
        <v>142</v>
      </c>
      <c r="I190" s="7" t="s">
        <v>142</v>
      </c>
      <c r="J190" s="7" t="s">
        <v>142</v>
      </c>
      <c r="K190" s="7" t="s">
        <v>142</v>
      </c>
      <c r="L190" s="7" t="s">
        <v>142</v>
      </c>
      <c r="M190" s="370"/>
      <c r="N190" s="137"/>
    </row>
    <row r="191" outlineLevel="1">
      <c r="A191" s="372" t="s">
        <v>1675</v>
      </c>
      <c r="B191" s="309">
        <v>46302.0</v>
      </c>
      <c r="C191" s="368" t="str">
        <f t="shared" si="21"/>
        <v>Wed</v>
      </c>
      <c r="D191" s="128">
        <f t="shared" si="22"/>
        <v>1</v>
      </c>
      <c r="E191" s="370" t="s">
        <v>142</v>
      </c>
      <c r="F191" s="7" t="s">
        <v>142</v>
      </c>
      <c r="G191" s="7" t="s">
        <v>142</v>
      </c>
      <c r="H191" s="7" t="s">
        <v>142</v>
      </c>
      <c r="I191" s="7" t="s">
        <v>142</v>
      </c>
      <c r="J191" s="7" t="s">
        <v>142</v>
      </c>
      <c r="K191" s="7" t="s">
        <v>142</v>
      </c>
      <c r="L191" s="7" t="s">
        <v>142</v>
      </c>
      <c r="M191" s="370"/>
      <c r="N191" s="137"/>
    </row>
    <row r="192" outlineLevel="1">
      <c r="A192" s="372" t="s">
        <v>1677</v>
      </c>
      <c r="B192" s="309">
        <v>46303.0</v>
      </c>
      <c r="C192" s="368" t="str">
        <f t="shared" si="21"/>
        <v>Thu</v>
      </c>
      <c r="D192" s="143">
        <f t="shared" si="22"/>
        <v>1</v>
      </c>
      <c r="E192" s="369" t="s">
        <v>142</v>
      </c>
      <c r="F192" s="7" t="s">
        <v>142</v>
      </c>
      <c r="G192" s="7" t="s">
        <v>142</v>
      </c>
      <c r="H192" s="7" t="s">
        <v>142</v>
      </c>
      <c r="I192" s="7" t="s">
        <v>142</v>
      </c>
      <c r="J192" s="7" t="s">
        <v>142</v>
      </c>
      <c r="K192" s="7" t="s">
        <v>142</v>
      </c>
      <c r="L192" s="7" t="s">
        <v>142</v>
      </c>
      <c r="M192" s="370"/>
      <c r="N192" s="137"/>
    </row>
    <row r="193" outlineLevel="1">
      <c r="A193" s="372" t="s">
        <v>1678</v>
      </c>
      <c r="B193" s="309">
        <v>46303.0</v>
      </c>
      <c r="C193" s="368" t="str">
        <f t="shared" si="21"/>
        <v>Thu</v>
      </c>
      <c r="D193" s="128">
        <f t="shared" si="22"/>
        <v>1</v>
      </c>
      <c r="E193" s="370" t="s">
        <v>142</v>
      </c>
      <c r="F193" s="7" t="s">
        <v>142</v>
      </c>
      <c r="G193" s="7" t="s">
        <v>142</v>
      </c>
      <c r="H193" s="7" t="s">
        <v>142</v>
      </c>
      <c r="I193" s="7" t="s">
        <v>142</v>
      </c>
      <c r="J193" s="7" t="s">
        <v>142</v>
      </c>
      <c r="K193" s="7" t="s">
        <v>142</v>
      </c>
      <c r="L193" s="7" t="s">
        <v>142</v>
      </c>
      <c r="M193" s="370"/>
      <c r="N193" s="137"/>
    </row>
    <row r="194" outlineLevel="1">
      <c r="A194" s="372" t="s">
        <v>1680</v>
      </c>
      <c r="B194" s="309">
        <v>46303.0</v>
      </c>
      <c r="C194" s="368" t="str">
        <f t="shared" si="21"/>
        <v>Thu</v>
      </c>
      <c r="D194" s="143">
        <f t="shared" si="22"/>
        <v>1</v>
      </c>
      <c r="E194" s="369" t="s">
        <v>142</v>
      </c>
      <c r="F194" s="7" t="s">
        <v>142</v>
      </c>
      <c r="G194" s="7" t="s">
        <v>142</v>
      </c>
      <c r="H194" s="7" t="s">
        <v>142</v>
      </c>
      <c r="I194" s="7" t="s">
        <v>142</v>
      </c>
      <c r="J194" s="7" t="s">
        <v>142</v>
      </c>
      <c r="K194" s="7" t="s">
        <v>142</v>
      </c>
      <c r="L194" s="7" t="s">
        <v>142</v>
      </c>
      <c r="M194" s="370"/>
      <c r="N194" s="137"/>
    </row>
    <row r="195" outlineLevel="1">
      <c r="A195" s="372" t="s">
        <v>1682</v>
      </c>
      <c r="B195" s="309">
        <v>46304.0</v>
      </c>
      <c r="C195" s="368" t="str">
        <f t="shared" si="21"/>
        <v>Fri</v>
      </c>
      <c r="D195" s="128">
        <f t="shared" si="22"/>
        <v>1</v>
      </c>
      <c r="E195" s="370" t="s">
        <v>142</v>
      </c>
      <c r="F195" s="7" t="s">
        <v>142</v>
      </c>
      <c r="G195" s="7" t="s">
        <v>142</v>
      </c>
      <c r="H195" s="7" t="s">
        <v>142</v>
      </c>
      <c r="I195" s="7" t="s">
        <v>142</v>
      </c>
      <c r="J195" s="7" t="s">
        <v>142</v>
      </c>
      <c r="K195" s="7" t="s">
        <v>142</v>
      </c>
      <c r="L195" s="7" t="s">
        <v>142</v>
      </c>
      <c r="M195" s="370"/>
      <c r="N195" s="137"/>
    </row>
    <row r="196" outlineLevel="1">
      <c r="A196" s="372" t="s">
        <v>1684</v>
      </c>
      <c r="B196" s="309">
        <v>46304.0</v>
      </c>
      <c r="C196" s="368" t="str">
        <f t="shared" si="21"/>
        <v>Fri</v>
      </c>
      <c r="D196" s="143">
        <f t="shared" si="22"/>
        <v>1</v>
      </c>
      <c r="E196" s="369" t="s">
        <v>142</v>
      </c>
      <c r="F196" s="7" t="s">
        <v>142</v>
      </c>
      <c r="G196" s="7" t="s">
        <v>142</v>
      </c>
      <c r="H196" s="7" t="s">
        <v>142</v>
      </c>
      <c r="I196" s="7" t="s">
        <v>142</v>
      </c>
      <c r="J196" s="7" t="s">
        <v>142</v>
      </c>
      <c r="K196" s="7" t="s">
        <v>142</v>
      </c>
      <c r="L196" s="7" t="s">
        <v>142</v>
      </c>
      <c r="M196" s="370"/>
      <c r="N196" s="137"/>
    </row>
    <row r="197" outlineLevel="1">
      <c r="A197" s="372" t="s">
        <v>1685</v>
      </c>
      <c r="B197" s="309">
        <v>46304.0</v>
      </c>
      <c r="C197" s="368" t="str">
        <f t="shared" si="21"/>
        <v>Fri</v>
      </c>
      <c r="D197" s="128">
        <f t="shared" si="22"/>
        <v>1</v>
      </c>
      <c r="E197" s="370" t="s">
        <v>142</v>
      </c>
      <c r="F197" s="7" t="s">
        <v>142</v>
      </c>
      <c r="G197" s="7" t="s">
        <v>142</v>
      </c>
      <c r="H197" s="7" t="s">
        <v>142</v>
      </c>
      <c r="I197" s="7" t="s">
        <v>142</v>
      </c>
      <c r="J197" s="7" t="s">
        <v>142</v>
      </c>
      <c r="K197" s="7" t="s">
        <v>142</v>
      </c>
      <c r="L197" s="7" t="s">
        <v>142</v>
      </c>
      <c r="M197" s="370"/>
      <c r="N197" s="137"/>
    </row>
    <row r="198" outlineLevel="1">
      <c r="A198" s="373"/>
      <c r="B198" s="373"/>
      <c r="C198" s="374" t="s">
        <v>199</v>
      </c>
      <c r="D198" s="414">
        <f>AVERAGE(D183:D197)</f>
        <v>1</v>
      </c>
      <c r="E198" s="391"/>
      <c r="F198" s="373"/>
      <c r="G198" s="373"/>
      <c r="H198" s="373"/>
      <c r="I198" s="373"/>
      <c r="J198" s="373"/>
      <c r="K198" s="373"/>
      <c r="L198" s="374" t="s">
        <v>199</v>
      </c>
      <c r="M198" s="377">
        <f>SUM(M183:M197)/75*0.1</f>
        <v>0</v>
      </c>
      <c r="N198" s="373"/>
    </row>
  </sheetData>
  <mergeCells count="11">
    <mergeCell ref="A127:D127"/>
    <mergeCell ref="A145:D145"/>
    <mergeCell ref="A163:D163"/>
    <mergeCell ref="A181:D181"/>
    <mergeCell ref="A1:D1"/>
    <mergeCell ref="A19:D19"/>
    <mergeCell ref="A37:D37"/>
    <mergeCell ref="A55:D55"/>
    <mergeCell ref="A73:D73"/>
    <mergeCell ref="A91:D91"/>
    <mergeCell ref="A109:D109"/>
  </mergeCells>
  <conditionalFormatting sqref="A1:B17 C3:D5 E3:L17 C15:D17 A21:B35 C21:D23 E21:N35 C33:D35 A39:B53 C39:D41 E39:L53 C51:D53 A57:B71 C57:D59 E57:L71 C69:D71 A73:N90 A127:N198">
    <cfRule type="cellIs" dxfId="6" priority="1" operator="equal">
      <formula>"LWOP"</formula>
    </cfRule>
  </conditionalFormatting>
  <conditionalFormatting sqref="A1:D1 A19:D19 A37:D37 A55:D55">
    <cfRule type="cellIs" dxfId="7" priority="2" operator="equal">
      <formula>"OFF"</formula>
    </cfRule>
  </conditionalFormatting>
  <conditionalFormatting sqref="A1:D1 A19:D19 A37:D37 A55:D55">
    <cfRule type="cellIs" dxfId="8" priority="3" operator="equal">
      <formula>"A"</formula>
    </cfRule>
  </conditionalFormatting>
  <conditionalFormatting sqref="A1:D1 A19:D19 A37:D37 A55:D55">
    <cfRule type="cellIs" dxfId="9" priority="4" operator="equal">
      <formula>"LWOP"</formula>
    </cfRule>
  </conditionalFormatting>
  <conditionalFormatting sqref="A1:N198">
    <cfRule type="cellIs" dxfId="10" priority="5" operator="equal">
      <formula>"Absent"</formula>
    </cfRule>
  </conditionalFormatting>
  <dataValidations>
    <dataValidation type="list" allowBlank="1" showErrorMessage="1" sqref="E3:L17 E21:M35 E39:L53 E57:L71 E75:L89 E93:L107 E111:L125 E129:L143 E147:L161 E165:L179 E183:L197">
      <formula1>"Yes,No"</formula1>
    </dataValidation>
  </dataValidations>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21"/>
    <hyperlink r:id="rId17" ref="A22"/>
    <hyperlink r:id="rId18" ref="A23"/>
    <hyperlink r:id="rId19" ref="A24"/>
    <hyperlink r:id="rId20" ref="A25"/>
    <hyperlink r:id="rId21" ref="A26"/>
    <hyperlink r:id="rId22" ref="A27"/>
    <hyperlink r:id="rId23" ref="A28"/>
    <hyperlink r:id="rId24" ref="A29"/>
    <hyperlink r:id="rId25" ref="A30"/>
    <hyperlink r:id="rId26" ref="A31"/>
    <hyperlink r:id="rId27" ref="A32"/>
    <hyperlink r:id="rId28" ref="A33"/>
    <hyperlink r:id="rId29" ref="A34"/>
    <hyperlink r:id="rId30" ref="A35"/>
    <hyperlink r:id="rId31" ref="A39"/>
    <hyperlink r:id="rId32" ref="A40"/>
    <hyperlink r:id="rId33" ref="A41"/>
    <hyperlink r:id="rId34" ref="A42"/>
    <hyperlink r:id="rId35" ref="A43"/>
    <hyperlink r:id="rId36" ref="A44"/>
    <hyperlink r:id="rId37" ref="A45"/>
    <hyperlink r:id="rId38" ref="A46"/>
    <hyperlink r:id="rId39" ref="A47"/>
    <hyperlink r:id="rId40" ref="A48"/>
    <hyperlink r:id="rId41" ref="A49"/>
    <hyperlink r:id="rId42" ref="A50"/>
    <hyperlink r:id="rId43" ref="A51"/>
    <hyperlink r:id="rId44" ref="A52"/>
    <hyperlink r:id="rId45" ref="A53"/>
    <hyperlink r:id="rId46" ref="A57"/>
    <hyperlink r:id="rId47" ref="A58"/>
    <hyperlink r:id="rId48" ref="A59"/>
    <hyperlink r:id="rId49" ref="A60"/>
    <hyperlink r:id="rId50" ref="A61"/>
    <hyperlink r:id="rId51" ref="A62"/>
    <hyperlink r:id="rId52" ref="A63"/>
    <hyperlink r:id="rId53" ref="A64"/>
    <hyperlink r:id="rId54" ref="A65"/>
    <hyperlink r:id="rId55" ref="A66"/>
    <hyperlink r:id="rId56" ref="A67"/>
    <hyperlink r:id="rId57" ref="A68"/>
    <hyperlink r:id="rId58" ref="A69"/>
    <hyperlink r:id="rId59" ref="A70"/>
    <hyperlink r:id="rId60" ref="A71"/>
    <hyperlink r:id="rId61" ref="A75"/>
    <hyperlink r:id="rId62" ref="A76"/>
    <hyperlink r:id="rId63" ref="A77"/>
    <hyperlink r:id="rId64" ref="A78"/>
    <hyperlink r:id="rId65" ref="A79"/>
    <hyperlink r:id="rId66" ref="A80"/>
    <hyperlink r:id="rId67" ref="A81"/>
    <hyperlink r:id="rId68" ref="A82"/>
    <hyperlink r:id="rId69" ref="A83"/>
    <hyperlink r:id="rId70" ref="A84"/>
    <hyperlink r:id="rId71" ref="A85"/>
    <hyperlink r:id="rId72" ref="A86"/>
    <hyperlink r:id="rId73" ref="A87"/>
    <hyperlink r:id="rId74" ref="A88"/>
    <hyperlink r:id="rId75" ref="A89"/>
    <hyperlink r:id="rId76" ref="A93"/>
    <hyperlink r:id="rId77" ref="A94"/>
    <hyperlink r:id="rId78" ref="A95"/>
    <hyperlink r:id="rId79" ref="A96"/>
    <hyperlink r:id="rId80" ref="A97"/>
    <hyperlink r:id="rId81" ref="A98"/>
    <hyperlink r:id="rId82" ref="A99"/>
    <hyperlink r:id="rId83" ref="A100"/>
    <hyperlink r:id="rId84" ref="A101"/>
    <hyperlink r:id="rId85" ref="A102"/>
    <hyperlink r:id="rId86" ref="A103"/>
    <hyperlink r:id="rId87" ref="A104"/>
    <hyperlink r:id="rId88" ref="A105"/>
    <hyperlink r:id="rId89" ref="A106"/>
    <hyperlink r:id="rId90" ref="A107"/>
    <hyperlink r:id="rId91" ref="A111"/>
    <hyperlink r:id="rId92" ref="A112"/>
    <hyperlink r:id="rId93" ref="A113"/>
    <hyperlink r:id="rId94" ref="A114"/>
    <hyperlink r:id="rId95" ref="A115"/>
    <hyperlink r:id="rId96" ref="A116"/>
    <hyperlink r:id="rId97" ref="A117"/>
    <hyperlink r:id="rId98" ref="A118"/>
    <hyperlink r:id="rId99" ref="A119"/>
    <hyperlink r:id="rId100" ref="A120"/>
    <hyperlink r:id="rId101" ref="A121"/>
    <hyperlink r:id="rId102" ref="A122"/>
    <hyperlink r:id="rId103" ref="A123"/>
    <hyperlink r:id="rId104" ref="A124"/>
    <hyperlink r:id="rId105" ref="A125"/>
    <hyperlink r:id="rId106" ref="A129"/>
    <hyperlink r:id="rId107" ref="A130"/>
    <hyperlink r:id="rId108" ref="A131"/>
    <hyperlink r:id="rId109" ref="A132"/>
    <hyperlink r:id="rId110" ref="A133"/>
    <hyperlink r:id="rId111" ref="A134"/>
    <hyperlink r:id="rId112" ref="A135"/>
    <hyperlink r:id="rId113" ref="A136"/>
    <hyperlink r:id="rId114" ref="A137"/>
    <hyperlink r:id="rId115" ref="A138"/>
    <hyperlink r:id="rId116" ref="A139"/>
    <hyperlink r:id="rId117" ref="A140"/>
    <hyperlink r:id="rId118" ref="A141"/>
    <hyperlink r:id="rId119" ref="A142"/>
    <hyperlink r:id="rId120" ref="A143"/>
    <hyperlink r:id="rId121" ref="A147"/>
    <hyperlink r:id="rId122" ref="A148"/>
    <hyperlink r:id="rId123" ref="A149"/>
    <hyperlink r:id="rId124" ref="A150"/>
    <hyperlink r:id="rId125" ref="A151"/>
    <hyperlink r:id="rId126" ref="A152"/>
    <hyperlink r:id="rId127" ref="A153"/>
    <hyperlink r:id="rId128" ref="A154"/>
    <hyperlink r:id="rId129" ref="A155"/>
    <hyperlink r:id="rId130" ref="A156"/>
    <hyperlink r:id="rId131" ref="A157"/>
    <hyperlink r:id="rId132" ref="A158"/>
    <hyperlink r:id="rId133" ref="A159"/>
    <hyperlink r:id="rId134" ref="A160"/>
    <hyperlink r:id="rId135" ref="A161"/>
    <hyperlink r:id="rId136" ref="A165"/>
    <hyperlink r:id="rId137" ref="A166"/>
    <hyperlink r:id="rId138" ref="A167"/>
    <hyperlink r:id="rId139" ref="A168"/>
    <hyperlink r:id="rId140" ref="A169"/>
    <hyperlink r:id="rId141" ref="A170"/>
    <hyperlink r:id="rId142" ref="A171"/>
    <hyperlink r:id="rId143" ref="A172"/>
    <hyperlink r:id="rId144" ref="A173"/>
    <hyperlink r:id="rId145" ref="A174"/>
    <hyperlink r:id="rId146" ref="A175"/>
    <hyperlink r:id="rId147" ref="A176"/>
    <hyperlink r:id="rId148" ref="A177"/>
    <hyperlink r:id="rId149" ref="A178"/>
    <hyperlink r:id="rId150" ref="A179"/>
    <hyperlink r:id="rId151" ref="A183"/>
    <hyperlink r:id="rId152" ref="A184"/>
    <hyperlink r:id="rId153" ref="A185"/>
    <hyperlink r:id="rId154" ref="A186"/>
    <hyperlink r:id="rId155" ref="A187"/>
    <hyperlink r:id="rId156" ref="A188"/>
    <hyperlink r:id="rId157" ref="A189"/>
    <hyperlink r:id="rId158" ref="A190"/>
    <hyperlink r:id="rId159" ref="A191"/>
    <hyperlink r:id="rId160" ref="A192"/>
    <hyperlink r:id="rId161" ref="A193"/>
    <hyperlink r:id="rId162" ref="A194"/>
    <hyperlink r:id="rId163" ref="A195"/>
    <hyperlink r:id="rId164" ref="A196"/>
    <hyperlink r:id="rId165" ref="A197"/>
  </hyperlinks>
  <drawing r:id="rId166"/>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41.5"/>
    <col customWidth="1" min="8" max="8" width="10.13"/>
    <col customWidth="1" min="14" max="14" width="152.75"/>
  </cols>
  <sheetData>
    <row r="1" hidden="1" outlineLevel="1">
      <c r="A1" s="98" t="s">
        <v>89</v>
      </c>
      <c r="B1" s="98" t="s">
        <v>90</v>
      </c>
      <c r="C1" s="98" t="s">
        <v>91</v>
      </c>
      <c r="D1" s="101" t="s">
        <v>93</v>
      </c>
      <c r="E1" s="102" t="s">
        <v>94</v>
      </c>
      <c r="F1" s="102" t="s">
        <v>95</v>
      </c>
      <c r="G1" s="105" t="s">
        <v>96</v>
      </c>
      <c r="H1" s="107" t="s">
        <v>97</v>
      </c>
      <c r="I1" s="107" t="s">
        <v>104</v>
      </c>
      <c r="J1" s="105" t="s">
        <v>106</v>
      </c>
      <c r="K1" s="107" t="s">
        <v>109</v>
      </c>
      <c r="L1" s="105" t="s">
        <v>111</v>
      </c>
      <c r="M1" s="98" t="s">
        <v>114</v>
      </c>
      <c r="N1" s="101" t="s">
        <v>116</v>
      </c>
    </row>
    <row r="2" hidden="1" outlineLevel="1">
      <c r="A2" s="422" t="s">
        <v>1382</v>
      </c>
      <c r="B2" s="115">
        <v>46048.0</v>
      </c>
      <c r="C2" s="118" t="str">
        <f t="shared" ref="C2:C16" si="1">IF(B2="", "", TEXT(B2, "ddd"))</f>
        <v>Mon</v>
      </c>
      <c r="D2" s="468">
        <f t="shared" ref="D2:D16" si="2">IF(E2="Yes",0.05,0)
+IF(F2="Yes",0.1,0)
+IF(G2="Yes",0.15,0)
+IF(H2="Yes",0.15,0)
+IF(I2="Yes",0.05,0)
+IF(J2="Yes",0.05,0)
+IF(K2="Yes",0.15,0)
+IF(L2="Yes",0.3,0)
</f>
        <v>1</v>
      </c>
      <c r="E2" s="134" t="s">
        <v>142</v>
      </c>
      <c r="F2" s="134" t="s">
        <v>142</v>
      </c>
      <c r="G2" s="134" t="s">
        <v>142</v>
      </c>
      <c r="H2" s="134" t="s">
        <v>142</v>
      </c>
      <c r="I2" s="134" t="s">
        <v>142</v>
      </c>
      <c r="J2" s="134" t="s">
        <v>142</v>
      </c>
      <c r="K2" s="134" t="s">
        <v>142</v>
      </c>
      <c r="L2" s="134" t="s">
        <v>142</v>
      </c>
      <c r="M2" s="136"/>
      <c r="N2" s="137"/>
    </row>
    <row r="3" hidden="1" outlineLevel="1">
      <c r="A3" s="422" t="s">
        <v>1390</v>
      </c>
      <c r="B3" s="115">
        <v>46048.0</v>
      </c>
      <c r="C3" s="118" t="str">
        <f t="shared" si="1"/>
        <v>Mon</v>
      </c>
      <c r="D3" s="468">
        <f t="shared" si="2"/>
        <v>1</v>
      </c>
      <c r="E3" s="134" t="s">
        <v>142</v>
      </c>
      <c r="F3" s="134" t="s">
        <v>142</v>
      </c>
      <c r="G3" s="134" t="s">
        <v>142</v>
      </c>
      <c r="H3" s="134" t="s">
        <v>142</v>
      </c>
      <c r="I3" s="134" t="s">
        <v>142</v>
      </c>
      <c r="J3" s="134" t="s">
        <v>142</v>
      </c>
      <c r="K3" s="134" t="s">
        <v>142</v>
      </c>
      <c r="L3" s="134" t="s">
        <v>142</v>
      </c>
      <c r="M3" s="136"/>
      <c r="N3" s="131"/>
    </row>
    <row r="4" hidden="1" outlineLevel="1">
      <c r="A4" s="422" t="s">
        <v>1393</v>
      </c>
      <c r="B4" s="115">
        <v>46048.0</v>
      </c>
      <c r="C4" s="118" t="str">
        <f t="shared" si="1"/>
        <v>Mon</v>
      </c>
      <c r="D4" s="468">
        <f t="shared" si="2"/>
        <v>1</v>
      </c>
      <c r="E4" s="134" t="s">
        <v>142</v>
      </c>
      <c r="F4" s="134" t="s">
        <v>142</v>
      </c>
      <c r="G4" s="134" t="s">
        <v>142</v>
      </c>
      <c r="H4" s="134" t="s">
        <v>142</v>
      </c>
      <c r="I4" s="134" t="s">
        <v>142</v>
      </c>
      <c r="J4" s="134" t="s">
        <v>142</v>
      </c>
      <c r="K4" s="134" t="s">
        <v>142</v>
      </c>
      <c r="L4" s="134" t="s">
        <v>142</v>
      </c>
      <c r="M4" s="136"/>
      <c r="N4" s="131"/>
    </row>
    <row r="5" hidden="1" outlineLevel="1">
      <c r="A5" s="113" t="s">
        <v>1395</v>
      </c>
      <c r="B5" s="115">
        <v>46049.0</v>
      </c>
      <c r="C5" s="118" t="str">
        <f t="shared" si="1"/>
        <v>Tue</v>
      </c>
      <c r="D5" s="468">
        <f t="shared" si="2"/>
        <v>0.5</v>
      </c>
      <c r="E5" s="134" t="s">
        <v>945</v>
      </c>
      <c r="F5" s="11" t="s">
        <v>142</v>
      </c>
      <c r="G5" s="11" t="s">
        <v>142</v>
      </c>
      <c r="H5" s="11" t="s">
        <v>142</v>
      </c>
      <c r="I5" s="11" t="s">
        <v>142</v>
      </c>
      <c r="J5" s="11" t="s">
        <v>142</v>
      </c>
      <c r="K5" s="11" t="s">
        <v>945</v>
      </c>
      <c r="L5" s="11" t="s">
        <v>945</v>
      </c>
      <c r="M5" s="136"/>
      <c r="N5" s="131" t="s">
        <v>1397</v>
      </c>
    </row>
    <row r="6" hidden="1" outlineLevel="1">
      <c r="A6" s="422" t="s">
        <v>1398</v>
      </c>
      <c r="B6" s="115">
        <v>46049.0</v>
      </c>
      <c r="C6" s="118" t="str">
        <f t="shared" si="1"/>
        <v>Tue</v>
      </c>
      <c r="D6" s="468">
        <f t="shared" si="2"/>
        <v>0.55</v>
      </c>
      <c r="E6" s="134" t="s">
        <v>142</v>
      </c>
      <c r="F6" s="134" t="s">
        <v>142</v>
      </c>
      <c r="G6" s="134" t="s">
        <v>142</v>
      </c>
      <c r="H6" s="134" t="s">
        <v>142</v>
      </c>
      <c r="I6" s="134" t="s">
        <v>142</v>
      </c>
      <c r="J6" s="134" t="s">
        <v>142</v>
      </c>
      <c r="K6" s="134" t="s">
        <v>945</v>
      </c>
      <c r="L6" s="134" t="s">
        <v>945</v>
      </c>
      <c r="M6" s="136"/>
      <c r="N6" s="131" t="s">
        <v>1397</v>
      </c>
    </row>
    <row r="7" hidden="1" outlineLevel="1">
      <c r="A7" s="113" t="s">
        <v>1403</v>
      </c>
      <c r="B7" s="115">
        <v>46049.0</v>
      </c>
      <c r="C7" s="118" t="str">
        <f t="shared" si="1"/>
        <v>Tue</v>
      </c>
      <c r="D7" s="468">
        <f t="shared" si="2"/>
        <v>0.65</v>
      </c>
      <c r="E7" s="134" t="s">
        <v>945</v>
      </c>
      <c r="F7" s="11" t="s">
        <v>142</v>
      </c>
      <c r="G7" s="11" t="s">
        <v>142</v>
      </c>
      <c r="H7" s="11" t="s">
        <v>142</v>
      </c>
      <c r="I7" s="11" t="s">
        <v>142</v>
      </c>
      <c r="J7" s="11" t="s">
        <v>142</v>
      </c>
      <c r="K7" s="11" t="s">
        <v>142</v>
      </c>
      <c r="L7" s="11" t="s">
        <v>945</v>
      </c>
      <c r="M7" s="136"/>
      <c r="N7" s="131" t="s">
        <v>1404</v>
      </c>
    </row>
    <row r="8" hidden="1" outlineLevel="1">
      <c r="A8" s="113" t="s">
        <v>1405</v>
      </c>
      <c r="B8" s="115">
        <v>46050.0</v>
      </c>
      <c r="C8" s="118" t="str">
        <f t="shared" si="1"/>
        <v>Wed</v>
      </c>
      <c r="D8" s="468">
        <f t="shared" si="2"/>
        <v>0.95</v>
      </c>
      <c r="E8" s="134" t="s">
        <v>945</v>
      </c>
      <c r="F8" s="134" t="s">
        <v>142</v>
      </c>
      <c r="G8" s="134" t="s">
        <v>142</v>
      </c>
      <c r="H8" s="134" t="s">
        <v>142</v>
      </c>
      <c r="I8" s="134" t="s">
        <v>142</v>
      </c>
      <c r="J8" s="134" t="s">
        <v>142</v>
      </c>
      <c r="K8" s="134" t="s">
        <v>142</v>
      </c>
      <c r="L8" s="134" t="s">
        <v>142</v>
      </c>
      <c r="M8" s="136"/>
      <c r="N8" s="131" t="s">
        <v>1406</v>
      </c>
    </row>
    <row r="9" hidden="1" outlineLevel="1">
      <c r="A9" s="113" t="s">
        <v>1407</v>
      </c>
      <c r="B9" s="115">
        <v>46050.0</v>
      </c>
      <c r="C9" s="118" t="str">
        <f t="shared" si="1"/>
        <v>Wed</v>
      </c>
      <c r="D9" s="468">
        <f t="shared" si="2"/>
        <v>0.45</v>
      </c>
      <c r="E9" s="134" t="s">
        <v>142</v>
      </c>
      <c r="F9" s="134" t="s">
        <v>142</v>
      </c>
      <c r="G9" s="134" t="s">
        <v>142</v>
      </c>
      <c r="H9" s="134" t="s">
        <v>142</v>
      </c>
      <c r="I9" s="134" t="s">
        <v>945</v>
      </c>
      <c r="J9" s="134" t="s">
        <v>945</v>
      </c>
      <c r="K9" s="134" t="s">
        <v>945</v>
      </c>
      <c r="L9" s="134" t="s">
        <v>945</v>
      </c>
      <c r="M9" s="136"/>
      <c r="N9" s="131" t="s">
        <v>1409</v>
      </c>
    </row>
    <row r="10" hidden="1" outlineLevel="1">
      <c r="A10" s="113" t="s">
        <v>1410</v>
      </c>
      <c r="B10" s="115">
        <v>46050.0</v>
      </c>
      <c r="C10" s="118" t="str">
        <f t="shared" si="1"/>
        <v>Wed</v>
      </c>
      <c r="D10" s="468">
        <f t="shared" si="2"/>
        <v>1</v>
      </c>
      <c r="E10" s="134" t="s">
        <v>142</v>
      </c>
      <c r="F10" s="134" t="s">
        <v>142</v>
      </c>
      <c r="G10" s="134" t="s">
        <v>142</v>
      </c>
      <c r="H10" s="134" t="s">
        <v>142</v>
      </c>
      <c r="I10" s="134" t="s">
        <v>142</v>
      </c>
      <c r="J10" s="134" t="s">
        <v>142</v>
      </c>
      <c r="K10" s="134" t="s">
        <v>142</v>
      </c>
      <c r="L10" s="134" t="s">
        <v>142</v>
      </c>
      <c r="M10" s="136"/>
      <c r="N10" s="131"/>
    </row>
    <row r="11" hidden="1" outlineLevel="1">
      <c r="A11" s="422" t="s">
        <v>1411</v>
      </c>
      <c r="B11" s="115">
        <v>46052.0</v>
      </c>
      <c r="C11" s="118" t="str">
        <f t="shared" si="1"/>
        <v>Fri</v>
      </c>
      <c r="D11" s="468">
        <f t="shared" si="2"/>
        <v>0.55</v>
      </c>
      <c r="E11" s="134" t="s">
        <v>142</v>
      </c>
      <c r="F11" s="134" t="s">
        <v>142</v>
      </c>
      <c r="G11" s="134" t="s">
        <v>142</v>
      </c>
      <c r="H11" s="134" t="s">
        <v>142</v>
      </c>
      <c r="I11" s="134" t="s">
        <v>142</v>
      </c>
      <c r="J11" s="134" t="s">
        <v>142</v>
      </c>
      <c r="K11" s="134" t="s">
        <v>945</v>
      </c>
      <c r="L11" s="134" t="s">
        <v>945</v>
      </c>
      <c r="M11" s="136"/>
      <c r="N11" s="131" t="s">
        <v>1412</v>
      </c>
    </row>
    <row r="12" hidden="1" outlineLevel="1">
      <c r="A12" s="422" t="s">
        <v>1413</v>
      </c>
      <c r="B12" s="115">
        <v>46052.0</v>
      </c>
      <c r="C12" s="118" t="str">
        <f t="shared" si="1"/>
        <v>Fri</v>
      </c>
      <c r="D12" s="468">
        <f t="shared" si="2"/>
        <v>0.95</v>
      </c>
      <c r="E12" s="134" t="s">
        <v>945</v>
      </c>
      <c r="F12" s="134" t="s">
        <v>142</v>
      </c>
      <c r="G12" s="134" t="s">
        <v>142</v>
      </c>
      <c r="H12" s="134" t="s">
        <v>142</v>
      </c>
      <c r="I12" s="134" t="s">
        <v>142</v>
      </c>
      <c r="J12" s="134" t="s">
        <v>142</v>
      </c>
      <c r="K12" s="134" t="s">
        <v>142</v>
      </c>
      <c r="L12" s="134" t="s">
        <v>142</v>
      </c>
      <c r="M12" s="136"/>
      <c r="N12" s="131"/>
    </row>
    <row r="13" hidden="1" outlineLevel="1">
      <c r="A13" s="438" t="s">
        <v>1416</v>
      </c>
      <c r="B13" s="115">
        <v>46052.0</v>
      </c>
      <c r="C13" s="118" t="str">
        <f t="shared" si="1"/>
        <v>Fri</v>
      </c>
      <c r="D13" s="468">
        <f t="shared" si="2"/>
        <v>0.9</v>
      </c>
      <c r="E13" s="134" t="s">
        <v>945</v>
      </c>
      <c r="F13" s="134" t="s">
        <v>142</v>
      </c>
      <c r="G13" s="134" t="s">
        <v>142</v>
      </c>
      <c r="H13" s="134" t="s">
        <v>142</v>
      </c>
      <c r="I13" s="134" t="s">
        <v>142</v>
      </c>
      <c r="J13" s="134" t="s">
        <v>945</v>
      </c>
      <c r="K13" s="134" t="s">
        <v>142</v>
      </c>
      <c r="L13" s="134" t="s">
        <v>142</v>
      </c>
      <c r="M13" s="136"/>
      <c r="N13" s="131" t="s">
        <v>1418</v>
      </c>
    </row>
    <row r="14" hidden="1" outlineLevel="1">
      <c r="A14" s="353" t="s">
        <v>1419</v>
      </c>
      <c r="B14" s="115">
        <v>46053.0</v>
      </c>
      <c r="C14" s="368" t="str">
        <f t="shared" si="1"/>
        <v>Sat</v>
      </c>
      <c r="D14" s="468">
        <f t="shared" si="2"/>
        <v>1</v>
      </c>
      <c r="E14" s="134" t="s">
        <v>142</v>
      </c>
      <c r="F14" s="134" t="s">
        <v>142</v>
      </c>
      <c r="G14" s="134" t="s">
        <v>142</v>
      </c>
      <c r="H14" s="134" t="s">
        <v>142</v>
      </c>
      <c r="I14" s="134" t="s">
        <v>142</v>
      </c>
      <c r="J14" s="134" t="s">
        <v>142</v>
      </c>
      <c r="K14" s="134" t="s">
        <v>142</v>
      </c>
      <c r="L14" s="134" t="s">
        <v>142</v>
      </c>
      <c r="M14" s="136"/>
      <c r="N14" s="137"/>
    </row>
    <row r="15" hidden="1" outlineLevel="1">
      <c r="A15" s="353" t="s">
        <v>1421</v>
      </c>
      <c r="B15" s="115">
        <v>46053.0</v>
      </c>
      <c r="C15" s="368" t="str">
        <f t="shared" si="1"/>
        <v>Sat</v>
      </c>
      <c r="D15" s="468">
        <f t="shared" si="2"/>
        <v>1</v>
      </c>
      <c r="E15" s="134" t="s">
        <v>142</v>
      </c>
      <c r="F15" s="134" t="s">
        <v>142</v>
      </c>
      <c r="G15" s="134" t="s">
        <v>142</v>
      </c>
      <c r="H15" s="134" t="s">
        <v>142</v>
      </c>
      <c r="I15" s="134" t="s">
        <v>142</v>
      </c>
      <c r="J15" s="134" t="s">
        <v>142</v>
      </c>
      <c r="K15" s="134" t="s">
        <v>142</v>
      </c>
      <c r="L15" s="134" t="s">
        <v>142</v>
      </c>
      <c r="M15" s="136"/>
      <c r="N15" s="131" t="s">
        <v>1423</v>
      </c>
    </row>
    <row r="16" ht="15.0" hidden="1" customHeight="1" outlineLevel="1">
      <c r="A16" s="353" t="s">
        <v>1424</v>
      </c>
      <c r="B16" s="115">
        <v>46053.0</v>
      </c>
      <c r="C16" s="368" t="str">
        <f t="shared" si="1"/>
        <v>Sat</v>
      </c>
      <c r="D16" s="468">
        <f t="shared" si="2"/>
        <v>1</v>
      </c>
      <c r="E16" s="134" t="s">
        <v>142</v>
      </c>
      <c r="F16" s="134" t="s">
        <v>142</v>
      </c>
      <c r="G16" s="134" t="s">
        <v>142</v>
      </c>
      <c r="H16" s="134" t="s">
        <v>142</v>
      </c>
      <c r="I16" s="134" t="s">
        <v>142</v>
      </c>
      <c r="J16" s="134" t="s">
        <v>142</v>
      </c>
      <c r="K16" s="134" t="s">
        <v>142</v>
      </c>
      <c r="L16" s="134" t="s">
        <v>142</v>
      </c>
      <c r="M16" s="136"/>
      <c r="N16" s="131"/>
    </row>
    <row r="17" hidden="1" outlineLevel="1">
      <c r="B17" s="215"/>
      <c r="C17" s="216" t="s">
        <v>199</v>
      </c>
      <c r="D17" s="217">
        <f>AVERAGE(D2:D16)</f>
        <v>0.8333333333</v>
      </c>
      <c r="E17" s="470"/>
      <c r="L17" s="216" t="s">
        <v>199</v>
      </c>
      <c r="M17" s="217">
        <f>SUM(M2:M16)/75*0.1</f>
        <v>0</v>
      </c>
    </row>
    <row r="18" hidden="1" collapsed="1">
      <c r="A18" s="85" t="s">
        <v>1428</v>
      </c>
      <c r="B18" s="86"/>
      <c r="C18" s="86"/>
      <c r="D18" s="359"/>
      <c r="E18" s="89"/>
      <c r="F18" s="89"/>
      <c r="G18" s="91"/>
      <c r="H18" s="91"/>
      <c r="I18" s="91"/>
      <c r="J18" s="91"/>
      <c r="K18" s="91"/>
      <c r="L18" s="91"/>
      <c r="M18" s="93"/>
      <c r="N18" s="95"/>
    </row>
    <row r="19" hidden="1" outlineLevel="1">
      <c r="A19" s="98" t="s">
        <v>89</v>
      </c>
      <c r="B19" s="98" t="s">
        <v>90</v>
      </c>
      <c r="C19" s="98" t="s">
        <v>91</v>
      </c>
      <c r="D19" s="101" t="s">
        <v>93</v>
      </c>
      <c r="E19" s="102" t="s">
        <v>94</v>
      </c>
      <c r="F19" s="102" t="s">
        <v>95</v>
      </c>
      <c r="G19" s="105" t="s">
        <v>96</v>
      </c>
      <c r="H19" s="107" t="s">
        <v>97</v>
      </c>
      <c r="I19" s="107" t="s">
        <v>104</v>
      </c>
      <c r="J19" s="105" t="s">
        <v>106</v>
      </c>
      <c r="K19" s="107" t="s">
        <v>109</v>
      </c>
      <c r="L19" s="105" t="s">
        <v>111</v>
      </c>
      <c r="M19" s="98" t="s">
        <v>114</v>
      </c>
      <c r="N19" s="101" t="s">
        <v>116</v>
      </c>
    </row>
    <row r="20" hidden="1" outlineLevel="1">
      <c r="A20" s="422" t="s">
        <v>1430</v>
      </c>
      <c r="B20" s="115">
        <v>46055.0</v>
      </c>
      <c r="C20" s="118" t="str">
        <f t="shared" ref="C20:C34" si="3">IF(B20="", "", TEXT(B20, "ddd"))</f>
        <v>Mon</v>
      </c>
      <c r="D20" s="143">
        <f t="shared" ref="D20:D34" si="4">IF(E20="Yes",0.05,0)
+IF(F20="Yes",0.1,0)
+IF(G20="Yes",0.15,0)
+IF(H20="Yes",0.15,0)
+IF(I20="Yes",0.05,0)
+IF(J20="Yes",0.05,0)
+IF(K20="Yes",0.15,0)
+IF(L20="Yes",0.3,0)
</f>
        <v>0.85</v>
      </c>
      <c r="E20" s="144" t="s">
        <v>142</v>
      </c>
      <c r="F20" s="134" t="s">
        <v>142</v>
      </c>
      <c r="G20" s="134" t="s">
        <v>142</v>
      </c>
      <c r="H20" s="134" t="s">
        <v>945</v>
      </c>
      <c r="I20" s="134" t="s">
        <v>142</v>
      </c>
      <c r="J20" s="134" t="s">
        <v>142</v>
      </c>
      <c r="K20" s="134" t="s">
        <v>142</v>
      </c>
      <c r="L20" s="134" t="s">
        <v>142</v>
      </c>
      <c r="M20" s="136"/>
      <c r="N20" s="131" t="s">
        <v>1435</v>
      </c>
    </row>
    <row r="21" hidden="1" outlineLevel="1">
      <c r="A21" s="422" t="s">
        <v>1436</v>
      </c>
      <c r="B21" s="115">
        <v>46055.0</v>
      </c>
      <c r="C21" s="118" t="str">
        <f t="shared" si="3"/>
        <v>Mon</v>
      </c>
      <c r="D21" s="128">
        <f t="shared" si="4"/>
        <v>1</v>
      </c>
      <c r="E21" s="131" t="s">
        <v>142</v>
      </c>
      <c r="F21" s="134" t="s">
        <v>142</v>
      </c>
      <c r="G21" s="134" t="s">
        <v>142</v>
      </c>
      <c r="H21" s="134" t="s">
        <v>142</v>
      </c>
      <c r="I21" s="134" t="s">
        <v>142</v>
      </c>
      <c r="J21" s="134" t="s">
        <v>142</v>
      </c>
      <c r="K21" s="134" t="s">
        <v>142</v>
      </c>
      <c r="L21" s="134" t="s">
        <v>142</v>
      </c>
      <c r="M21" s="136"/>
      <c r="N21" s="131"/>
    </row>
    <row r="22" hidden="1" outlineLevel="1">
      <c r="A22" s="422" t="s">
        <v>1438</v>
      </c>
      <c r="B22" s="115">
        <v>46055.0</v>
      </c>
      <c r="C22" s="118" t="str">
        <f t="shared" si="3"/>
        <v>Mon</v>
      </c>
      <c r="D22" s="143">
        <f t="shared" si="4"/>
        <v>1</v>
      </c>
      <c r="E22" s="144" t="s">
        <v>142</v>
      </c>
      <c r="F22" s="134" t="s">
        <v>142</v>
      </c>
      <c r="G22" s="134" t="s">
        <v>142</v>
      </c>
      <c r="H22" s="134" t="s">
        <v>142</v>
      </c>
      <c r="I22" s="134" t="s">
        <v>142</v>
      </c>
      <c r="J22" s="134" t="s">
        <v>142</v>
      </c>
      <c r="K22" s="134" t="s">
        <v>142</v>
      </c>
      <c r="L22" s="134" t="s">
        <v>142</v>
      </c>
      <c r="M22" s="136"/>
      <c r="N22" s="131"/>
    </row>
    <row r="23" hidden="1" outlineLevel="1">
      <c r="A23" s="422" t="s">
        <v>1440</v>
      </c>
      <c r="B23" s="115">
        <v>46056.0</v>
      </c>
      <c r="C23" s="118" t="str">
        <f t="shared" si="3"/>
        <v>Tue</v>
      </c>
      <c r="D23" s="128">
        <f t="shared" si="4"/>
        <v>0.8</v>
      </c>
      <c r="E23" s="131" t="s">
        <v>142</v>
      </c>
      <c r="F23" s="134" t="s">
        <v>142</v>
      </c>
      <c r="G23" s="134" t="s">
        <v>142</v>
      </c>
      <c r="H23" s="134" t="s">
        <v>142</v>
      </c>
      <c r="I23" s="134" t="s">
        <v>142</v>
      </c>
      <c r="J23" s="134" t="s">
        <v>945</v>
      </c>
      <c r="K23" s="134" t="s">
        <v>945</v>
      </c>
      <c r="L23" s="134" t="s">
        <v>142</v>
      </c>
      <c r="M23" s="136"/>
      <c r="N23" s="131" t="s">
        <v>1441</v>
      </c>
    </row>
    <row r="24" hidden="1" outlineLevel="1">
      <c r="A24" s="422" t="s">
        <v>1442</v>
      </c>
      <c r="B24" s="115">
        <v>46056.0</v>
      </c>
      <c r="C24" s="118" t="str">
        <f t="shared" si="3"/>
        <v>Tue</v>
      </c>
      <c r="D24" s="143">
        <f t="shared" si="4"/>
        <v>0.95</v>
      </c>
      <c r="E24" s="144" t="s">
        <v>142</v>
      </c>
      <c r="F24" s="134" t="s">
        <v>142</v>
      </c>
      <c r="G24" s="134" t="s">
        <v>142</v>
      </c>
      <c r="H24" s="134" t="s">
        <v>142</v>
      </c>
      <c r="I24" s="134" t="s">
        <v>142</v>
      </c>
      <c r="J24" s="134" t="s">
        <v>945</v>
      </c>
      <c r="K24" s="134" t="s">
        <v>142</v>
      </c>
      <c r="L24" s="134" t="s">
        <v>142</v>
      </c>
      <c r="M24" s="136"/>
      <c r="N24" s="131" t="s">
        <v>1443</v>
      </c>
    </row>
    <row r="25" hidden="1" outlineLevel="1">
      <c r="A25" s="422" t="s">
        <v>1444</v>
      </c>
      <c r="B25" s="115">
        <v>46056.0</v>
      </c>
      <c r="C25" s="118" t="str">
        <f t="shared" si="3"/>
        <v>Tue</v>
      </c>
      <c r="D25" s="128">
        <f t="shared" si="4"/>
        <v>0.95</v>
      </c>
      <c r="E25" s="131" t="s">
        <v>142</v>
      </c>
      <c r="F25" s="134" t="s">
        <v>142</v>
      </c>
      <c r="G25" s="134" t="s">
        <v>142</v>
      </c>
      <c r="H25" s="134" t="s">
        <v>142</v>
      </c>
      <c r="I25" s="134" t="s">
        <v>142</v>
      </c>
      <c r="J25" s="134" t="s">
        <v>945</v>
      </c>
      <c r="K25" s="134" t="s">
        <v>142</v>
      </c>
      <c r="L25" s="134" t="s">
        <v>142</v>
      </c>
      <c r="M25" s="136"/>
      <c r="N25" s="131" t="s">
        <v>1446</v>
      </c>
    </row>
    <row r="26" hidden="1" outlineLevel="1">
      <c r="A26" s="353" t="s">
        <v>1447</v>
      </c>
      <c r="B26" s="115">
        <v>46057.0</v>
      </c>
      <c r="C26" s="118" t="str">
        <f t="shared" si="3"/>
        <v>Wed</v>
      </c>
      <c r="D26" s="143">
        <f t="shared" si="4"/>
        <v>0.75</v>
      </c>
      <c r="E26" s="144" t="s">
        <v>142</v>
      </c>
      <c r="F26" s="134" t="s">
        <v>142</v>
      </c>
      <c r="G26" s="134" t="s">
        <v>142</v>
      </c>
      <c r="H26" s="134" t="s">
        <v>142</v>
      </c>
      <c r="I26" s="134" t="s">
        <v>945</v>
      </c>
      <c r="J26" s="134" t="s">
        <v>945</v>
      </c>
      <c r="K26" s="134" t="s">
        <v>945</v>
      </c>
      <c r="L26" s="134" t="s">
        <v>142</v>
      </c>
      <c r="M26" s="136"/>
      <c r="N26" s="131" t="s">
        <v>1450</v>
      </c>
    </row>
    <row r="27" hidden="1" outlineLevel="1">
      <c r="A27" s="353" t="s">
        <v>1451</v>
      </c>
      <c r="B27" s="115">
        <v>46057.0</v>
      </c>
      <c r="C27" s="118" t="str">
        <f t="shared" si="3"/>
        <v>Wed</v>
      </c>
      <c r="D27" s="128">
        <f t="shared" si="4"/>
        <v>1</v>
      </c>
      <c r="E27" s="131" t="s">
        <v>142</v>
      </c>
      <c r="F27" s="134" t="s">
        <v>142</v>
      </c>
      <c r="G27" s="134" t="s">
        <v>142</v>
      </c>
      <c r="H27" s="134" t="s">
        <v>142</v>
      </c>
      <c r="I27" s="134" t="s">
        <v>142</v>
      </c>
      <c r="J27" s="134" t="s">
        <v>142</v>
      </c>
      <c r="K27" s="134" t="s">
        <v>142</v>
      </c>
      <c r="L27" s="134" t="s">
        <v>142</v>
      </c>
      <c r="M27" s="136"/>
      <c r="N27" s="131"/>
    </row>
    <row r="28" hidden="1" outlineLevel="1">
      <c r="A28" s="353" t="s">
        <v>1453</v>
      </c>
      <c r="B28" s="115">
        <v>46057.0</v>
      </c>
      <c r="C28" s="118" t="str">
        <f t="shared" si="3"/>
        <v>Wed</v>
      </c>
      <c r="D28" s="143">
        <f t="shared" si="4"/>
        <v>0.95</v>
      </c>
      <c r="E28" s="144" t="s">
        <v>142</v>
      </c>
      <c r="F28" s="134" t="s">
        <v>142</v>
      </c>
      <c r="G28" s="134" t="s">
        <v>142</v>
      </c>
      <c r="H28" s="134" t="s">
        <v>142</v>
      </c>
      <c r="I28" s="134" t="s">
        <v>142</v>
      </c>
      <c r="J28" s="134" t="s">
        <v>945</v>
      </c>
      <c r="K28" s="134" t="s">
        <v>142</v>
      </c>
      <c r="L28" s="134" t="s">
        <v>142</v>
      </c>
      <c r="M28" s="136"/>
      <c r="N28" s="131" t="s">
        <v>1455</v>
      </c>
    </row>
    <row r="29" hidden="1" outlineLevel="1">
      <c r="A29" s="353" t="s">
        <v>1456</v>
      </c>
      <c r="B29" s="115">
        <v>46058.0</v>
      </c>
      <c r="C29" s="118" t="str">
        <f t="shared" si="3"/>
        <v>Thu</v>
      </c>
      <c r="D29" s="128">
        <f t="shared" si="4"/>
        <v>0.8</v>
      </c>
      <c r="E29" s="131" t="s">
        <v>142</v>
      </c>
      <c r="F29" s="134" t="s">
        <v>142</v>
      </c>
      <c r="G29" s="134" t="s">
        <v>142</v>
      </c>
      <c r="H29" s="134" t="s">
        <v>945</v>
      </c>
      <c r="I29" s="134" t="s">
        <v>142</v>
      </c>
      <c r="J29" s="134" t="s">
        <v>945</v>
      </c>
      <c r="K29" s="134" t="s">
        <v>142</v>
      </c>
      <c r="L29" s="134" t="s">
        <v>142</v>
      </c>
      <c r="M29" s="136"/>
      <c r="N29" s="131" t="s">
        <v>1459</v>
      </c>
    </row>
    <row r="30" hidden="1" outlineLevel="1">
      <c r="A30" s="471" t="s">
        <v>1460</v>
      </c>
      <c r="B30" s="115">
        <v>46058.0</v>
      </c>
      <c r="C30" s="118" t="str">
        <f t="shared" si="3"/>
        <v>Thu</v>
      </c>
      <c r="D30" s="143">
        <f t="shared" si="4"/>
        <v>1</v>
      </c>
      <c r="E30" s="144" t="s">
        <v>142</v>
      </c>
      <c r="F30" s="134" t="s">
        <v>142</v>
      </c>
      <c r="G30" s="134" t="s">
        <v>142</v>
      </c>
      <c r="H30" s="134" t="s">
        <v>142</v>
      </c>
      <c r="I30" s="134" t="s">
        <v>142</v>
      </c>
      <c r="J30" s="134" t="s">
        <v>142</v>
      </c>
      <c r="K30" s="134" t="s">
        <v>142</v>
      </c>
      <c r="L30" s="134" t="s">
        <v>142</v>
      </c>
      <c r="M30" s="136"/>
      <c r="N30" s="131"/>
    </row>
    <row r="31" hidden="1" outlineLevel="1">
      <c r="A31" s="353" t="s">
        <v>1462</v>
      </c>
      <c r="B31" s="115">
        <v>46058.0</v>
      </c>
      <c r="C31" s="118" t="str">
        <f t="shared" si="3"/>
        <v>Thu</v>
      </c>
      <c r="D31" s="128">
        <f t="shared" si="4"/>
        <v>1</v>
      </c>
      <c r="E31" s="131" t="s">
        <v>142</v>
      </c>
      <c r="F31" s="134" t="s">
        <v>142</v>
      </c>
      <c r="G31" s="134" t="s">
        <v>142</v>
      </c>
      <c r="H31" s="134" t="s">
        <v>142</v>
      </c>
      <c r="I31" s="134" t="s">
        <v>142</v>
      </c>
      <c r="J31" s="134" t="s">
        <v>142</v>
      </c>
      <c r="K31" s="134" t="s">
        <v>142</v>
      </c>
      <c r="L31" s="134" t="s">
        <v>142</v>
      </c>
      <c r="M31" s="136"/>
      <c r="N31" s="131"/>
    </row>
    <row r="32" hidden="1" outlineLevel="1">
      <c r="A32" s="113" t="s">
        <v>1464</v>
      </c>
      <c r="B32" s="115">
        <v>46059.0</v>
      </c>
      <c r="C32" s="118" t="str">
        <f t="shared" si="3"/>
        <v>Fri</v>
      </c>
      <c r="D32" s="143">
        <f t="shared" si="4"/>
        <v>1</v>
      </c>
      <c r="E32" s="144" t="s">
        <v>142</v>
      </c>
      <c r="F32" s="134" t="s">
        <v>142</v>
      </c>
      <c r="G32" s="134" t="s">
        <v>142</v>
      </c>
      <c r="H32" s="134" t="s">
        <v>142</v>
      </c>
      <c r="I32" s="134" t="s">
        <v>142</v>
      </c>
      <c r="J32" s="134" t="s">
        <v>142</v>
      </c>
      <c r="K32" s="134" t="s">
        <v>142</v>
      </c>
      <c r="L32" s="134" t="s">
        <v>142</v>
      </c>
      <c r="M32" s="136"/>
      <c r="N32" s="137"/>
    </row>
    <row r="33" hidden="1" outlineLevel="1">
      <c r="A33" s="113" t="s">
        <v>1467</v>
      </c>
      <c r="B33" s="115">
        <v>46059.0</v>
      </c>
      <c r="C33" s="118" t="str">
        <f t="shared" si="3"/>
        <v>Fri</v>
      </c>
      <c r="D33" s="128">
        <f t="shared" si="4"/>
        <v>0.95</v>
      </c>
      <c r="E33" s="131" t="s">
        <v>142</v>
      </c>
      <c r="F33" s="134" t="s">
        <v>142</v>
      </c>
      <c r="G33" s="134" t="s">
        <v>142</v>
      </c>
      <c r="H33" s="134" t="s">
        <v>142</v>
      </c>
      <c r="I33" s="134" t="s">
        <v>142</v>
      </c>
      <c r="J33" s="134" t="s">
        <v>945</v>
      </c>
      <c r="K33" s="134" t="s">
        <v>142</v>
      </c>
      <c r="L33" s="134" t="s">
        <v>142</v>
      </c>
      <c r="M33" s="136"/>
      <c r="N33" s="131" t="s">
        <v>1469</v>
      </c>
    </row>
    <row r="34" ht="15.0" hidden="1" customHeight="1" outlineLevel="1">
      <c r="A34" s="113" t="s">
        <v>1470</v>
      </c>
      <c r="B34" s="115">
        <v>46059.0</v>
      </c>
      <c r="C34" s="118" t="str">
        <f t="shared" si="3"/>
        <v>Fri</v>
      </c>
      <c r="D34" s="143">
        <f t="shared" si="4"/>
        <v>1</v>
      </c>
      <c r="E34" s="144" t="s">
        <v>142</v>
      </c>
      <c r="F34" s="134" t="s">
        <v>142</v>
      </c>
      <c r="G34" s="134" t="s">
        <v>142</v>
      </c>
      <c r="H34" s="134" t="s">
        <v>142</v>
      </c>
      <c r="I34" s="134" t="s">
        <v>142</v>
      </c>
      <c r="J34" s="134" t="s">
        <v>142</v>
      </c>
      <c r="K34" s="134" t="s">
        <v>142</v>
      </c>
      <c r="L34" s="134" t="s">
        <v>142</v>
      </c>
      <c r="M34" s="136"/>
      <c r="N34" s="131"/>
    </row>
    <row r="35" hidden="1" outlineLevel="1">
      <c r="B35" s="215"/>
      <c r="C35" s="216" t="s">
        <v>199</v>
      </c>
      <c r="D35" s="217">
        <f>AVERAGE(D20:D34)</f>
        <v>0.9333333333</v>
      </c>
      <c r="E35" s="472"/>
      <c r="L35" s="216" t="s">
        <v>199</v>
      </c>
      <c r="M35" s="217">
        <f>SUM(M20:M34)/75*0.1</f>
        <v>0</v>
      </c>
    </row>
    <row r="36" hidden="1" collapsed="1">
      <c r="A36" s="85" t="s">
        <v>1474</v>
      </c>
      <c r="B36" s="86"/>
      <c r="C36" s="86"/>
      <c r="D36" s="359"/>
      <c r="E36" s="89"/>
      <c r="F36" s="89"/>
      <c r="G36" s="91"/>
      <c r="H36" s="91"/>
      <c r="I36" s="91"/>
      <c r="J36" s="91"/>
      <c r="K36" s="91"/>
      <c r="L36" s="91"/>
      <c r="M36" s="93"/>
      <c r="N36" s="95"/>
    </row>
    <row r="37" hidden="1" outlineLevel="1">
      <c r="A37" s="96" t="s">
        <v>89</v>
      </c>
      <c r="B37" s="98" t="s">
        <v>90</v>
      </c>
      <c r="C37" s="98" t="s">
        <v>91</v>
      </c>
      <c r="D37" s="101" t="s">
        <v>93</v>
      </c>
      <c r="E37" s="102" t="s">
        <v>94</v>
      </c>
      <c r="F37" s="102" t="s">
        <v>95</v>
      </c>
      <c r="G37" s="105" t="s">
        <v>96</v>
      </c>
      <c r="H37" s="107" t="s">
        <v>97</v>
      </c>
      <c r="I37" s="107" t="s">
        <v>104</v>
      </c>
      <c r="J37" s="105" t="s">
        <v>106</v>
      </c>
      <c r="K37" s="107" t="s">
        <v>109</v>
      </c>
      <c r="L37" s="105" t="s">
        <v>111</v>
      </c>
      <c r="M37" s="98" t="s">
        <v>114</v>
      </c>
      <c r="N37" s="101" t="s">
        <v>116</v>
      </c>
    </row>
    <row r="38" hidden="1" outlineLevel="1">
      <c r="A38" s="473" t="s">
        <v>1476</v>
      </c>
      <c r="B38" s="474">
        <v>46062.0</v>
      </c>
      <c r="C38" s="118" t="str">
        <f t="shared" ref="C38:C52" si="5">IF(B38="", "", TEXT(B38, "ddd"))</f>
        <v>Mon</v>
      </c>
      <c r="D38" s="143">
        <f t="shared" ref="D38:D52" si="6">IF(E38="Yes",0.05,0)
+IF(F38="Yes",0.1,0)
+IF(G38="Yes",0.15,0)
+IF(H38="Yes",0.15,0)
+IF(I38="Yes",0.05,0)
+IF(J38="Yes",0.05,0)
+IF(K38="Yes",0.15,0)
+IF(L38="Yes",0.3,0)
</f>
        <v>1</v>
      </c>
      <c r="E38" s="476" t="s">
        <v>142</v>
      </c>
      <c r="F38" s="478" t="s">
        <v>142</v>
      </c>
      <c r="G38" s="478" t="s">
        <v>142</v>
      </c>
      <c r="H38" s="478" t="s">
        <v>142</v>
      </c>
      <c r="I38" s="478" t="s">
        <v>142</v>
      </c>
      <c r="J38" s="478" t="s">
        <v>142</v>
      </c>
      <c r="K38" s="478" t="s">
        <v>142</v>
      </c>
      <c r="L38" s="478" t="s">
        <v>142</v>
      </c>
      <c r="M38" s="136"/>
      <c r="N38" s="137"/>
    </row>
    <row r="39" hidden="1" outlineLevel="1">
      <c r="A39" s="473" t="s">
        <v>1478</v>
      </c>
      <c r="B39" s="474">
        <v>46062.0</v>
      </c>
      <c r="C39" s="118" t="str">
        <f t="shared" si="5"/>
        <v>Mon</v>
      </c>
      <c r="D39" s="128">
        <f t="shared" si="6"/>
        <v>1</v>
      </c>
      <c r="E39" s="479" t="s">
        <v>142</v>
      </c>
      <c r="F39" s="478" t="s">
        <v>142</v>
      </c>
      <c r="G39" s="478" t="s">
        <v>142</v>
      </c>
      <c r="H39" s="478" t="s">
        <v>142</v>
      </c>
      <c r="I39" s="478" t="s">
        <v>142</v>
      </c>
      <c r="J39" s="478" t="s">
        <v>142</v>
      </c>
      <c r="K39" s="478" t="s">
        <v>142</v>
      </c>
      <c r="L39" s="478" t="s">
        <v>142</v>
      </c>
      <c r="M39" s="136"/>
      <c r="N39" s="131"/>
    </row>
    <row r="40" hidden="1" outlineLevel="1">
      <c r="A40" s="473" t="s">
        <v>1480</v>
      </c>
      <c r="B40" s="474">
        <v>46062.0</v>
      </c>
      <c r="C40" s="118" t="str">
        <f t="shared" si="5"/>
        <v>Mon</v>
      </c>
      <c r="D40" s="143">
        <f t="shared" si="6"/>
        <v>1</v>
      </c>
      <c r="E40" s="476" t="s">
        <v>142</v>
      </c>
      <c r="F40" s="478" t="s">
        <v>142</v>
      </c>
      <c r="G40" s="478" t="s">
        <v>142</v>
      </c>
      <c r="H40" s="478" t="s">
        <v>142</v>
      </c>
      <c r="I40" s="478" t="s">
        <v>142</v>
      </c>
      <c r="J40" s="478" t="s">
        <v>142</v>
      </c>
      <c r="K40" s="478" t="s">
        <v>142</v>
      </c>
      <c r="L40" s="478" t="s">
        <v>142</v>
      </c>
      <c r="M40" s="136"/>
      <c r="N40" s="131"/>
    </row>
    <row r="41" hidden="1" outlineLevel="1">
      <c r="A41" s="473" t="s">
        <v>1482</v>
      </c>
      <c r="B41" s="474">
        <v>46063.0</v>
      </c>
      <c r="C41" s="118" t="str">
        <f t="shared" si="5"/>
        <v>Tue</v>
      </c>
      <c r="D41" s="128">
        <f t="shared" si="6"/>
        <v>1</v>
      </c>
      <c r="E41" s="479" t="s">
        <v>142</v>
      </c>
      <c r="F41" s="478" t="s">
        <v>142</v>
      </c>
      <c r="G41" s="478" t="s">
        <v>142</v>
      </c>
      <c r="H41" s="478" t="s">
        <v>142</v>
      </c>
      <c r="I41" s="478" t="s">
        <v>142</v>
      </c>
      <c r="J41" s="478" t="s">
        <v>142</v>
      </c>
      <c r="K41" s="478" t="s">
        <v>142</v>
      </c>
      <c r="L41" s="478" t="s">
        <v>142</v>
      </c>
      <c r="M41" s="136"/>
      <c r="N41" s="137"/>
    </row>
    <row r="42" hidden="1" outlineLevel="1">
      <c r="A42" s="473" t="s">
        <v>1484</v>
      </c>
      <c r="B42" s="474">
        <v>46063.0</v>
      </c>
      <c r="C42" s="118" t="str">
        <f t="shared" si="5"/>
        <v>Tue</v>
      </c>
      <c r="D42" s="143">
        <f t="shared" si="6"/>
        <v>1</v>
      </c>
      <c r="E42" s="476" t="s">
        <v>142</v>
      </c>
      <c r="F42" s="478" t="s">
        <v>142</v>
      </c>
      <c r="G42" s="478" t="s">
        <v>142</v>
      </c>
      <c r="H42" s="478" t="s">
        <v>142</v>
      </c>
      <c r="I42" s="478" t="s">
        <v>142</v>
      </c>
      <c r="J42" s="478" t="s">
        <v>142</v>
      </c>
      <c r="K42" s="478" t="s">
        <v>142</v>
      </c>
      <c r="L42" s="478" t="s">
        <v>142</v>
      </c>
      <c r="M42" s="136"/>
      <c r="N42" s="137"/>
    </row>
    <row r="43" hidden="1" outlineLevel="1">
      <c r="A43" s="480" t="s">
        <v>1486</v>
      </c>
      <c r="B43" s="474">
        <v>46063.0</v>
      </c>
      <c r="C43" s="118" t="str">
        <f t="shared" si="5"/>
        <v>Tue</v>
      </c>
      <c r="D43" s="128">
        <f t="shared" si="6"/>
        <v>1</v>
      </c>
      <c r="E43" s="479" t="s">
        <v>142</v>
      </c>
      <c r="F43" s="478" t="s">
        <v>142</v>
      </c>
      <c r="G43" s="478" t="s">
        <v>142</v>
      </c>
      <c r="H43" s="478" t="s">
        <v>142</v>
      </c>
      <c r="I43" s="478" t="s">
        <v>142</v>
      </c>
      <c r="J43" s="478" t="s">
        <v>142</v>
      </c>
      <c r="K43" s="478" t="s">
        <v>142</v>
      </c>
      <c r="L43" s="478" t="s">
        <v>142</v>
      </c>
      <c r="M43" s="136"/>
      <c r="N43" s="137"/>
    </row>
    <row r="44" hidden="1" outlineLevel="1">
      <c r="A44" s="480" t="s">
        <v>1488</v>
      </c>
      <c r="B44" s="474">
        <v>46066.0</v>
      </c>
      <c r="C44" s="118" t="str">
        <f t="shared" si="5"/>
        <v>Fri</v>
      </c>
      <c r="D44" s="143">
        <f t="shared" si="6"/>
        <v>1</v>
      </c>
      <c r="E44" s="144" t="s">
        <v>142</v>
      </c>
      <c r="F44" s="134" t="s">
        <v>142</v>
      </c>
      <c r="G44" s="134" t="s">
        <v>142</v>
      </c>
      <c r="H44" s="134" t="s">
        <v>142</v>
      </c>
      <c r="I44" s="134" t="s">
        <v>142</v>
      </c>
      <c r="J44" s="134" t="s">
        <v>142</v>
      </c>
      <c r="K44" s="134" t="s">
        <v>142</v>
      </c>
      <c r="L44" s="134" t="s">
        <v>142</v>
      </c>
      <c r="M44" s="136"/>
      <c r="N44" s="137"/>
    </row>
    <row r="45" hidden="1" outlineLevel="1">
      <c r="A45" s="480" t="s">
        <v>1490</v>
      </c>
      <c r="B45" s="474">
        <v>46066.0</v>
      </c>
      <c r="C45" s="118" t="str">
        <f t="shared" si="5"/>
        <v>Fri</v>
      </c>
      <c r="D45" s="128">
        <f t="shared" si="6"/>
        <v>1</v>
      </c>
      <c r="E45" s="131" t="s">
        <v>142</v>
      </c>
      <c r="F45" s="134" t="s">
        <v>142</v>
      </c>
      <c r="G45" s="134" t="s">
        <v>142</v>
      </c>
      <c r="H45" s="134" t="s">
        <v>142</v>
      </c>
      <c r="I45" s="134" t="s">
        <v>142</v>
      </c>
      <c r="J45" s="134" t="s">
        <v>142</v>
      </c>
      <c r="K45" s="134" t="s">
        <v>142</v>
      </c>
      <c r="L45" s="134" t="s">
        <v>142</v>
      </c>
      <c r="M45" s="136"/>
      <c r="N45" s="131"/>
    </row>
    <row r="46" hidden="1" outlineLevel="1">
      <c r="A46" s="480" t="s">
        <v>1492</v>
      </c>
      <c r="B46" s="474">
        <v>46066.0</v>
      </c>
      <c r="C46" s="118" t="str">
        <f t="shared" si="5"/>
        <v>Fri</v>
      </c>
      <c r="D46" s="143">
        <f t="shared" si="6"/>
        <v>1</v>
      </c>
      <c r="E46" s="144" t="s">
        <v>142</v>
      </c>
      <c r="F46" s="134" t="s">
        <v>142</v>
      </c>
      <c r="G46" s="134" t="s">
        <v>142</v>
      </c>
      <c r="H46" s="134" t="s">
        <v>142</v>
      </c>
      <c r="I46" s="134" t="s">
        <v>142</v>
      </c>
      <c r="J46" s="134" t="s">
        <v>142</v>
      </c>
      <c r="K46" s="134" t="s">
        <v>142</v>
      </c>
      <c r="L46" s="134" t="s">
        <v>142</v>
      </c>
      <c r="M46" s="136"/>
      <c r="N46" s="137"/>
    </row>
    <row r="47" hidden="1" outlineLevel="1">
      <c r="A47" s="480" t="s">
        <v>1494</v>
      </c>
      <c r="B47" s="474">
        <v>46067.0</v>
      </c>
      <c r="C47" s="118" t="str">
        <f t="shared" si="5"/>
        <v>Sat</v>
      </c>
      <c r="D47" s="128">
        <f t="shared" si="6"/>
        <v>1</v>
      </c>
      <c r="E47" s="131" t="s">
        <v>142</v>
      </c>
      <c r="F47" s="134" t="s">
        <v>142</v>
      </c>
      <c r="G47" s="134" t="s">
        <v>142</v>
      </c>
      <c r="H47" s="134" t="s">
        <v>142</v>
      </c>
      <c r="I47" s="134" t="s">
        <v>142</v>
      </c>
      <c r="J47" s="134" t="s">
        <v>142</v>
      </c>
      <c r="K47" s="134" t="s">
        <v>142</v>
      </c>
      <c r="L47" s="134" t="s">
        <v>142</v>
      </c>
      <c r="M47" s="136"/>
      <c r="N47" s="131"/>
    </row>
    <row r="48" hidden="1" outlineLevel="1">
      <c r="A48" s="481" t="s">
        <v>1496</v>
      </c>
      <c r="B48" s="474">
        <v>46067.0</v>
      </c>
      <c r="C48" s="118" t="str">
        <f t="shared" si="5"/>
        <v>Sat</v>
      </c>
      <c r="D48" s="143">
        <f t="shared" si="6"/>
        <v>1</v>
      </c>
      <c r="E48" s="144" t="s">
        <v>142</v>
      </c>
      <c r="F48" s="134" t="s">
        <v>142</v>
      </c>
      <c r="G48" s="134" t="s">
        <v>142</v>
      </c>
      <c r="H48" s="134" t="s">
        <v>142</v>
      </c>
      <c r="I48" s="134" t="s">
        <v>142</v>
      </c>
      <c r="J48" s="134" t="s">
        <v>142</v>
      </c>
      <c r="K48" s="134" t="s">
        <v>142</v>
      </c>
      <c r="L48" s="134" t="s">
        <v>142</v>
      </c>
      <c r="M48" s="136"/>
      <c r="N48" s="131" t="s">
        <v>1498</v>
      </c>
    </row>
    <row r="49" hidden="1" outlineLevel="1">
      <c r="A49" s="480" t="s">
        <v>1499</v>
      </c>
      <c r="B49" s="474">
        <v>46067.0</v>
      </c>
      <c r="C49" s="118" t="str">
        <f t="shared" si="5"/>
        <v>Sat</v>
      </c>
      <c r="D49" s="128">
        <f t="shared" si="6"/>
        <v>1</v>
      </c>
      <c r="E49" s="131" t="s">
        <v>142</v>
      </c>
      <c r="F49" s="134" t="s">
        <v>142</v>
      </c>
      <c r="G49" s="134" t="s">
        <v>142</v>
      </c>
      <c r="H49" s="134" t="s">
        <v>142</v>
      </c>
      <c r="I49" s="134" t="s">
        <v>142</v>
      </c>
      <c r="J49" s="134" t="s">
        <v>142</v>
      </c>
      <c r="K49" s="134" t="s">
        <v>142</v>
      </c>
      <c r="L49" s="134" t="s">
        <v>142</v>
      </c>
      <c r="M49" s="136"/>
      <c r="N49" s="131"/>
    </row>
    <row r="50" hidden="1" outlineLevel="1">
      <c r="A50" s="480" t="s">
        <v>1501</v>
      </c>
      <c r="B50" s="474">
        <v>46068.0</v>
      </c>
      <c r="C50" s="118" t="str">
        <f t="shared" si="5"/>
        <v>Sun</v>
      </c>
      <c r="D50" s="143">
        <f t="shared" si="6"/>
        <v>1</v>
      </c>
      <c r="E50" s="144" t="s">
        <v>142</v>
      </c>
      <c r="F50" s="134" t="s">
        <v>142</v>
      </c>
      <c r="G50" s="134" t="s">
        <v>142</v>
      </c>
      <c r="H50" s="134" t="s">
        <v>142</v>
      </c>
      <c r="I50" s="134" t="s">
        <v>142</v>
      </c>
      <c r="J50" s="134" t="s">
        <v>142</v>
      </c>
      <c r="K50" s="134" t="s">
        <v>142</v>
      </c>
      <c r="L50" s="134" t="s">
        <v>142</v>
      </c>
      <c r="M50" s="136"/>
      <c r="N50" s="137"/>
    </row>
    <row r="51" hidden="1" outlineLevel="1">
      <c r="A51" s="480" t="s">
        <v>1503</v>
      </c>
      <c r="B51" s="474">
        <v>46068.0</v>
      </c>
      <c r="C51" s="118" t="str">
        <f t="shared" si="5"/>
        <v>Sun</v>
      </c>
      <c r="D51" s="128">
        <f t="shared" si="6"/>
        <v>1</v>
      </c>
      <c r="E51" s="131" t="s">
        <v>142</v>
      </c>
      <c r="F51" s="134" t="s">
        <v>142</v>
      </c>
      <c r="G51" s="134" t="s">
        <v>142</v>
      </c>
      <c r="H51" s="134" t="s">
        <v>142</v>
      </c>
      <c r="I51" s="134" t="s">
        <v>142</v>
      </c>
      <c r="J51" s="134" t="s">
        <v>142</v>
      </c>
      <c r="K51" s="134" t="s">
        <v>142</v>
      </c>
      <c r="L51" s="134" t="s">
        <v>142</v>
      </c>
      <c r="M51" s="136"/>
      <c r="N51" s="137"/>
    </row>
    <row r="52" ht="15.0" hidden="1" customHeight="1" outlineLevel="1">
      <c r="A52" s="480" t="s">
        <v>1505</v>
      </c>
      <c r="B52" s="474">
        <v>46068.0</v>
      </c>
      <c r="C52" s="118" t="str">
        <f t="shared" si="5"/>
        <v>Sun</v>
      </c>
      <c r="D52" s="143">
        <f t="shared" si="6"/>
        <v>1</v>
      </c>
      <c r="E52" s="144" t="s">
        <v>142</v>
      </c>
      <c r="F52" s="134" t="s">
        <v>142</v>
      </c>
      <c r="G52" s="134" t="s">
        <v>142</v>
      </c>
      <c r="H52" s="134" t="s">
        <v>142</v>
      </c>
      <c r="I52" s="134" t="s">
        <v>142</v>
      </c>
      <c r="J52" s="134" t="s">
        <v>142</v>
      </c>
      <c r="K52" s="134" t="s">
        <v>142</v>
      </c>
      <c r="L52" s="134" t="s">
        <v>142</v>
      </c>
      <c r="M52" s="136"/>
      <c r="N52" s="131"/>
    </row>
    <row r="53" hidden="1" outlineLevel="1">
      <c r="B53" s="215"/>
      <c r="C53" s="216" t="s">
        <v>199</v>
      </c>
      <c r="D53" s="217">
        <f>AVERAGE(D38:D52)</f>
        <v>1</v>
      </c>
      <c r="E53" s="472"/>
      <c r="L53" s="216" t="s">
        <v>199</v>
      </c>
      <c r="M53" s="217">
        <f>SUM(M38:M52)/75*0.1</f>
        <v>0</v>
      </c>
    </row>
    <row r="54" hidden="1" collapsed="1">
      <c r="A54" s="85" t="s">
        <v>1507</v>
      </c>
      <c r="B54" s="86"/>
      <c r="C54" s="86"/>
      <c r="D54" s="359"/>
      <c r="E54" s="89"/>
      <c r="F54" s="89"/>
      <c r="G54" s="91"/>
      <c r="H54" s="91"/>
      <c r="I54" s="91"/>
      <c r="J54" s="91"/>
      <c r="K54" s="91"/>
      <c r="L54" s="91"/>
      <c r="M54" s="93"/>
      <c r="N54" s="95"/>
    </row>
    <row r="55" hidden="1" outlineLevel="1">
      <c r="A55" s="96" t="s">
        <v>89</v>
      </c>
      <c r="B55" s="98" t="s">
        <v>90</v>
      </c>
      <c r="C55" s="98" t="s">
        <v>91</v>
      </c>
      <c r="D55" s="101" t="s">
        <v>93</v>
      </c>
      <c r="E55" s="102" t="s">
        <v>94</v>
      </c>
      <c r="F55" s="102" t="s">
        <v>95</v>
      </c>
      <c r="G55" s="105" t="s">
        <v>96</v>
      </c>
      <c r="H55" s="107" t="s">
        <v>97</v>
      </c>
      <c r="I55" s="107" t="s">
        <v>104</v>
      </c>
      <c r="J55" s="105" t="s">
        <v>106</v>
      </c>
      <c r="K55" s="107" t="s">
        <v>109</v>
      </c>
      <c r="L55" s="105" t="s">
        <v>111</v>
      </c>
      <c r="M55" s="98" t="s">
        <v>114</v>
      </c>
      <c r="N55" s="101" t="s">
        <v>116</v>
      </c>
    </row>
    <row r="56" hidden="1" outlineLevel="1">
      <c r="A56" s="353" t="s">
        <v>1508</v>
      </c>
      <c r="B56" s="115">
        <v>46069.0</v>
      </c>
      <c r="C56" s="118" t="str">
        <f t="shared" ref="C56:C70" si="7">IF(B56="", "", TEXT(B56, "ddd"))</f>
        <v>Mon</v>
      </c>
      <c r="D56" s="143">
        <f t="shared" ref="D56:D70" si="8">IF(E56="Yes",0.05,0)
+IF(F56="Yes",0.1,0)
+IF(G56="Yes",0.15,0)
+IF(H56="Yes",0.15,0)
+IF(I56="Yes",0.05,0)
+IF(J56="Yes",0.05,0)
+IF(K56="Yes",0.15,0)
+IF(L56="Yes",0.3,0)
</f>
        <v>1</v>
      </c>
      <c r="E56" s="144" t="s">
        <v>142</v>
      </c>
      <c r="F56" s="134" t="s">
        <v>142</v>
      </c>
      <c r="G56" s="134" t="s">
        <v>142</v>
      </c>
      <c r="H56" s="134" t="s">
        <v>142</v>
      </c>
      <c r="I56" s="134" t="s">
        <v>142</v>
      </c>
      <c r="J56" s="134" t="s">
        <v>142</v>
      </c>
      <c r="K56" s="134" t="s">
        <v>142</v>
      </c>
      <c r="L56" s="134" t="s">
        <v>142</v>
      </c>
      <c r="M56" s="136"/>
      <c r="N56" s="137"/>
    </row>
    <row r="57" hidden="1" outlineLevel="1">
      <c r="A57" s="353" t="s">
        <v>1510</v>
      </c>
      <c r="B57" s="115">
        <v>46069.0</v>
      </c>
      <c r="C57" s="118" t="str">
        <f t="shared" si="7"/>
        <v>Mon</v>
      </c>
      <c r="D57" s="128">
        <f t="shared" si="8"/>
        <v>1</v>
      </c>
      <c r="E57" s="131" t="s">
        <v>142</v>
      </c>
      <c r="F57" s="134" t="s">
        <v>142</v>
      </c>
      <c r="G57" s="134" t="s">
        <v>142</v>
      </c>
      <c r="H57" s="134" t="s">
        <v>142</v>
      </c>
      <c r="I57" s="134" t="s">
        <v>142</v>
      </c>
      <c r="J57" s="134" t="s">
        <v>142</v>
      </c>
      <c r="K57" s="134" t="s">
        <v>142</v>
      </c>
      <c r="L57" s="134" t="s">
        <v>142</v>
      </c>
      <c r="M57" s="136"/>
      <c r="N57" s="131"/>
    </row>
    <row r="58" hidden="1" outlineLevel="1">
      <c r="A58" s="353" t="s">
        <v>1512</v>
      </c>
      <c r="B58" s="115">
        <v>46069.0</v>
      </c>
      <c r="C58" s="118" t="str">
        <f t="shared" si="7"/>
        <v>Mon</v>
      </c>
      <c r="D58" s="143">
        <f t="shared" si="8"/>
        <v>0.85</v>
      </c>
      <c r="E58" s="144" t="s">
        <v>142</v>
      </c>
      <c r="F58" s="134" t="s">
        <v>142</v>
      </c>
      <c r="G58" s="134" t="s">
        <v>142</v>
      </c>
      <c r="H58" s="134" t="s">
        <v>142</v>
      </c>
      <c r="I58" s="134" t="s">
        <v>142</v>
      </c>
      <c r="J58" s="134" t="s">
        <v>142</v>
      </c>
      <c r="K58" s="134" t="s">
        <v>945</v>
      </c>
      <c r="L58" s="134" t="s">
        <v>142</v>
      </c>
      <c r="M58" s="136"/>
      <c r="N58" s="131" t="s">
        <v>1514</v>
      </c>
    </row>
    <row r="59" hidden="1" outlineLevel="1">
      <c r="A59" s="353" t="s">
        <v>1515</v>
      </c>
      <c r="B59" s="115">
        <v>46070.0</v>
      </c>
      <c r="C59" s="118" t="str">
        <f t="shared" si="7"/>
        <v>Tue</v>
      </c>
      <c r="D59" s="128">
        <f t="shared" si="8"/>
        <v>1</v>
      </c>
      <c r="E59" s="131" t="s">
        <v>142</v>
      </c>
      <c r="F59" s="134" t="s">
        <v>142</v>
      </c>
      <c r="G59" s="134" t="s">
        <v>142</v>
      </c>
      <c r="H59" s="134" t="s">
        <v>142</v>
      </c>
      <c r="I59" s="134" t="s">
        <v>142</v>
      </c>
      <c r="J59" s="134" t="s">
        <v>142</v>
      </c>
      <c r="K59" s="134" t="s">
        <v>142</v>
      </c>
      <c r="L59" s="134" t="s">
        <v>142</v>
      </c>
      <c r="M59" s="136"/>
      <c r="N59" s="137"/>
    </row>
    <row r="60" hidden="1" outlineLevel="1">
      <c r="A60" s="353" t="s">
        <v>1517</v>
      </c>
      <c r="B60" s="115">
        <v>46070.0</v>
      </c>
      <c r="C60" s="118" t="str">
        <f t="shared" si="7"/>
        <v>Tue</v>
      </c>
      <c r="D60" s="143">
        <f t="shared" si="8"/>
        <v>1</v>
      </c>
      <c r="E60" s="144" t="s">
        <v>142</v>
      </c>
      <c r="F60" s="134" t="s">
        <v>142</v>
      </c>
      <c r="G60" s="134" t="s">
        <v>142</v>
      </c>
      <c r="H60" s="134" t="s">
        <v>142</v>
      </c>
      <c r="I60" s="134" t="s">
        <v>142</v>
      </c>
      <c r="J60" s="134" t="s">
        <v>142</v>
      </c>
      <c r="K60" s="134" t="s">
        <v>142</v>
      </c>
      <c r="L60" s="134" t="s">
        <v>142</v>
      </c>
      <c r="M60" s="136"/>
      <c r="N60" s="137"/>
    </row>
    <row r="61" hidden="1" outlineLevel="1">
      <c r="A61" s="353" t="s">
        <v>1523</v>
      </c>
      <c r="B61" s="115">
        <v>46070.0</v>
      </c>
      <c r="C61" s="118" t="str">
        <f t="shared" si="7"/>
        <v>Tue</v>
      </c>
      <c r="D61" s="128">
        <f t="shared" si="8"/>
        <v>1</v>
      </c>
      <c r="E61" s="131" t="s">
        <v>142</v>
      </c>
      <c r="F61" s="134" t="s">
        <v>142</v>
      </c>
      <c r="G61" s="134" t="s">
        <v>142</v>
      </c>
      <c r="H61" s="134" t="s">
        <v>142</v>
      </c>
      <c r="I61" s="134" t="s">
        <v>142</v>
      </c>
      <c r="J61" s="134" t="s">
        <v>142</v>
      </c>
      <c r="K61" s="134" t="s">
        <v>142</v>
      </c>
      <c r="L61" s="134" t="s">
        <v>142</v>
      </c>
      <c r="M61" s="136"/>
      <c r="N61" s="137"/>
    </row>
    <row r="62" hidden="1" outlineLevel="1">
      <c r="A62" s="353" t="s">
        <v>1525</v>
      </c>
      <c r="B62" s="115">
        <v>46072.0</v>
      </c>
      <c r="C62" s="118" t="str">
        <f t="shared" si="7"/>
        <v>Thu</v>
      </c>
      <c r="D62" s="143">
        <f t="shared" si="8"/>
        <v>1</v>
      </c>
      <c r="E62" s="144" t="s">
        <v>142</v>
      </c>
      <c r="F62" s="134" t="s">
        <v>142</v>
      </c>
      <c r="G62" s="134" t="s">
        <v>142</v>
      </c>
      <c r="H62" s="134" t="s">
        <v>142</v>
      </c>
      <c r="I62" s="134" t="s">
        <v>142</v>
      </c>
      <c r="J62" s="134" t="s">
        <v>142</v>
      </c>
      <c r="K62" s="134" t="s">
        <v>142</v>
      </c>
      <c r="L62" s="134" t="s">
        <v>142</v>
      </c>
      <c r="M62" s="136"/>
      <c r="N62" s="137"/>
    </row>
    <row r="63" hidden="1" outlineLevel="1">
      <c r="A63" s="353" t="s">
        <v>1527</v>
      </c>
      <c r="B63" s="115">
        <v>46072.0</v>
      </c>
      <c r="C63" s="118" t="str">
        <f t="shared" si="7"/>
        <v>Thu</v>
      </c>
      <c r="D63" s="128">
        <f t="shared" si="8"/>
        <v>1</v>
      </c>
      <c r="E63" s="131" t="s">
        <v>142</v>
      </c>
      <c r="F63" s="134" t="s">
        <v>142</v>
      </c>
      <c r="G63" s="134" t="s">
        <v>142</v>
      </c>
      <c r="H63" s="134" t="s">
        <v>142</v>
      </c>
      <c r="I63" s="134" t="s">
        <v>142</v>
      </c>
      <c r="J63" s="134" t="s">
        <v>142</v>
      </c>
      <c r="K63" s="134" t="s">
        <v>142</v>
      </c>
      <c r="L63" s="134" t="s">
        <v>142</v>
      </c>
      <c r="M63" s="136"/>
      <c r="N63" s="131"/>
    </row>
    <row r="64" hidden="1" outlineLevel="1">
      <c r="A64" s="353" t="s">
        <v>1529</v>
      </c>
      <c r="B64" s="115">
        <v>46072.0</v>
      </c>
      <c r="C64" s="118" t="str">
        <f t="shared" si="7"/>
        <v>Thu</v>
      </c>
      <c r="D64" s="143">
        <f t="shared" si="8"/>
        <v>0.75</v>
      </c>
      <c r="E64" s="144" t="s">
        <v>142</v>
      </c>
      <c r="F64" s="134" t="s">
        <v>142</v>
      </c>
      <c r="G64" s="134" t="s">
        <v>142</v>
      </c>
      <c r="H64" s="134" t="s">
        <v>142</v>
      </c>
      <c r="I64" s="134" t="s">
        <v>945</v>
      </c>
      <c r="J64" s="134" t="s">
        <v>945</v>
      </c>
      <c r="K64" s="134" t="s">
        <v>945</v>
      </c>
      <c r="L64" s="134" t="s">
        <v>142</v>
      </c>
      <c r="M64" s="136"/>
      <c r="N64" s="131" t="s">
        <v>1531</v>
      </c>
    </row>
    <row r="65" hidden="1" outlineLevel="1">
      <c r="A65" s="353" t="s">
        <v>1532</v>
      </c>
      <c r="B65" s="115">
        <v>46073.0</v>
      </c>
      <c r="C65" s="118" t="str">
        <f t="shared" si="7"/>
        <v>Fri</v>
      </c>
      <c r="D65" s="128">
        <f t="shared" si="8"/>
        <v>1</v>
      </c>
      <c r="E65" s="131" t="s">
        <v>142</v>
      </c>
      <c r="F65" s="134" t="s">
        <v>142</v>
      </c>
      <c r="G65" s="134" t="s">
        <v>142</v>
      </c>
      <c r="H65" s="134" t="s">
        <v>142</v>
      </c>
      <c r="I65" s="134" t="s">
        <v>142</v>
      </c>
      <c r="J65" s="134" t="s">
        <v>142</v>
      </c>
      <c r="K65" s="134" t="s">
        <v>142</v>
      </c>
      <c r="L65" s="134" t="s">
        <v>142</v>
      </c>
      <c r="M65" s="136"/>
      <c r="N65" s="131"/>
    </row>
    <row r="66" hidden="1" outlineLevel="1">
      <c r="A66" s="353" t="s">
        <v>1534</v>
      </c>
      <c r="B66" s="115">
        <v>46073.0</v>
      </c>
      <c r="C66" s="118" t="str">
        <f t="shared" si="7"/>
        <v>Fri</v>
      </c>
      <c r="D66" s="143">
        <f t="shared" si="8"/>
        <v>1</v>
      </c>
      <c r="E66" s="144" t="s">
        <v>142</v>
      </c>
      <c r="F66" s="134" t="s">
        <v>142</v>
      </c>
      <c r="G66" s="134" t="s">
        <v>142</v>
      </c>
      <c r="H66" s="134" t="s">
        <v>142</v>
      </c>
      <c r="I66" s="134" t="s">
        <v>142</v>
      </c>
      <c r="J66" s="134" t="s">
        <v>142</v>
      </c>
      <c r="K66" s="134" t="s">
        <v>142</v>
      </c>
      <c r="L66" s="134" t="s">
        <v>142</v>
      </c>
      <c r="M66" s="136"/>
      <c r="N66" s="131"/>
    </row>
    <row r="67" hidden="1" outlineLevel="1">
      <c r="A67" s="353" t="s">
        <v>1537</v>
      </c>
      <c r="B67" s="115">
        <v>46073.0</v>
      </c>
      <c r="C67" s="118" t="str">
        <f t="shared" si="7"/>
        <v>Fri</v>
      </c>
      <c r="D67" s="128">
        <f t="shared" si="8"/>
        <v>1</v>
      </c>
      <c r="E67" s="131" t="s">
        <v>142</v>
      </c>
      <c r="F67" s="134" t="s">
        <v>142</v>
      </c>
      <c r="G67" s="134" t="s">
        <v>142</v>
      </c>
      <c r="H67" s="134" t="s">
        <v>142</v>
      </c>
      <c r="I67" s="134" t="s">
        <v>142</v>
      </c>
      <c r="J67" s="134" t="s">
        <v>142</v>
      </c>
      <c r="K67" s="134" t="s">
        <v>142</v>
      </c>
      <c r="L67" s="134" t="s">
        <v>142</v>
      </c>
      <c r="M67" s="136"/>
      <c r="N67" s="131"/>
    </row>
    <row r="68" hidden="1" outlineLevel="1">
      <c r="A68" s="113" t="s">
        <v>1538</v>
      </c>
      <c r="B68" s="115">
        <v>46074.0</v>
      </c>
      <c r="C68" s="118" t="str">
        <f t="shared" si="7"/>
        <v>Sat</v>
      </c>
      <c r="D68" s="143">
        <f t="shared" si="8"/>
        <v>1</v>
      </c>
      <c r="E68" s="476" t="s">
        <v>142</v>
      </c>
      <c r="F68" s="478" t="s">
        <v>142</v>
      </c>
      <c r="G68" s="478" t="s">
        <v>142</v>
      </c>
      <c r="H68" s="478" t="s">
        <v>142</v>
      </c>
      <c r="I68" s="478" t="s">
        <v>142</v>
      </c>
      <c r="J68" s="478" t="s">
        <v>142</v>
      </c>
      <c r="K68" s="478" t="s">
        <v>142</v>
      </c>
      <c r="L68" s="478" t="s">
        <v>142</v>
      </c>
      <c r="M68" s="136"/>
      <c r="N68" s="137"/>
    </row>
    <row r="69" hidden="1" outlineLevel="1">
      <c r="A69" s="113" t="s">
        <v>1540</v>
      </c>
      <c r="B69" s="115">
        <v>46074.0</v>
      </c>
      <c r="C69" s="118" t="str">
        <f t="shared" si="7"/>
        <v>Sat</v>
      </c>
      <c r="D69" s="128">
        <f t="shared" si="8"/>
        <v>1</v>
      </c>
      <c r="E69" s="131" t="s">
        <v>142</v>
      </c>
      <c r="F69" s="134" t="s">
        <v>142</v>
      </c>
      <c r="G69" s="134" t="s">
        <v>142</v>
      </c>
      <c r="H69" s="134" t="s">
        <v>142</v>
      </c>
      <c r="I69" s="134" t="s">
        <v>142</v>
      </c>
      <c r="J69" s="134" t="s">
        <v>142</v>
      </c>
      <c r="K69" s="134" t="s">
        <v>142</v>
      </c>
      <c r="L69" s="134" t="s">
        <v>142</v>
      </c>
      <c r="M69" s="136"/>
      <c r="N69" s="137"/>
    </row>
    <row r="70" ht="15.0" hidden="1" customHeight="1" outlineLevel="1">
      <c r="A70" s="113" t="s">
        <v>1542</v>
      </c>
      <c r="B70" s="115">
        <v>46074.0</v>
      </c>
      <c r="C70" s="118" t="str">
        <f t="shared" si="7"/>
        <v>Sat</v>
      </c>
      <c r="D70" s="143">
        <f t="shared" si="8"/>
        <v>1</v>
      </c>
      <c r="E70" s="144" t="s">
        <v>142</v>
      </c>
      <c r="F70" s="134" t="s">
        <v>142</v>
      </c>
      <c r="G70" s="134" t="s">
        <v>142</v>
      </c>
      <c r="H70" s="134" t="s">
        <v>142</v>
      </c>
      <c r="I70" s="134" t="s">
        <v>142</v>
      </c>
      <c r="J70" s="134" t="s">
        <v>142</v>
      </c>
      <c r="K70" s="134" t="s">
        <v>142</v>
      </c>
      <c r="L70" s="134" t="s">
        <v>142</v>
      </c>
      <c r="M70" s="136"/>
      <c r="N70" s="131"/>
    </row>
    <row r="71" hidden="1" outlineLevel="1">
      <c r="B71" s="215"/>
      <c r="C71" s="216" t="s">
        <v>199</v>
      </c>
      <c r="D71" s="217">
        <f>AVERAGE(D56:D70)</f>
        <v>0.9733333333</v>
      </c>
      <c r="E71" s="472"/>
      <c r="L71" s="216" t="s">
        <v>199</v>
      </c>
      <c r="M71" s="217">
        <f>SUM(M56:M70)/75*0.1</f>
        <v>0</v>
      </c>
    </row>
    <row r="72" hidden="1" collapsed="1">
      <c r="A72" s="85" t="s">
        <v>1546</v>
      </c>
      <c r="B72" s="86"/>
      <c r="C72" s="86"/>
      <c r="D72" s="359"/>
      <c r="E72" s="89"/>
      <c r="F72" s="89"/>
      <c r="G72" s="91"/>
      <c r="H72" s="91"/>
      <c r="I72" s="91"/>
      <c r="J72" s="91"/>
      <c r="K72" s="91"/>
      <c r="L72" s="91"/>
      <c r="M72" s="93"/>
      <c r="N72" s="95"/>
    </row>
    <row r="73" hidden="1" outlineLevel="1">
      <c r="A73" s="96" t="s">
        <v>89</v>
      </c>
      <c r="B73" s="98" t="s">
        <v>90</v>
      </c>
      <c r="C73" s="98" t="s">
        <v>91</v>
      </c>
      <c r="D73" s="101" t="s">
        <v>93</v>
      </c>
      <c r="E73" s="102" t="s">
        <v>94</v>
      </c>
      <c r="F73" s="102" t="s">
        <v>95</v>
      </c>
      <c r="G73" s="105" t="s">
        <v>96</v>
      </c>
      <c r="H73" s="107" t="s">
        <v>97</v>
      </c>
      <c r="I73" s="107" t="s">
        <v>104</v>
      </c>
      <c r="J73" s="105" t="s">
        <v>106</v>
      </c>
      <c r="K73" s="107" t="s">
        <v>109</v>
      </c>
      <c r="L73" s="105" t="s">
        <v>111</v>
      </c>
      <c r="M73" s="98" t="s">
        <v>114</v>
      </c>
      <c r="N73" s="101" t="s">
        <v>116</v>
      </c>
    </row>
    <row r="74" hidden="1" outlineLevel="1">
      <c r="A74" s="353" t="s">
        <v>1548</v>
      </c>
      <c r="B74" s="115">
        <v>46076.0</v>
      </c>
      <c r="C74" s="118" t="str">
        <f t="shared" ref="C74:C88" si="9">IF(B74="", "", TEXT(B74, "ddd"))</f>
        <v>Mon</v>
      </c>
      <c r="D74" s="143">
        <f t="shared" ref="D74:D88" si="10">IF(E74="Yes",0.05,0)
+IF(F74="Yes",0.1,0)
+IF(G74="Yes",0.15,0)
+IF(H74="Yes",0.15,0)
+IF(I74="Yes",0.05,0)
+IF(J74="Yes",0.05,0)
+IF(K74="Yes",0.15,0)
+IF(L74="Yes",0.3,0)
</f>
        <v>1</v>
      </c>
      <c r="E74" s="144" t="s">
        <v>142</v>
      </c>
      <c r="F74" s="134" t="s">
        <v>142</v>
      </c>
      <c r="G74" s="134" t="s">
        <v>142</v>
      </c>
      <c r="H74" s="134" t="s">
        <v>142</v>
      </c>
      <c r="I74" s="134" t="s">
        <v>142</v>
      </c>
      <c r="J74" s="134" t="s">
        <v>142</v>
      </c>
      <c r="K74" s="134" t="s">
        <v>142</v>
      </c>
      <c r="L74" s="134" t="s">
        <v>142</v>
      </c>
      <c r="M74" s="136"/>
      <c r="N74" s="137"/>
    </row>
    <row r="75" hidden="1" outlineLevel="1">
      <c r="A75" s="353" t="s">
        <v>1552</v>
      </c>
      <c r="B75" s="115">
        <v>46076.0</v>
      </c>
      <c r="C75" s="118" t="str">
        <f t="shared" si="9"/>
        <v>Mon</v>
      </c>
      <c r="D75" s="128">
        <f t="shared" si="10"/>
        <v>0.5</v>
      </c>
      <c r="E75" s="131" t="s">
        <v>142</v>
      </c>
      <c r="F75" s="134" t="s">
        <v>142</v>
      </c>
      <c r="G75" s="134" t="s">
        <v>142</v>
      </c>
      <c r="H75" s="134" t="s">
        <v>142</v>
      </c>
      <c r="I75" s="134" t="s">
        <v>142</v>
      </c>
      <c r="J75" s="134" t="s">
        <v>945</v>
      </c>
      <c r="K75" s="134" t="s">
        <v>945</v>
      </c>
      <c r="L75" s="134" t="s">
        <v>945</v>
      </c>
      <c r="M75" s="136"/>
      <c r="N75" s="131" t="s">
        <v>1554</v>
      </c>
    </row>
    <row r="76" hidden="1" outlineLevel="1">
      <c r="A76" s="353" t="s">
        <v>1555</v>
      </c>
      <c r="B76" s="115">
        <v>46076.0</v>
      </c>
      <c r="C76" s="118" t="str">
        <f t="shared" si="9"/>
        <v>Mon</v>
      </c>
      <c r="D76" s="143">
        <f t="shared" si="10"/>
        <v>0.3</v>
      </c>
      <c r="E76" s="144" t="s">
        <v>142</v>
      </c>
      <c r="F76" s="134" t="s">
        <v>142</v>
      </c>
      <c r="G76" s="134" t="s">
        <v>142</v>
      </c>
      <c r="H76" s="134" t="s">
        <v>945</v>
      </c>
      <c r="I76" s="134" t="s">
        <v>945</v>
      </c>
      <c r="J76" s="134" t="s">
        <v>945</v>
      </c>
      <c r="K76" s="134" t="s">
        <v>945</v>
      </c>
      <c r="L76" s="134" t="s">
        <v>945</v>
      </c>
      <c r="M76" s="136"/>
      <c r="N76" s="131" t="s">
        <v>1554</v>
      </c>
    </row>
    <row r="77" hidden="1" outlineLevel="1">
      <c r="A77" s="353" t="s">
        <v>1557</v>
      </c>
      <c r="B77" s="115">
        <v>46077.0</v>
      </c>
      <c r="C77" s="118" t="str">
        <f t="shared" si="9"/>
        <v>Tue</v>
      </c>
      <c r="D77" s="128">
        <f t="shared" si="10"/>
        <v>1</v>
      </c>
      <c r="E77" s="131" t="s">
        <v>142</v>
      </c>
      <c r="F77" s="134" t="s">
        <v>142</v>
      </c>
      <c r="G77" s="134" t="s">
        <v>142</v>
      </c>
      <c r="H77" s="134" t="s">
        <v>142</v>
      </c>
      <c r="I77" s="134" t="s">
        <v>142</v>
      </c>
      <c r="J77" s="134" t="s">
        <v>142</v>
      </c>
      <c r="K77" s="134" t="s">
        <v>142</v>
      </c>
      <c r="L77" s="134" t="s">
        <v>142</v>
      </c>
      <c r="M77" s="136"/>
      <c r="N77" s="137"/>
    </row>
    <row r="78" hidden="1" outlineLevel="1">
      <c r="A78" s="353" t="s">
        <v>1559</v>
      </c>
      <c r="B78" s="115">
        <v>46077.0</v>
      </c>
      <c r="C78" s="118" t="str">
        <f t="shared" si="9"/>
        <v>Tue</v>
      </c>
      <c r="D78" s="143">
        <f t="shared" si="10"/>
        <v>1</v>
      </c>
      <c r="E78" s="144" t="s">
        <v>142</v>
      </c>
      <c r="F78" s="134" t="s">
        <v>142</v>
      </c>
      <c r="G78" s="134" t="s">
        <v>142</v>
      </c>
      <c r="H78" s="134" t="s">
        <v>142</v>
      </c>
      <c r="I78" s="134" t="s">
        <v>142</v>
      </c>
      <c r="J78" s="134" t="s">
        <v>142</v>
      </c>
      <c r="K78" s="134" t="s">
        <v>142</v>
      </c>
      <c r="L78" s="134" t="s">
        <v>142</v>
      </c>
      <c r="M78" s="136"/>
      <c r="N78" s="137"/>
    </row>
    <row r="79" hidden="1" outlineLevel="1">
      <c r="A79" s="353" t="s">
        <v>1561</v>
      </c>
      <c r="B79" s="115">
        <v>46077.0</v>
      </c>
      <c r="C79" s="118" t="str">
        <f t="shared" si="9"/>
        <v>Tue</v>
      </c>
      <c r="D79" s="128">
        <f t="shared" si="10"/>
        <v>1</v>
      </c>
      <c r="E79" s="131" t="s">
        <v>142</v>
      </c>
      <c r="F79" s="134" t="s">
        <v>142</v>
      </c>
      <c r="G79" s="134" t="s">
        <v>142</v>
      </c>
      <c r="H79" s="134" t="s">
        <v>142</v>
      </c>
      <c r="I79" s="134" t="s">
        <v>142</v>
      </c>
      <c r="J79" s="134" t="s">
        <v>142</v>
      </c>
      <c r="K79" s="134" t="s">
        <v>142</v>
      </c>
      <c r="L79" s="134" t="s">
        <v>142</v>
      </c>
      <c r="M79" s="136"/>
      <c r="N79" s="137"/>
    </row>
    <row r="80" hidden="1" outlineLevel="1">
      <c r="A80" s="113" t="s">
        <v>1563</v>
      </c>
      <c r="B80" s="115">
        <v>46079.0</v>
      </c>
      <c r="C80" s="118" t="str">
        <f t="shared" si="9"/>
        <v>Thu</v>
      </c>
      <c r="D80" s="143">
        <f t="shared" si="10"/>
        <v>1</v>
      </c>
      <c r="E80" s="144" t="s">
        <v>142</v>
      </c>
      <c r="F80" s="134" t="s">
        <v>142</v>
      </c>
      <c r="G80" s="134" t="s">
        <v>142</v>
      </c>
      <c r="H80" s="134" t="s">
        <v>142</v>
      </c>
      <c r="I80" s="134" t="s">
        <v>142</v>
      </c>
      <c r="J80" s="134" t="s">
        <v>142</v>
      </c>
      <c r="K80" s="134" t="s">
        <v>142</v>
      </c>
      <c r="L80" s="134" t="s">
        <v>142</v>
      </c>
      <c r="M80" s="136"/>
      <c r="N80" s="137"/>
    </row>
    <row r="81" hidden="1" outlineLevel="1">
      <c r="A81" s="113" t="s">
        <v>1564</v>
      </c>
      <c r="B81" s="115">
        <v>46079.0</v>
      </c>
      <c r="C81" s="118" t="str">
        <f t="shared" si="9"/>
        <v>Thu</v>
      </c>
      <c r="D81" s="128">
        <f t="shared" si="10"/>
        <v>1</v>
      </c>
      <c r="E81" s="131" t="s">
        <v>142</v>
      </c>
      <c r="F81" s="134" t="s">
        <v>142</v>
      </c>
      <c r="G81" s="134" t="s">
        <v>142</v>
      </c>
      <c r="H81" s="134" t="s">
        <v>142</v>
      </c>
      <c r="I81" s="134" t="s">
        <v>142</v>
      </c>
      <c r="J81" s="134" t="s">
        <v>142</v>
      </c>
      <c r="K81" s="134" t="s">
        <v>142</v>
      </c>
      <c r="L81" s="134" t="s">
        <v>142</v>
      </c>
      <c r="M81" s="136"/>
      <c r="N81" s="131"/>
    </row>
    <row r="82" hidden="1" outlineLevel="1">
      <c r="A82" s="113" t="s">
        <v>1565</v>
      </c>
      <c r="B82" s="115">
        <v>46079.0</v>
      </c>
      <c r="C82" s="118" t="str">
        <f t="shared" si="9"/>
        <v>Thu</v>
      </c>
      <c r="D82" s="143">
        <f t="shared" si="10"/>
        <v>0.7</v>
      </c>
      <c r="E82" s="144" t="s">
        <v>142</v>
      </c>
      <c r="F82" s="134" t="s">
        <v>142</v>
      </c>
      <c r="G82" s="134" t="s">
        <v>142</v>
      </c>
      <c r="H82" s="134" t="s">
        <v>142</v>
      </c>
      <c r="I82" s="134" t="s">
        <v>142</v>
      </c>
      <c r="J82" s="134" t="s">
        <v>142</v>
      </c>
      <c r="K82" s="134" t="s">
        <v>142</v>
      </c>
      <c r="L82" s="134" t="s">
        <v>945</v>
      </c>
      <c r="M82" s="136"/>
      <c r="N82" s="131" t="s">
        <v>1567</v>
      </c>
    </row>
    <row r="83" hidden="1" outlineLevel="1">
      <c r="A83" s="422" t="s">
        <v>1568</v>
      </c>
      <c r="B83" s="115">
        <v>46080.0</v>
      </c>
      <c r="C83" s="118" t="str">
        <f t="shared" si="9"/>
        <v>Fri</v>
      </c>
      <c r="D83" s="128">
        <f t="shared" si="10"/>
        <v>1</v>
      </c>
      <c r="E83" s="131" t="s">
        <v>142</v>
      </c>
      <c r="F83" s="134" t="s">
        <v>142</v>
      </c>
      <c r="G83" s="134" t="s">
        <v>142</v>
      </c>
      <c r="H83" s="134" t="s">
        <v>142</v>
      </c>
      <c r="I83" s="134" t="s">
        <v>142</v>
      </c>
      <c r="J83" s="134" t="s">
        <v>142</v>
      </c>
      <c r="K83" s="134" t="s">
        <v>142</v>
      </c>
      <c r="L83" s="134" t="s">
        <v>142</v>
      </c>
      <c r="M83" s="136"/>
      <c r="N83" s="131"/>
    </row>
    <row r="84" hidden="1" outlineLevel="1">
      <c r="A84" s="353" t="s">
        <v>1569</v>
      </c>
      <c r="B84" s="115">
        <v>46080.0</v>
      </c>
      <c r="C84" s="118" t="str">
        <f t="shared" si="9"/>
        <v>Fri</v>
      </c>
      <c r="D84" s="143">
        <f t="shared" si="10"/>
        <v>1</v>
      </c>
      <c r="E84" s="144" t="s">
        <v>142</v>
      </c>
      <c r="F84" s="134" t="s">
        <v>142</v>
      </c>
      <c r="G84" s="134" t="s">
        <v>142</v>
      </c>
      <c r="H84" s="134" t="s">
        <v>142</v>
      </c>
      <c r="I84" s="134" t="s">
        <v>142</v>
      </c>
      <c r="J84" s="134" t="s">
        <v>142</v>
      </c>
      <c r="K84" s="134" t="s">
        <v>142</v>
      </c>
      <c r="L84" s="134" t="s">
        <v>142</v>
      </c>
      <c r="M84" s="136"/>
      <c r="N84" s="131"/>
    </row>
    <row r="85" hidden="1" outlineLevel="1">
      <c r="A85" s="353" t="s">
        <v>1572</v>
      </c>
      <c r="B85" s="115">
        <v>46080.0</v>
      </c>
      <c r="C85" s="118" t="str">
        <f t="shared" si="9"/>
        <v>Fri</v>
      </c>
      <c r="D85" s="128">
        <f t="shared" si="10"/>
        <v>1</v>
      </c>
      <c r="E85" s="131" t="s">
        <v>142</v>
      </c>
      <c r="F85" s="134" t="s">
        <v>142</v>
      </c>
      <c r="G85" s="134" t="s">
        <v>142</v>
      </c>
      <c r="H85" s="134" t="s">
        <v>142</v>
      </c>
      <c r="I85" s="134" t="s">
        <v>142</v>
      </c>
      <c r="J85" s="134" t="s">
        <v>142</v>
      </c>
      <c r="K85" s="134" t="s">
        <v>142</v>
      </c>
      <c r="L85" s="134" t="s">
        <v>142</v>
      </c>
      <c r="M85" s="136"/>
      <c r="N85" s="131"/>
    </row>
    <row r="86" hidden="1" outlineLevel="1">
      <c r="A86" s="113" t="s">
        <v>1576</v>
      </c>
      <c r="B86" s="115">
        <v>46081.0</v>
      </c>
      <c r="C86" s="118" t="str">
        <f t="shared" si="9"/>
        <v>Sat</v>
      </c>
      <c r="D86" s="143">
        <f t="shared" si="10"/>
        <v>1</v>
      </c>
      <c r="E86" s="144" t="s">
        <v>142</v>
      </c>
      <c r="F86" s="134" t="s">
        <v>142</v>
      </c>
      <c r="G86" s="134" t="s">
        <v>142</v>
      </c>
      <c r="H86" s="134" t="s">
        <v>142</v>
      </c>
      <c r="I86" s="134" t="s">
        <v>142</v>
      </c>
      <c r="J86" s="134" t="s">
        <v>142</v>
      </c>
      <c r="K86" s="134" t="s">
        <v>142</v>
      </c>
      <c r="L86" s="134" t="s">
        <v>142</v>
      </c>
      <c r="M86" s="136"/>
      <c r="N86" s="137"/>
    </row>
    <row r="87" hidden="1" outlineLevel="1">
      <c r="A87" s="113" t="s">
        <v>1579</v>
      </c>
      <c r="B87" s="115">
        <v>46081.0</v>
      </c>
      <c r="C87" s="118" t="str">
        <f t="shared" si="9"/>
        <v>Sat</v>
      </c>
      <c r="D87" s="128">
        <f t="shared" si="10"/>
        <v>1</v>
      </c>
      <c r="E87" s="131" t="s">
        <v>142</v>
      </c>
      <c r="F87" s="134" t="s">
        <v>142</v>
      </c>
      <c r="G87" s="134" t="s">
        <v>142</v>
      </c>
      <c r="H87" s="134" t="s">
        <v>142</v>
      </c>
      <c r="I87" s="134" t="s">
        <v>142</v>
      </c>
      <c r="J87" s="134" t="s">
        <v>142</v>
      </c>
      <c r="K87" s="134" t="s">
        <v>142</v>
      </c>
      <c r="L87" s="134" t="s">
        <v>142</v>
      </c>
      <c r="M87" s="136"/>
      <c r="N87" s="137"/>
    </row>
    <row r="88" ht="15.0" hidden="1" customHeight="1" outlineLevel="1">
      <c r="A88" s="113" t="s">
        <v>1581</v>
      </c>
      <c r="B88" s="115">
        <v>46081.0</v>
      </c>
      <c r="C88" s="118" t="str">
        <f t="shared" si="9"/>
        <v>Sat</v>
      </c>
      <c r="D88" s="143">
        <f t="shared" si="10"/>
        <v>0.95</v>
      </c>
      <c r="E88" s="144" t="s">
        <v>945</v>
      </c>
      <c r="F88" s="134" t="s">
        <v>142</v>
      </c>
      <c r="G88" s="134" t="s">
        <v>142</v>
      </c>
      <c r="H88" s="134" t="s">
        <v>142</v>
      </c>
      <c r="I88" s="134" t="s">
        <v>142</v>
      </c>
      <c r="J88" s="134" t="s">
        <v>142</v>
      </c>
      <c r="K88" s="134" t="s">
        <v>142</v>
      </c>
      <c r="L88" s="134" t="s">
        <v>142</v>
      </c>
      <c r="M88" s="136"/>
      <c r="N88" s="131" t="s">
        <v>1583</v>
      </c>
    </row>
    <row r="89" hidden="1" outlineLevel="1">
      <c r="B89" s="215"/>
      <c r="C89" s="216" t="s">
        <v>199</v>
      </c>
      <c r="D89" s="217">
        <f>AVERAGE(D74:D88)</f>
        <v>0.8966666667</v>
      </c>
      <c r="E89" s="472"/>
      <c r="L89" s="216" t="s">
        <v>199</v>
      </c>
      <c r="M89" s="217">
        <f>SUM(M74:M88)/75*0.1</f>
        <v>0</v>
      </c>
    </row>
    <row r="90" hidden="1" collapsed="1">
      <c r="A90" s="85" t="s">
        <v>1586</v>
      </c>
      <c r="B90" s="86"/>
      <c r="C90" s="86"/>
      <c r="D90" s="490"/>
      <c r="E90" s="89"/>
      <c r="F90" s="89"/>
      <c r="G90" s="91"/>
      <c r="H90" s="91"/>
      <c r="I90" s="91"/>
      <c r="J90" s="91"/>
      <c r="K90" s="91"/>
      <c r="L90" s="91"/>
      <c r="M90" s="93"/>
      <c r="N90" s="95"/>
    </row>
    <row r="91" hidden="1" outlineLevel="1">
      <c r="A91" s="96" t="s">
        <v>89</v>
      </c>
      <c r="B91" s="98" t="s">
        <v>90</v>
      </c>
      <c r="C91" s="98" t="s">
        <v>91</v>
      </c>
      <c r="D91" s="101" t="s">
        <v>93</v>
      </c>
      <c r="E91" s="102" t="s">
        <v>94</v>
      </c>
      <c r="F91" s="102" t="s">
        <v>95</v>
      </c>
      <c r="G91" s="105" t="s">
        <v>96</v>
      </c>
      <c r="H91" s="107" t="s">
        <v>97</v>
      </c>
      <c r="I91" s="107" t="s">
        <v>104</v>
      </c>
      <c r="J91" s="105" t="s">
        <v>106</v>
      </c>
      <c r="K91" s="107" t="s">
        <v>109</v>
      </c>
      <c r="L91" s="105" t="s">
        <v>111</v>
      </c>
      <c r="M91" s="98" t="s">
        <v>114</v>
      </c>
      <c r="N91" s="101" t="s">
        <v>116</v>
      </c>
    </row>
    <row r="92" hidden="1" outlineLevel="1">
      <c r="A92" s="353" t="s">
        <v>1588</v>
      </c>
      <c r="B92" s="115">
        <v>46083.0</v>
      </c>
      <c r="C92" s="118" t="str">
        <f t="shared" ref="C92:C106" si="11">IF(B92="", "", TEXT(B92, "ddd"))</f>
        <v>Mon</v>
      </c>
      <c r="D92" s="143">
        <f t="shared" ref="D92:D106" si="12">IF(E92="Yes",0.05,0)
+IF(F92="Yes",0.1,0)
+IF(G92="Yes",0.15,0)
+IF(H92="Yes",0.15,0)
+IF(I92="Yes",0.05,0)
+IF(J92="Yes",0.05,0)
+IF(K92="Yes",0.15,0)
+IF(L92="Yes",0.3,0)
</f>
        <v>1</v>
      </c>
      <c r="E92" s="144" t="s">
        <v>142</v>
      </c>
      <c r="F92" s="134" t="s">
        <v>142</v>
      </c>
      <c r="G92" s="134" t="s">
        <v>142</v>
      </c>
      <c r="H92" s="134" t="s">
        <v>142</v>
      </c>
      <c r="I92" s="134" t="s">
        <v>142</v>
      </c>
      <c r="J92" s="134" t="s">
        <v>142</v>
      </c>
      <c r="K92" s="134" t="s">
        <v>142</v>
      </c>
      <c r="L92" s="134" t="s">
        <v>142</v>
      </c>
      <c r="M92" s="136"/>
      <c r="N92" s="137"/>
    </row>
    <row r="93" hidden="1" outlineLevel="1">
      <c r="A93" s="353" t="s">
        <v>1592</v>
      </c>
      <c r="B93" s="115">
        <v>46083.0</v>
      </c>
      <c r="C93" s="118" t="str">
        <f t="shared" si="11"/>
        <v>Mon</v>
      </c>
      <c r="D93" s="128">
        <f t="shared" si="12"/>
        <v>1</v>
      </c>
      <c r="E93" s="131" t="s">
        <v>142</v>
      </c>
      <c r="F93" s="134" t="s">
        <v>142</v>
      </c>
      <c r="G93" s="134" t="s">
        <v>142</v>
      </c>
      <c r="H93" s="134" t="s">
        <v>142</v>
      </c>
      <c r="I93" s="134" t="s">
        <v>142</v>
      </c>
      <c r="J93" s="134" t="s">
        <v>142</v>
      </c>
      <c r="K93" s="134" t="s">
        <v>142</v>
      </c>
      <c r="L93" s="134" t="s">
        <v>142</v>
      </c>
      <c r="M93" s="136"/>
      <c r="N93" s="131"/>
    </row>
    <row r="94" hidden="1" outlineLevel="1">
      <c r="A94" s="353" t="s">
        <v>1593</v>
      </c>
      <c r="B94" s="115">
        <v>46083.0</v>
      </c>
      <c r="C94" s="118" t="str">
        <f t="shared" si="11"/>
        <v>Mon</v>
      </c>
      <c r="D94" s="143">
        <f t="shared" si="12"/>
        <v>1</v>
      </c>
      <c r="E94" s="144" t="s">
        <v>142</v>
      </c>
      <c r="F94" s="134" t="s">
        <v>142</v>
      </c>
      <c r="G94" s="134" t="s">
        <v>142</v>
      </c>
      <c r="H94" s="134" t="s">
        <v>142</v>
      </c>
      <c r="I94" s="134" t="s">
        <v>142</v>
      </c>
      <c r="J94" s="134" t="s">
        <v>142</v>
      </c>
      <c r="K94" s="134" t="s">
        <v>142</v>
      </c>
      <c r="L94" s="134" t="s">
        <v>142</v>
      </c>
      <c r="M94" s="136"/>
      <c r="N94" s="131"/>
    </row>
    <row r="95" hidden="1" outlineLevel="1">
      <c r="A95" s="353" t="s">
        <v>1595</v>
      </c>
      <c r="B95" s="115">
        <v>46084.0</v>
      </c>
      <c r="C95" s="118" t="str">
        <f t="shared" si="11"/>
        <v>Tue</v>
      </c>
      <c r="D95" s="128">
        <f t="shared" si="12"/>
        <v>1</v>
      </c>
      <c r="E95" s="131" t="s">
        <v>142</v>
      </c>
      <c r="F95" s="134" t="s">
        <v>142</v>
      </c>
      <c r="G95" s="134" t="s">
        <v>142</v>
      </c>
      <c r="H95" s="134" t="s">
        <v>142</v>
      </c>
      <c r="I95" s="134" t="s">
        <v>142</v>
      </c>
      <c r="J95" s="134" t="s">
        <v>142</v>
      </c>
      <c r="K95" s="134" t="s">
        <v>142</v>
      </c>
      <c r="L95" s="134" t="s">
        <v>142</v>
      </c>
      <c r="M95" s="136"/>
      <c r="N95" s="137"/>
    </row>
    <row r="96" hidden="1" outlineLevel="1">
      <c r="A96" s="398" t="s">
        <v>1596</v>
      </c>
      <c r="B96" s="115">
        <v>46084.0</v>
      </c>
      <c r="C96" s="118" t="str">
        <f t="shared" si="11"/>
        <v>Tue</v>
      </c>
      <c r="D96" s="143">
        <f t="shared" si="12"/>
        <v>1</v>
      </c>
      <c r="E96" s="144" t="s">
        <v>142</v>
      </c>
      <c r="F96" s="134" t="s">
        <v>142</v>
      </c>
      <c r="G96" s="134" t="s">
        <v>142</v>
      </c>
      <c r="H96" s="134" t="s">
        <v>142</v>
      </c>
      <c r="I96" s="134" t="s">
        <v>142</v>
      </c>
      <c r="J96" s="134" t="s">
        <v>142</v>
      </c>
      <c r="K96" s="134" t="s">
        <v>142</v>
      </c>
      <c r="L96" s="134" t="s">
        <v>142</v>
      </c>
      <c r="M96" s="136"/>
      <c r="N96" s="131" t="s">
        <v>1598</v>
      </c>
    </row>
    <row r="97" hidden="1" outlineLevel="1">
      <c r="A97" s="398" t="s">
        <v>1599</v>
      </c>
      <c r="B97" s="115">
        <v>46084.0</v>
      </c>
      <c r="C97" s="118" t="str">
        <f t="shared" si="11"/>
        <v>Tue</v>
      </c>
      <c r="D97" s="128">
        <f t="shared" si="12"/>
        <v>1</v>
      </c>
      <c r="E97" s="131" t="s">
        <v>142</v>
      </c>
      <c r="F97" s="134" t="s">
        <v>142</v>
      </c>
      <c r="G97" s="134" t="s">
        <v>142</v>
      </c>
      <c r="H97" s="134" t="s">
        <v>142</v>
      </c>
      <c r="I97" s="134" t="s">
        <v>142</v>
      </c>
      <c r="J97" s="134" t="s">
        <v>142</v>
      </c>
      <c r="K97" s="134" t="s">
        <v>142</v>
      </c>
      <c r="L97" s="134" t="s">
        <v>142</v>
      </c>
      <c r="M97" s="136"/>
      <c r="N97" s="137"/>
    </row>
    <row r="98" hidden="1" outlineLevel="1">
      <c r="A98" s="353" t="s">
        <v>1601</v>
      </c>
      <c r="B98" s="115">
        <v>46086.0</v>
      </c>
      <c r="C98" s="118" t="str">
        <f t="shared" si="11"/>
        <v>Thu</v>
      </c>
      <c r="D98" s="143">
        <f t="shared" si="12"/>
        <v>1</v>
      </c>
      <c r="E98" s="144" t="s">
        <v>142</v>
      </c>
      <c r="F98" s="134" t="s">
        <v>142</v>
      </c>
      <c r="G98" s="134" t="s">
        <v>142</v>
      </c>
      <c r="H98" s="134" t="s">
        <v>142</v>
      </c>
      <c r="I98" s="134" t="s">
        <v>142</v>
      </c>
      <c r="J98" s="134" t="s">
        <v>142</v>
      </c>
      <c r="K98" s="134" t="s">
        <v>142</v>
      </c>
      <c r="L98" s="134" t="s">
        <v>142</v>
      </c>
      <c r="M98" s="136"/>
      <c r="N98" s="137"/>
    </row>
    <row r="99" hidden="1" outlineLevel="1">
      <c r="A99" s="353" t="s">
        <v>1603</v>
      </c>
      <c r="B99" s="115">
        <v>46086.0</v>
      </c>
      <c r="C99" s="118" t="str">
        <f t="shared" si="11"/>
        <v>Thu</v>
      </c>
      <c r="D99" s="128">
        <f t="shared" si="12"/>
        <v>0.7</v>
      </c>
      <c r="E99" s="131" t="s">
        <v>142</v>
      </c>
      <c r="F99" s="134" t="s">
        <v>142</v>
      </c>
      <c r="G99" s="134" t="s">
        <v>142</v>
      </c>
      <c r="H99" s="134" t="s">
        <v>142</v>
      </c>
      <c r="I99" s="134" t="s">
        <v>142</v>
      </c>
      <c r="J99" s="134" t="s">
        <v>142</v>
      </c>
      <c r="K99" s="134" t="s">
        <v>142</v>
      </c>
      <c r="L99" s="134" t="s">
        <v>945</v>
      </c>
      <c r="M99" s="136"/>
      <c r="N99" s="131" t="s">
        <v>1606</v>
      </c>
    </row>
    <row r="100" hidden="1" outlineLevel="1">
      <c r="A100" s="353" t="s">
        <v>1607</v>
      </c>
      <c r="B100" s="115">
        <v>46086.0</v>
      </c>
      <c r="C100" s="118" t="str">
        <f t="shared" si="11"/>
        <v>Thu</v>
      </c>
      <c r="D100" s="143">
        <f t="shared" si="12"/>
        <v>1</v>
      </c>
      <c r="E100" s="144" t="s">
        <v>142</v>
      </c>
      <c r="F100" s="134" t="s">
        <v>142</v>
      </c>
      <c r="G100" s="134" t="s">
        <v>142</v>
      </c>
      <c r="H100" s="134" t="s">
        <v>142</v>
      </c>
      <c r="I100" s="134" t="s">
        <v>142</v>
      </c>
      <c r="J100" s="134" t="s">
        <v>142</v>
      </c>
      <c r="K100" s="134" t="s">
        <v>142</v>
      </c>
      <c r="L100" s="134" t="s">
        <v>142</v>
      </c>
      <c r="M100" s="136"/>
      <c r="N100" s="137"/>
    </row>
    <row r="101" hidden="1" outlineLevel="1">
      <c r="A101" s="113" t="s">
        <v>1609</v>
      </c>
      <c r="B101" s="115">
        <v>46087.0</v>
      </c>
      <c r="C101" s="118" t="str">
        <f t="shared" si="11"/>
        <v>Fri</v>
      </c>
      <c r="D101" s="128">
        <f t="shared" si="12"/>
        <v>0.7</v>
      </c>
      <c r="E101" s="131" t="s">
        <v>142</v>
      </c>
      <c r="F101" s="134" t="s">
        <v>142</v>
      </c>
      <c r="G101" s="134" t="s">
        <v>142</v>
      </c>
      <c r="H101" s="134" t="s">
        <v>142</v>
      </c>
      <c r="I101" s="134" t="s">
        <v>142</v>
      </c>
      <c r="J101" s="134" t="s">
        <v>142</v>
      </c>
      <c r="K101" s="134" t="s">
        <v>142</v>
      </c>
      <c r="L101" s="134" t="s">
        <v>945</v>
      </c>
      <c r="M101" s="136"/>
      <c r="N101" s="131" t="s">
        <v>1611</v>
      </c>
    </row>
    <row r="102" hidden="1" outlineLevel="1">
      <c r="A102" s="113" t="s">
        <v>1612</v>
      </c>
      <c r="B102" s="115">
        <v>46087.0</v>
      </c>
      <c r="C102" s="118" t="str">
        <f t="shared" si="11"/>
        <v>Fri</v>
      </c>
      <c r="D102" s="143">
        <f t="shared" si="12"/>
        <v>1</v>
      </c>
      <c r="E102" s="144" t="s">
        <v>142</v>
      </c>
      <c r="F102" s="134" t="s">
        <v>142</v>
      </c>
      <c r="G102" s="134" t="s">
        <v>142</v>
      </c>
      <c r="H102" s="134" t="s">
        <v>142</v>
      </c>
      <c r="I102" s="134" t="s">
        <v>142</v>
      </c>
      <c r="J102" s="134" t="s">
        <v>142</v>
      </c>
      <c r="K102" s="134" t="s">
        <v>142</v>
      </c>
      <c r="L102" s="134" t="s">
        <v>142</v>
      </c>
      <c r="M102" s="136"/>
      <c r="N102" s="131"/>
    </row>
    <row r="103" hidden="1" outlineLevel="1">
      <c r="A103" s="113" t="s">
        <v>1615</v>
      </c>
      <c r="B103" s="115">
        <v>46087.0</v>
      </c>
      <c r="C103" s="118" t="str">
        <f t="shared" si="11"/>
        <v>Fri</v>
      </c>
      <c r="D103" s="128">
        <f t="shared" si="12"/>
        <v>1</v>
      </c>
      <c r="E103" s="131" t="s">
        <v>142</v>
      </c>
      <c r="F103" s="134" t="s">
        <v>142</v>
      </c>
      <c r="G103" s="134" t="s">
        <v>142</v>
      </c>
      <c r="H103" s="134" t="s">
        <v>142</v>
      </c>
      <c r="I103" s="134" t="s">
        <v>142</v>
      </c>
      <c r="J103" s="134" t="s">
        <v>142</v>
      </c>
      <c r="K103" s="134" t="s">
        <v>142</v>
      </c>
      <c r="L103" s="134" t="s">
        <v>142</v>
      </c>
      <c r="M103" s="136"/>
      <c r="N103" s="131"/>
    </row>
    <row r="104" hidden="1" outlineLevel="1">
      <c r="A104" s="492" t="s">
        <v>1617</v>
      </c>
      <c r="B104" s="115">
        <v>46088.0</v>
      </c>
      <c r="C104" s="118" t="str">
        <f t="shared" si="11"/>
        <v>Sat</v>
      </c>
      <c r="D104" s="143">
        <f t="shared" si="12"/>
        <v>1</v>
      </c>
      <c r="E104" s="144" t="s">
        <v>142</v>
      </c>
      <c r="F104" s="134" t="s">
        <v>142</v>
      </c>
      <c r="G104" s="134" t="s">
        <v>142</v>
      </c>
      <c r="H104" s="134" t="s">
        <v>142</v>
      </c>
      <c r="I104" s="134" t="s">
        <v>142</v>
      </c>
      <c r="J104" s="134" t="s">
        <v>142</v>
      </c>
      <c r="K104" s="134" t="s">
        <v>142</v>
      </c>
      <c r="L104" s="134" t="s">
        <v>142</v>
      </c>
      <c r="M104" s="136"/>
      <c r="N104" s="137"/>
    </row>
    <row r="105" hidden="1" outlineLevel="1">
      <c r="A105" s="113" t="s">
        <v>1621</v>
      </c>
      <c r="B105" s="115">
        <v>46088.0</v>
      </c>
      <c r="C105" s="118" t="str">
        <f t="shared" si="11"/>
        <v>Sat</v>
      </c>
      <c r="D105" s="128">
        <f t="shared" si="12"/>
        <v>1</v>
      </c>
      <c r="E105" s="131" t="s">
        <v>142</v>
      </c>
      <c r="F105" s="134" t="s">
        <v>142</v>
      </c>
      <c r="G105" s="134" t="s">
        <v>142</v>
      </c>
      <c r="H105" s="134" t="s">
        <v>142</v>
      </c>
      <c r="I105" s="134" t="s">
        <v>142</v>
      </c>
      <c r="J105" s="134" t="s">
        <v>142</v>
      </c>
      <c r="K105" s="134" t="s">
        <v>142</v>
      </c>
      <c r="L105" s="134" t="s">
        <v>142</v>
      </c>
      <c r="M105" s="136"/>
      <c r="N105" s="131" t="s">
        <v>1623</v>
      </c>
    </row>
    <row r="106" ht="15.0" hidden="1" customHeight="1" outlineLevel="1">
      <c r="A106" s="113" t="s">
        <v>1624</v>
      </c>
      <c r="B106" s="115">
        <v>46088.0</v>
      </c>
      <c r="C106" s="118" t="str">
        <f t="shared" si="11"/>
        <v>Sat</v>
      </c>
      <c r="D106" s="143">
        <f t="shared" si="12"/>
        <v>1</v>
      </c>
      <c r="E106" s="144" t="s">
        <v>142</v>
      </c>
      <c r="F106" s="134" t="s">
        <v>142</v>
      </c>
      <c r="G106" s="134" t="s">
        <v>142</v>
      </c>
      <c r="H106" s="134" t="s">
        <v>142</v>
      </c>
      <c r="I106" s="134" t="s">
        <v>142</v>
      </c>
      <c r="J106" s="134" t="s">
        <v>142</v>
      </c>
      <c r="K106" s="134" t="s">
        <v>142</v>
      </c>
      <c r="L106" s="134" t="s">
        <v>142</v>
      </c>
      <c r="M106" s="136"/>
      <c r="N106" s="131"/>
    </row>
    <row r="107" hidden="1" outlineLevel="1">
      <c r="B107" s="215"/>
      <c r="C107" s="216" t="s">
        <v>199</v>
      </c>
      <c r="D107" s="217">
        <f>AVERAGE(D92:D106)</f>
        <v>0.96</v>
      </c>
      <c r="E107" s="472"/>
      <c r="L107" s="216" t="s">
        <v>199</v>
      </c>
      <c r="M107" s="217">
        <f>SUM(M92:M106)/75*0.1</f>
        <v>0</v>
      </c>
    </row>
    <row r="108" hidden="1" collapsed="1">
      <c r="A108" s="85" t="s">
        <v>1627</v>
      </c>
      <c r="B108" s="86"/>
      <c r="C108" s="86"/>
      <c r="D108" s="359"/>
      <c r="E108" s="89"/>
      <c r="F108" s="89"/>
      <c r="G108" s="91"/>
      <c r="H108" s="91"/>
      <c r="I108" s="91"/>
      <c r="J108" s="91"/>
      <c r="K108" s="91"/>
      <c r="L108" s="91"/>
      <c r="M108" s="93"/>
      <c r="N108" s="95"/>
    </row>
    <row r="109" hidden="1" outlineLevel="1">
      <c r="A109" s="96" t="s">
        <v>89</v>
      </c>
      <c r="B109" s="98" t="s">
        <v>90</v>
      </c>
      <c r="C109" s="98" t="s">
        <v>91</v>
      </c>
      <c r="D109" s="101" t="s">
        <v>93</v>
      </c>
      <c r="E109" s="102" t="s">
        <v>94</v>
      </c>
      <c r="F109" s="102" t="s">
        <v>95</v>
      </c>
      <c r="G109" s="105" t="s">
        <v>96</v>
      </c>
      <c r="H109" s="107" t="s">
        <v>97</v>
      </c>
      <c r="I109" s="107" t="s">
        <v>104</v>
      </c>
      <c r="J109" s="105" t="s">
        <v>106</v>
      </c>
      <c r="K109" s="107" t="s">
        <v>109</v>
      </c>
      <c r="L109" s="105" t="s">
        <v>111</v>
      </c>
      <c r="M109" s="98" t="s">
        <v>114</v>
      </c>
      <c r="N109" s="101" t="s">
        <v>116</v>
      </c>
    </row>
    <row r="110" hidden="1" outlineLevel="1">
      <c r="A110" s="113" t="s">
        <v>1628</v>
      </c>
      <c r="B110" s="115">
        <v>46090.0</v>
      </c>
      <c r="C110" s="118" t="str">
        <f t="shared" ref="C110:C124" si="13">IF(B110="", "", TEXT(B110, "ddd"))</f>
        <v>Mon</v>
      </c>
      <c r="D110" s="143">
        <f t="shared" ref="D110:D124" si="14">IF(E110="Yes",0.05,0)
+IF(F110="Yes",0.1,0)
+IF(G110="Yes",0.15,0)
+IF(H110="Yes",0.15,0)
+IF(I110="Yes",0.05,0)
+IF(J110="Yes",0.05,0)
+IF(K110="Yes",0.15,0)
+IF(L110="Yes",0.3,0)
</f>
        <v>1</v>
      </c>
      <c r="E110" s="144" t="s">
        <v>142</v>
      </c>
      <c r="F110" s="134" t="s">
        <v>142</v>
      </c>
      <c r="G110" s="134" t="s">
        <v>142</v>
      </c>
      <c r="H110" s="134" t="s">
        <v>142</v>
      </c>
      <c r="I110" s="134" t="s">
        <v>142</v>
      </c>
      <c r="J110" s="134" t="s">
        <v>142</v>
      </c>
      <c r="K110" s="134" t="s">
        <v>142</v>
      </c>
      <c r="L110" s="134" t="s">
        <v>142</v>
      </c>
      <c r="M110" s="136"/>
      <c r="N110" s="137"/>
    </row>
    <row r="111" hidden="1" outlineLevel="1">
      <c r="A111" s="113" t="s">
        <v>1629</v>
      </c>
      <c r="B111" s="115">
        <v>46090.0</v>
      </c>
      <c r="C111" s="118" t="str">
        <f t="shared" si="13"/>
        <v>Mon</v>
      </c>
      <c r="D111" s="128">
        <f t="shared" si="14"/>
        <v>1</v>
      </c>
      <c r="E111" s="131" t="s">
        <v>142</v>
      </c>
      <c r="F111" s="134" t="s">
        <v>142</v>
      </c>
      <c r="G111" s="134" t="s">
        <v>142</v>
      </c>
      <c r="H111" s="134" t="s">
        <v>142</v>
      </c>
      <c r="I111" s="134" t="s">
        <v>142</v>
      </c>
      <c r="J111" s="134" t="s">
        <v>142</v>
      </c>
      <c r="K111" s="134" t="s">
        <v>142</v>
      </c>
      <c r="L111" s="134" t="s">
        <v>142</v>
      </c>
      <c r="M111" s="136"/>
      <c r="N111" s="131"/>
    </row>
    <row r="112" hidden="1" outlineLevel="1">
      <c r="A112" s="113" t="s">
        <v>1630</v>
      </c>
      <c r="B112" s="115">
        <v>46090.0</v>
      </c>
      <c r="C112" s="118" t="str">
        <f t="shared" si="13"/>
        <v>Mon</v>
      </c>
      <c r="D112" s="143">
        <f t="shared" si="14"/>
        <v>1</v>
      </c>
      <c r="E112" s="144" t="s">
        <v>142</v>
      </c>
      <c r="F112" s="134" t="s">
        <v>142</v>
      </c>
      <c r="G112" s="134" t="s">
        <v>142</v>
      </c>
      <c r="H112" s="134" t="s">
        <v>142</v>
      </c>
      <c r="I112" s="134" t="s">
        <v>142</v>
      </c>
      <c r="J112" s="134" t="s">
        <v>142</v>
      </c>
      <c r="K112" s="134" t="s">
        <v>142</v>
      </c>
      <c r="L112" s="134" t="s">
        <v>142</v>
      </c>
      <c r="M112" s="136"/>
      <c r="N112" s="131"/>
    </row>
    <row r="113" hidden="1" outlineLevel="1">
      <c r="A113" s="422" t="s">
        <v>1631</v>
      </c>
      <c r="B113" s="115">
        <v>46091.0</v>
      </c>
      <c r="C113" s="118" t="str">
        <f t="shared" si="13"/>
        <v>Tue</v>
      </c>
      <c r="D113" s="128">
        <f t="shared" si="14"/>
        <v>1</v>
      </c>
      <c r="E113" s="131" t="s">
        <v>142</v>
      </c>
      <c r="F113" s="134" t="s">
        <v>142</v>
      </c>
      <c r="G113" s="134" t="s">
        <v>142</v>
      </c>
      <c r="H113" s="134" t="s">
        <v>142</v>
      </c>
      <c r="I113" s="134" t="s">
        <v>142</v>
      </c>
      <c r="J113" s="134" t="s">
        <v>142</v>
      </c>
      <c r="K113" s="134" t="s">
        <v>142</v>
      </c>
      <c r="L113" s="134" t="s">
        <v>142</v>
      </c>
      <c r="M113" s="136"/>
      <c r="N113" s="137"/>
    </row>
    <row r="114" hidden="1" outlineLevel="1">
      <c r="A114" s="422" t="s">
        <v>1632</v>
      </c>
      <c r="B114" s="115">
        <v>46091.0</v>
      </c>
      <c r="C114" s="118" t="str">
        <f t="shared" si="13"/>
        <v>Tue</v>
      </c>
      <c r="D114" s="143">
        <f t="shared" si="14"/>
        <v>1</v>
      </c>
      <c r="E114" s="144" t="s">
        <v>142</v>
      </c>
      <c r="F114" s="134" t="s">
        <v>142</v>
      </c>
      <c r="G114" s="134" t="s">
        <v>142</v>
      </c>
      <c r="H114" s="134" t="s">
        <v>142</v>
      </c>
      <c r="I114" s="134" t="s">
        <v>142</v>
      </c>
      <c r="J114" s="134" t="s">
        <v>142</v>
      </c>
      <c r="K114" s="134" t="s">
        <v>142</v>
      </c>
      <c r="L114" s="134" t="s">
        <v>142</v>
      </c>
      <c r="M114" s="136"/>
      <c r="N114" s="137"/>
    </row>
    <row r="115" hidden="1" outlineLevel="1">
      <c r="A115" s="422" t="s">
        <v>1633</v>
      </c>
      <c r="B115" s="115">
        <v>46091.0</v>
      </c>
      <c r="C115" s="118" t="str">
        <f t="shared" si="13"/>
        <v>Tue</v>
      </c>
      <c r="D115" s="128">
        <f t="shared" si="14"/>
        <v>1</v>
      </c>
      <c r="E115" s="131" t="s">
        <v>142</v>
      </c>
      <c r="F115" s="134" t="s">
        <v>142</v>
      </c>
      <c r="G115" s="134" t="s">
        <v>142</v>
      </c>
      <c r="H115" s="134" t="s">
        <v>142</v>
      </c>
      <c r="I115" s="134" t="s">
        <v>142</v>
      </c>
      <c r="J115" s="134" t="s">
        <v>142</v>
      </c>
      <c r="K115" s="134" t="s">
        <v>142</v>
      </c>
      <c r="L115" s="134" t="s">
        <v>142</v>
      </c>
      <c r="M115" s="136"/>
      <c r="N115" s="137"/>
    </row>
    <row r="116" hidden="1" outlineLevel="1">
      <c r="A116" s="113" t="s">
        <v>1635</v>
      </c>
      <c r="B116" s="115">
        <v>46093.0</v>
      </c>
      <c r="C116" s="118" t="str">
        <f t="shared" si="13"/>
        <v>Thu</v>
      </c>
      <c r="D116" s="143">
        <f t="shared" si="14"/>
        <v>1</v>
      </c>
      <c r="E116" s="144" t="s">
        <v>142</v>
      </c>
      <c r="F116" s="134" t="s">
        <v>142</v>
      </c>
      <c r="G116" s="134" t="s">
        <v>142</v>
      </c>
      <c r="H116" s="134" t="s">
        <v>142</v>
      </c>
      <c r="I116" s="134" t="s">
        <v>142</v>
      </c>
      <c r="J116" s="134" t="s">
        <v>142</v>
      </c>
      <c r="K116" s="134" t="s">
        <v>142</v>
      </c>
      <c r="L116" s="134" t="s">
        <v>142</v>
      </c>
      <c r="M116" s="136"/>
      <c r="N116" s="137"/>
    </row>
    <row r="117" hidden="1" outlineLevel="1">
      <c r="A117" s="113" t="s">
        <v>1636</v>
      </c>
      <c r="B117" s="115">
        <v>46093.0</v>
      </c>
      <c r="C117" s="118" t="str">
        <f t="shared" si="13"/>
        <v>Thu</v>
      </c>
      <c r="D117" s="128">
        <f t="shared" si="14"/>
        <v>1</v>
      </c>
      <c r="E117" s="131" t="s">
        <v>142</v>
      </c>
      <c r="F117" s="134" t="s">
        <v>142</v>
      </c>
      <c r="G117" s="134" t="s">
        <v>142</v>
      </c>
      <c r="H117" s="134" t="s">
        <v>142</v>
      </c>
      <c r="I117" s="134" t="s">
        <v>142</v>
      </c>
      <c r="J117" s="134" t="s">
        <v>142</v>
      </c>
      <c r="K117" s="134" t="s">
        <v>142</v>
      </c>
      <c r="L117" s="134" t="s">
        <v>142</v>
      </c>
      <c r="M117" s="136"/>
      <c r="N117" s="131"/>
    </row>
    <row r="118" hidden="1" outlineLevel="1">
      <c r="A118" s="113" t="s">
        <v>1638</v>
      </c>
      <c r="B118" s="115">
        <v>46093.0</v>
      </c>
      <c r="C118" s="118" t="str">
        <f t="shared" si="13"/>
        <v>Thu</v>
      </c>
      <c r="D118" s="143">
        <f t="shared" si="14"/>
        <v>1</v>
      </c>
      <c r="E118" s="144" t="s">
        <v>142</v>
      </c>
      <c r="F118" s="134" t="s">
        <v>142</v>
      </c>
      <c r="G118" s="134" t="s">
        <v>142</v>
      </c>
      <c r="H118" s="134" t="s">
        <v>142</v>
      </c>
      <c r="I118" s="134" t="s">
        <v>142</v>
      </c>
      <c r="J118" s="134" t="s">
        <v>142</v>
      </c>
      <c r="K118" s="134" t="s">
        <v>142</v>
      </c>
      <c r="L118" s="134" t="s">
        <v>142</v>
      </c>
      <c r="M118" s="136"/>
      <c r="N118" s="137"/>
    </row>
    <row r="119" hidden="1" outlineLevel="1">
      <c r="A119" s="422" t="s">
        <v>1640</v>
      </c>
      <c r="B119" s="115">
        <v>46094.0</v>
      </c>
      <c r="C119" s="118" t="str">
        <f t="shared" si="13"/>
        <v>Fri</v>
      </c>
      <c r="D119" s="128">
        <f t="shared" si="14"/>
        <v>1</v>
      </c>
      <c r="E119" s="131" t="s">
        <v>142</v>
      </c>
      <c r="F119" s="134" t="s">
        <v>142</v>
      </c>
      <c r="G119" s="134" t="s">
        <v>142</v>
      </c>
      <c r="H119" s="134" t="s">
        <v>142</v>
      </c>
      <c r="I119" s="134" t="s">
        <v>142</v>
      </c>
      <c r="J119" s="134" t="s">
        <v>142</v>
      </c>
      <c r="K119" s="134" t="s">
        <v>142</v>
      </c>
      <c r="L119" s="134" t="s">
        <v>142</v>
      </c>
      <c r="M119" s="136"/>
      <c r="N119" s="131"/>
    </row>
    <row r="120" hidden="1" outlineLevel="1">
      <c r="A120" s="422" t="s">
        <v>1644</v>
      </c>
      <c r="B120" s="115">
        <v>46094.0</v>
      </c>
      <c r="C120" s="118" t="str">
        <f t="shared" si="13"/>
        <v>Fri</v>
      </c>
      <c r="D120" s="143">
        <f t="shared" si="14"/>
        <v>1</v>
      </c>
      <c r="E120" s="144" t="s">
        <v>142</v>
      </c>
      <c r="F120" s="134" t="s">
        <v>142</v>
      </c>
      <c r="G120" s="134" t="s">
        <v>142</v>
      </c>
      <c r="H120" s="134" t="s">
        <v>142</v>
      </c>
      <c r="I120" s="134" t="s">
        <v>142</v>
      </c>
      <c r="J120" s="134" t="s">
        <v>142</v>
      </c>
      <c r="K120" s="134" t="s">
        <v>142</v>
      </c>
      <c r="L120" s="134" t="s">
        <v>142</v>
      </c>
      <c r="M120" s="136"/>
      <c r="N120" s="131"/>
    </row>
    <row r="121" hidden="1" outlineLevel="1">
      <c r="A121" s="422" t="s">
        <v>1646</v>
      </c>
      <c r="B121" s="115">
        <v>46094.0</v>
      </c>
      <c r="C121" s="118" t="str">
        <f t="shared" si="13"/>
        <v>Fri</v>
      </c>
      <c r="D121" s="128">
        <f t="shared" si="14"/>
        <v>1</v>
      </c>
      <c r="E121" s="131" t="s">
        <v>142</v>
      </c>
      <c r="F121" s="134" t="s">
        <v>142</v>
      </c>
      <c r="G121" s="134" t="s">
        <v>142</v>
      </c>
      <c r="H121" s="134" t="s">
        <v>142</v>
      </c>
      <c r="I121" s="134" t="s">
        <v>142</v>
      </c>
      <c r="J121" s="134" t="s">
        <v>142</v>
      </c>
      <c r="K121" s="134" t="s">
        <v>142</v>
      </c>
      <c r="L121" s="134" t="s">
        <v>142</v>
      </c>
      <c r="M121" s="136"/>
      <c r="N121" s="131"/>
    </row>
    <row r="122" hidden="1" outlineLevel="1">
      <c r="A122" s="113" t="s">
        <v>1648</v>
      </c>
      <c r="B122" s="115">
        <v>46095.0</v>
      </c>
      <c r="C122" s="118" t="str">
        <f t="shared" si="13"/>
        <v>Sat</v>
      </c>
      <c r="D122" s="143">
        <f t="shared" si="14"/>
        <v>1</v>
      </c>
      <c r="E122" s="144" t="s">
        <v>142</v>
      </c>
      <c r="F122" s="134" t="s">
        <v>142</v>
      </c>
      <c r="G122" s="134" t="s">
        <v>142</v>
      </c>
      <c r="H122" s="134" t="s">
        <v>142</v>
      </c>
      <c r="I122" s="134" t="s">
        <v>142</v>
      </c>
      <c r="J122" s="134" t="s">
        <v>142</v>
      </c>
      <c r="K122" s="134" t="s">
        <v>142</v>
      </c>
      <c r="L122" s="134" t="s">
        <v>142</v>
      </c>
      <c r="M122" s="136"/>
      <c r="N122" s="137"/>
    </row>
    <row r="123" hidden="1" outlineLevel="1">
      <c r="A123" s="113" t="s">
        <v>1651</v>
      </c>
      <c r="B123" s="115">
        <v>46095.0</v>
      </c>
      <c r="C123" s="118" t="str">
        <f t="shared" si="13"/>
        <v>Sat</v>
      </c>
      <c r="D123" s="128">
        <f t="shared" si="14"/>
        <v>1</v>
      </c>
      <c r="E123" s="131" t="s">
        <v>142</v>
      </c>
      <c r="F123" s="134" t="s">
        <v>142</v>
      </c>
      <c r="G123" s="134" t="s">
        <v>142</v>
      </c>
      <c r="H123" s="134" t="s">
        <v>142</v>
      </c>
      <c r="I123" s="134" t="s">
        <v>142</v>
      </c>
      <c r="J123" s="134" t="s">
        <v>142</v>
      </c>
      <c r="K123" s="134" t="s">
        <v>142</v>
      </c>
      <c r="L123" s="134" t="s">
        <v>142</v>
      </c>
      <c r="M123" s="136"/>
      <c r="N123" s="137"/>
    </row>
    <row r="124" ht="15.0" hidden="1" customHeight="1" outlineLevel="1">
      <c r="A124" s="113" t="s">
        <v>1653</v>
      </c>
      <c r="B124" s="115">
        <v>46095.0</v>
      </c>
      <c r="C124" s="118" t="str">
        <f t="shared" si="13"/>
        <v>Sat</v>
      </c>
      <c r="D124" s="143">
        <f t="shared" si="14"/>
        <v>1</v>
      </c>
      <c r="E124" s="144" t="s">
        <v>142</v>
      </c>
      <c r="F124" s="134" t="s">
        <v>142</v>
      </c>
      <c r="G124" s="134" t="s">
        <v>142</v>
      </c>
      <c r="H124" s="134" t="s">
        <v>142</v>
      </c>
      <c r="I124" s="134" t="s">
        <v>142</v>
      </c>
      <c r="J124" s="134" t="s">
        <v>142</v>
      </c>
      <c r="K124" s="134" t="s">
        <v>142</v>
      </c>
      <c r="L124" s="134" t="s">
        <v>142</v>
      </c>
      <c r="M124" s="136"/>
      <c r="N124" s="131"/>
    </row>
    <row r="125" hidden="1" outlineLevel="1">
      <c r="B125" s="215"/>
      <c r="C125" s="216" t="s">
        <v>199</v>
      </c>
      <c r="D125" s="217">
        <f>AVERAGE(D110:D124)</f>
        <v>1</v>
      </c>
      <c r="E125" s="472"/>
      <c r="L125" s="216" t="s">
        <v>199</v>
      </c>
      <c r="M125" s="217">
        <f>SUM(M110:M124)/75*0.1</f>
        <v>0</v>
      </c>
    </row>
    <row r="126" hidden="1" collapsed="1">
      <c r="A126" s="85" t="s">
        <v>1656</v>
      </c>
      <c r="B126" s="86"/>
      <c r="C126" s="86"/>
      <c r="D126" s="359"/>
      <c r="E126" s="89"/>
      <c r="F126" s="89"/>
      <c r="G126" s="91"/>
      <c r="H126" s="91"/>
      <c r="I126" s="91"/>
      <c r="J126" s="91"/>
      <c r="K126" s="91"/>
      <c r="L126" s="91"/>
      <c r="M126" s="93"/>
      <c r="N126" s="95"/>
    </row>
    <row r="127" hidden="1" outlineLevel="1">
      <c r="A127" s="96" t="s">
        <v>89</v>
      </c>
      <c r="B127" s="98" t="s">
        <v>90</v>
      </c>
      <c r="C127" s="98" t="s">
        <v>91</v>
      </c>
      <c r="D127" s="101" t="s">
        <v>93</v>
      </c>
      <c r="E127" s="102" t="s">
        <v>94</v>
      </c>
      <c r="F127" s="102" t="s">
        <v>95</v>
      </c>
      <c r="G127" s="105" t="s">
        <v>96</v>
      </c>
      <c r="H127" s="107" t="s">
        <v>97</v>
      </c>
      <c r="I127" s="107" t="s">
        <v>104</v>
      </c>
      <c r="J127" s="105" t="s">
        <v>106</v>
      </c>
      <c r="K127" s="107" t="s">
        <v>109</v>
      </c>
      <c r="L127" s="105" t="s">
        <v>111</v>
      </c>
      <c r="M127" s="98" t="s">
        <v>114</v>
      </c>
      <c r="N127" s="101" t="s">
        <v>116</v>
      </c>
    </row>
    <row r="128" hidden="1" outlineLevel="1">
      <c r="A128" s="398" t="s">
        <v>1658</v>
      </c>
      <c r="B128" s="115">
        <v>46097.0</v>
      </c>
      <c r="C128" s="118" t="str">
        <f t="shared" ref="C128:C142" si="15">IF(B128="", "", TEXT(B128, "ddd"))</f>
        <v>Mon</v>
      </c>
      <c r="D128" s="143">
        <f t="shared" ref="D128:D142" si="16">IF(E128="Yes",0.05,0)
+IF(F128="Yes",0.1,0)
+IF(G128="Yes",0.15,0)
+IF(H128="Yes",0.15,0)
+IF(I128="Yes",0.05,0)
+IF(J128="Yes",0.05,0)
+IF(K128="Yes",0.15,0)
+IF(L128="Yes",0.3,0)
</f>
        <v>1</v>
      </c>
      <c r="E128" s="144" t="s">
        <v>142</v>
      </c>
      <c r="F128" s="134" t="s">
        <v>142</v>
      </c>
      <c r="G128" s="134" t="s">
        <v>142</v>
      </c>
      <c r="H128" s="134" t="s">
        <v>142</v>
      </c>
      <c r="I128" s="134" t="s">
        <v>142</v>
      </c>
      <c r="J128" s="134" t="s">
        <v>142</v>
      </c>
      <c r="K128" s="134" t="s">
        <v>142</v>
      </c>
      <c r="L128" s="134" t="s">
        <v>142</v>
      </c>
      <c r="M128" s="136"/>
      <c r="N128" s="137"/>
    </row>
    <row r="129" hidden="1" outlineLevel="1">
      <c r="A129" s="398" t="s">
        <v>1660</v>
      </c>
      <c r="B129" s="115">
        <v>46097.0</v>
      </c>
      <c r="C129" s="118" t="str">
        <f t="shared" si="15"/>
        <v>Mon</v>
      </c>
      <c r="D129" s="128">
        <f t="shared" si="16"/>
        <v>1</v>
      </c>
      <c r="E129" s="131" t="s">
        <v>142</v>
      </c>
      <c r="F129" s="134" t="s">
        <v>142</v>
      </c>
      <c r="G129" s="134" t="s">
        <v>142</v>
      </c>
      <c r="H129" s="134" t="s">
        <v>142</v>
      </c>
      <c r="I129" s="134" t="s">
        <v>142</v>
      </c>
      <c r="J129" s="134" t="s">
        <v>142</v>
      </c>
      <c r="K129" s="134" t="s">
        <v>142</v>
      </c>
      <c r="L129" s="134" t="s">
        <v>142</v>
      </c>
      <c r="M129" s="136"/>
      <c r="N129" s="131"/>
    </row>
    <row r="130" hidden="1" outlineLevel="1">
      <c r="A130" s="398" t="s">
        <v>1662</v>
      </c>
      <c r="B130" s="115">
        <v>46097.0</v>
      </c>
      <c r="C130" s="118" t="str">
        <f t="shared" si="15"/>
        <v>Mon</v>
      </c>
      <c r="D130" s="143">
        <f t="shared" si="16"/>
        <v>1</v>
      </c>
      <c r="E130" s="144" t="s">
        <v>142</v>
      </c>
      <c r="F130" s="134" t="s">
        <v>142</v>
      </c>
      <c r="G130" s="134" t="s">
        <v>142</v>
      </c>
      <c r="H130" s="134" t="s">
        <v>142</v>
      </c>
      <c r="I130" s="134" t="s">
        <v>142</v>
      </c>
      <c r="J130" s="134" t="s">
        <v>142</v>
      </c>
      <c r="K130" s="134" t="s">
        <v>142</v>
      </c>
      <c r="L130" s="134" t="s">
        <v>142</v>
      </c>
      <c r="M130" s="136"/>
      <c r="N130" s="131"/>
    </row>
    <row r="131" hidden="1" outlineLevel="1">
      <c r="A131" s="422" t="s">
        <v>1663</v>
      </c>
      <c r="B131" s="115">
        <v>46098.0</v>
      </c>
      <c r="C131" s="118" t="str">
        <f t="shared" si="15"/>
        <v>Tue</v>
      </c>
      <c r="D131" s="128">
        <f t="shared" si="16"/>
        <v>1</v>
      </c>
      <c r="E131" s="131" t="s">
        <v>142</v>
      </c>
      <c r="F131" s="134" t="s">
        <v>142</v>
      </c>
      <c r="G131" s="134" t="s">
        <v>142</v>
      </c>
      <c r="H131" s="134" t="s">
        <v>142</v>
      </c>
      <c r="I131" s="134" t="s">
        <v>142</v>
      </c>
      <c r="J131" s="134" t="s">
        <v>142</v>
      </c>
      <c r="K131" s="134" t="s">
        <v>142</v>
      </c>
      <c r="L131" s="134" t="s">
        <v>142</v>
      </c>
      <c r="M131" s="136"/>
      <c r="N131" s="137"/>
    </row>
    <row r="132" hidden="1" outlineLevel="1">
      <c r="A132" s="422" t="s">
        <v>1665</v>
      </c>
      <c r="B132" s="115">
        <v>46098.0</v>
      </c>
      <c r="C132" s="118" t="str">
        <f t="shared" si="15"/>
        <v>Tue</v>
      </c>
      <c r="D132" s="143">
        <f t="shared" si="16"/>
        <v>1</v>
      </c>
      <c r="E132" s="144" t="s">
        <v>142</v>
      </c>
      <c r="F132" s="134" t="s">
        <v>142</v>
      </c>
      <c r="G132" s="134" t="s">
        <v>142</v>
      </c>
      <c r="H132" s="134" t="s">
        <v>142</v>
      </c>
      <c r="I132" s="134" t="s">
        <v>142</v>
      </c>
      <c r="J132" s="134" t="s">
        <v>142</v>
      </c>
      <c r="K132" s="134" t="s">
        <v>142</v>
      </c>
      <c r="L132" s="134" t="s">
        <v>142</v>
      </c>
      <c r="M132" s="136"/>
      <c r="N132" s="137"/>
    </row>
    <row r="133" hidden="1" outlineLevel="1">
      <c r="A133" s="422" t="s">
        <v>1667</v>
      </c>
      <c r="B133" s="115">
        <v>46098.0</v>
      </c>
      <c r="C133" s="118" t="str">
        <f t="shared" si="15"/>
        <v>Tue</v>
      </c>
      <c r="D133" s="128">
        <f t="shared" si="16"/>
        <v>1</v>
      </c>
      <c r="E133" s="131" t="s">
        <v>142</v>
      </c>
      <c r="F133" s="134" t="s">
        <v>142</v>
      </c>
      <c r="G133" s="134" t="s">
        <v>142</v>
      </c>
      <c r="H133" s="134" t="s">
        <v>142</v>
      </c>
      <c r="I133" s="134" t="s">
        <v>142</v>
      </c>
      <c r="J133" s="134" t="s">
        <v>142</v>
      </c>
      <c r="K133" s="134" t="s">
        <v>142</v>
      </c>
      <c r="L133" s="134" t="s">
        <v>142</v>
      </c>
      <c r="M133" s="136"/>
      <c r="N133" s="137"/>
    </row>
    <row r="134" hidden="1" outlineLevel="1">
      <c r="A134" s="398" t="s">
        <v>1670</v>
      </c>
      <c r="B134" s="115">
        <v>46100.0</v>
      </c>
      <c r="C134" s="118" t="str">
        <f t="shared" si="15"/>
        <v>Thu</v>
      </c>
      <c r="D134" s="143">
        <f t="shared" si="16"/>
        <v>1</v>
      </c>
      <c r="E134" s="144" t="s">
        <v>142</v>
      </c>
      <c r="F134" s="134" t="s">
        <v>142</v>
      </c>
      <c r="G134" s="134" t="s">
        <v>142</v>
      </c>
      <c r="H134" s="134" t="s">
        <v>142</v>
      </c>
      <c r="I134" s="134" t="s">
        <v>142</v>
      </c>
      <c r="J134" s="134" t="s">
        <v>142</v>
      </c>
      <c r="K134" s="134" t="s">
        <v>142</v>
      </c>
      <c r="L134" s="134" t="s">
        <v>142</v>
      </c>
      <c r="M134" s="136"/>
      <c r="N134" s="137"/>
    </row>
    <row r="135" hidden="1" outlineLevel="1">
      <c r="A135" s="398" t="s">
        <v>1672</v>
      </c>
      <c r="B135" s="115">
        <v>46100.0</v>
      </c>
      <c r="C135" s="118" t="str">
        <f t="shared" si="15"/>
        <v>Thu</v>
      </c>
      <c r="D135" s="128">
        <f t="shared" si="16"/>
        <v>1</v>
      </c>
      <c r="E135" s="131" t="s">
        <v>142</v>
      </c>
      <c r="F135" s="134" t="s">
        <v>142</v>
      </c>
      <c r="G135" s="134" t="s">
        <v>142</v>
      </c>
      <c r="H135" s="134" t="s">
        <v>142</v>
      </c>
      <c r="I135" s="134" t="s">
        <v>142</v>
      </c>
      <c r="J135" s="134" t="s">
        <v>142</v>
      </c>
      <c r="K135" s="134" t="s">
        <v>142</v>
      </c>
      <c r="L135" s="134" t="s">
        <v>142</v>
      </c>
      <c r="M135" s="136"/>
      <c r="N135" s="131"/>
    </row>
    <row r="136" hidden="1" outlineLevel="1">
      <c r="A136" s="398" t="s">
        <v>1676</v>
      </c>
      <c r="B136" s="115">
        <v>46100.0</v>
      </c>
      <c r="C136" s="118" t="str">
        <f t="shared" si="15"/>
        <v>Thu</v>
      </c>
      <c r="D136" s="143">
        <f t="shared" si="16"/>
        <v>1</v>
      </c>
      <c r="E136" s="144" t="s">
        <v>142</v>
      </c>
      <c r="F136" s="134" t="s">
        <v>142</v>
      </c>
      <c r="G136" s="134" t="s">
        <v>142</v>
      </c>
      <c r="H136" s="134" t="s">
        <v>142</v>
      </c>
      <c r="I136" s="134" t="s">
        <v>142</v>
      </c>
      <c r="J136" s="134" t="s">
        <v>142</v>
      </c>
      <c r="K136" s="134" t="s">
        <v>142</v>
      </c>
      <c r="L136" s="134" t="s">
        <v>142</v>
      </c>
      <c r="M136" s="136"/>
      <c r="N136" s="137"/>
    </row>
    <row r="137" hidden="1" outlineLevel="1">
      <c r="A137" s="397" t="s">
        <v>1679</v>
      </c>
      <c r="B137" s="115">
        <v>46101.0</v>
      </c>
      <c r="C137" s="118" t="str">
        <f t="shared" si="15"/>
        <v>Fri</v>
      </c>
      <c r="D137" s="128">
        <f t="shared" si="16"/>
        <v>1</v>
      </c>
      <c r="E137" s="131" t="s">
        <v>142</v>
      </c>
      <c r="F137" s="134" t="s">
        <v>142</v>
      </c>
      <c r="G137" s="134" t="s">
        <v>142</v>
      </c>
      <c r="H137" s="134" t="s">
        <v>142</v>
      </c>
      <c r="I137" s="134" t="s">
        <v>142</v>
      </c>
      <c r="J137" s="134" t="s">
        <v>142</v>
      </c>
      <c r="K137" s="134" t="s">
        <v>142</v>
      </c>
      <c r="L137" s="134" t="s">
        <v>142</v>
      </c>
      <c r="M137" s="136"/>
      <c r="N137" s="131"/>
    </row>
    <row r="138" hidden="1" outlineLevel="1">
      <c r="A138" s="397" t="s">
        <v>1681</v>
      </c>
      <c r="B138" s="115">
        <v>46101.0</v>
      </c>
      <c r="C138" s="118" t="str">
        <f t="shared" si="15"/>
        <v>Fri</v>
      </c>
      <c r="D138" s="143">
        <f t="shared" si="16"/>
        <v>1</v>
      </c>
      <c r="E138" s="144" t="s">
        <v>142</v>
      </c>
      <c r="F138" s="134" t="s">
        <v>142</v>
      </c>
      <c r="G138" s="134" t="s">
        <v>142</v>
      </c>
      <c r="H138" s="134" t="s">
        <v>142</v>
      </c>
      <c r="I138" s="134" t="s">
        <v>142</v>
      </c>
      <c r="J138" s="134" t="s">
        <v>142</v>
      </c>
      <c r="K138" s="134" t="s">
        <v>142</v>
      </c>
      <c r="L138" s="134" t="s">
        <v>142</v>
      </c>
      <c r="M138" s="136"/>
      <c r="N138" s="131"/>
    </row>
    <row r="139" hidden="1" outlineLevel="1">
      <c r="A139" s="397" t="s">
        <v>1683</v>
      </c>
      <c r="B139" s="115">
        <v>46101.0</v>
      </c>
      <c r="C139" s="118" t="str">
        <f t="shared" si="15"/>
        <v>Fri</v>
      </c>
      <c r="D139" s="128">
        <f t="shared" si="16"/>
        <v>1</v>
      </c>
      <c r="E139" s="131" t="s">
        <v>142</v>
      </c>
      <c r="F139" s="134" t="s">
        <v>142</v>
      </c>
      <c r="G139" s="134" t="s">
        <v>142</v>
      </c>
      <c r="H139" s="134" t="s">
        <v>142</v>
      </c>
      <c r="I139" s="134" t="s">
        <v>142</v>
      </c>
      <c r="J139" s="134" t="s">
        <v>142</v>
      </c>
      <c r="K139" s="134" t="s">
        <v>142</v>
      </c>
      <c r="L139" s="134" t="s">
        <v>142</v>
      </c>
      <c r="M139" s="136"/>
      <c r="N139" s="131"/>
    </row>
    <row r="140" hidden="1" outlineLevel="1">
      <c r="A140" s="398" t="s">
        <v>1686</v>
      </c>
      <c r="B140" s="115">
        <v>46102.0</v>
      </c>
      <c r="C140" s="118" t="str">
        <f t="shared" si="15"/>
        <v>Sat</v>
      </c>
      <c r="D140" s="143">
        <f t="shared" si="16"/>
        <v>1</v>
      </c>
      <c r="E140" s="144" t="s">
        <v>142</v>
      </c>
      <c r="F140" s="134" t="s">
        <v>142</v>
      </c>
      <c r="G140" s="134" t="s">
        <v>142</v>
      </c>
      <c r="H140" s="134" t="s">
        <v>142</v>
      </c>
      <c r="I140" s="134" t="s">
        <v>142</v>
      </c>
      <c r="J140" s="134" t="s">
        <v>142</v>
      </c>
      <c r="K140" s="134" t="s">
        <v>142</v>
      </c>
      <c r="L140" s="134" t="s">
        <v>142</v>
      </c>
      <c r="M140" s="136"/>
      <c r="N140" s="137"/>
    </row>
    <row r="141" hidden="1" outlineLevel="1">
      <c r="A141" s="398" t="s">
        <v>1687</v>
      </c>
      <c r="B141" s="115">
        <v>46102.0</v>
      </c>
      <c r="C141" s="118" t="str">
        <f t="shared" si="15"/>
        <v>Sat</v>
      </c>
      <c r="D141" s="128">
        <f t="shared" si="16"/>
        <v>1</v>
      </c>
      <c r="E141" s="131" t="s">
        <v>142</v>
      </c>
      <c r="F141" s="134" t="s">
        <v>142</v>
      </c>
      <c r="G141" s="134" t="s">
        <v>142</v>
      </c>
      <c r="H141" s="134" t="s">
        <v>142</v>
      </c>
      <c r="I141" s="134" t="s">
        <v>142</v>
      </c>
      <c r="J141" s="134" t="s">
        <v>142</v>
      </c>
      <c r="K141" s="134" t="s">
        <v>142</v>
      </c>
      <c r="L141" s="134" t="s">
        <v>142</v>
      </c>
      <c r="M141" s="136"/>
      <c r="N141" s="137"/>
    </row>
    <row r="142" ht="15.0" hidden="1" customHeight="1" outlineLevel="1">
      <c r="A142" s="398" t="s">
        <v>1688</v>
      </c>
      <c r="B142" s="115">
        <v>46102.0</v>
      </c>
      <c r="C142" s="118" t="str">
        <f t="shared" si="15"/>
        <v>Sat</v>
      </c>
      <c r="D142" s="143">
        <f t="shared" si="16"/>
        <v>1</v>
      </c>
      <c r="E142" s="144" t="s">
        <v>142</v>
      </c>
      <c r="F142" s="134" t="s">
        <v>142</v>
      </c>
      <c r="G142" s="134" t="s">
        <v>142</v>
      </c>
      <c r="H142" s="134" t="s">
        <v>142</v>
      </c>
      <c r="I142" s="134" t="s">
        <v>142</v>
      </c>
      <c r="J142" s="134" t="s">
        <v>142</v>
      </c>
      <c r="K142" s="134" t="s">
        <v>142</v>
      </c>
      <c r="L142" s="134" t="s">
        <v>142</v>
      </c>
      <c r="M142" s="136"/>
      <c r="N142" s="131"/>
    </row>
    <row r="143" hidden="1" outlineLevel="1">
      <c r="B143" s="215"/>
      <c r="C143" s="216" t="s">
        <v>199</v>
      </c>
      <c r="D143" s="217">
        <f>AVERAGE(D128:D142)</f>
        <v>1</v>
      </c>
      <c r="E143" s="472"/>
      <c r="L143" s="216" t="s">
        <v>199</v>
      </c>
      <c r="M143" s="217">
        <f>SUM(M128:M142)/75*0.1</f>
        <v>0</v>
      </c>
    </row>
    <row r="144" hidden="1" collapsed="1">
      <c r="A144" s="85" t="s">
        <v>1689</v>
      </c>
      <c r="B144" s="86"/>
      <c r="C144" s="86"/>
      <c r="D144" s="359"/>
      <c r="E144" s="89"/>
      <c r="F144" s="89"/>
      <c r="G144" s="91"/>
      <c r="H144" s="91"/>
      <c r="I144" s="91"/>
      <c r="J144" s="91"/>
      <c r="K144" s="91"/>
      <c r="L144" s="91"/>
      <c r="M144" s="93"/>
      <c r="N144" s="95"/>
    </row>
    <row r="145" hidden="1" outlineLevel="1">
      <c r="A145" s="96" t="s">
        <v>89</v>
      </c>
      <c r="B145" s="98" t="s">
        <v>90</v>
      </c>
      <c r="C145" s="98" t="s">
        <v>91</v>
      </c>
      <c r="D145" s="101" t="s">
        <v>93</v>
      </c>
      <c r="E145" s="102" t="s">
        <v>94</v>
      </c>
      <c r="F145" s="102" t="s">
        <v>95</v>
      </c>
      <c r="G145" s="105" t="s">
        <v>96</v>
      </c>
      <c r="H145" s="107" t="s">
        <v>97</v>
      </c>
      <c r="I145" s="107" t="s">
        <v>104</v>
      </c>
      <c r="J145" s="105" t="s">
        <v>106</v>
      </c>
      <c r="K145" s="107" t="s">
        <v>109</v>
      </c>
      <c r="L145" s="105" t="s">
        <v>111</v>
      </c>
      <c r="M145" s="98" t="s">
        <v>114</v>
      </c>
      <c r="N145" s="101" t="s">
        <v>116</v>
      </c>
    </row>
    <row r="146" hidden="1" outlineLevel="1">
      <c r="A146" s="398" t="s">
        <v>1690</v>
      </c>
      <c r="B146" s="115">
        <v>46104.0</v>
      </c>
      <c r="C146" s="118" t="str">
        <f t="shared" ref="C146:C160" si="17">IF(B146="", "", TEXT(B146, "ddd"))</f>
        <v>Mon</v>
      </c>
      <c r="D146" s="143">
        <f t="shared" ref="D146:D160" si="18">IF(E146="Yes",0.05,0)
+IF(F146="Yes",0.1,0)
+IF(G146="Yes",0.15,0)
+IF(H146="Yes",0.15,0)
+IF(I146="Yes",0.05,0)
+IF(J146="Yes",0.05,0)
+IF(K146="Yes",0.15,0)
+IF(L146="Yes",0.3,0)
</f>
        <v>1</v>
      </c>
      <c r="E146" s="144" t="s">
        <v>142</v>
      </c>
      <c r="F146" s="134" t="s">
        <v>142</v>
      </c>
      <c r="G146" s="134" t="s">
        <v>142</v>
      </c>
      <c r="H146" s="134" t="s">
        <v>142</v>
      </c>
      <c r="I146" s="134" t="s">
        <v>142</v>
      </c>
      <c r="J146" s="134" t="s">
        <v>142</v>
      </c>
      <c r="K146" s="134" t="s">
        <v>142</v>
      </c>
      <c r="L146" s="134" t="s">
        <v>142</v>
      </c>
      <c r="M146" s="136"/>
      <c r="N146" s="137"/>
    </row>
    <row r="147" hidden="1" outlineLevel="1">
      <c r="A147" s="398" t="s">
        <v>1691</v>
      </c>
      <c r="B147" s="115">
        <v>46104.0</v>
      </c>
      <c r="C147" s="118" t="str">
        <f t="shared" si="17"/>
        <v>Mon</v>
      </c>
      <c r="D147" s="128">
        <f t="shared" si="18"/>
        <v>1</v>
      </c>
      <c r="E147" s="131" t="s">
        <v>142</v>
      </c>
      <c r="F147" s="134" t="s">
        <v>142</v>
      </c>
      <c r="G147" s="134" t="s">
        <v>142</v>
      </c>
      <c r="H147" s="134" t="s">
        <v>142</v>
      </c>
      <c r="I147" s="134" t="s">
        <v>142</v>
      </c>
      <c r="J147" s="134" t="s">
        <v>142</v>
      </c>
      <c r="K147" s="134" t="s">
        <v>142</v>
      </c>
      <c r="L147" s="134" t="s">
        <v>142</v>
      </c>
      <c r="M147" s="136"/>
      <c r="N147" s="131"/>
    </row>
    <row r="148" hidden="1" outlineLevel="1">
      <c r="A148" s="398" t="s">
        <v>1692</v>
      </c>
      <c r="B148" s="115">
        <v>46104.0</v>
      </c>
      <c r="C148" s="118" t="str">
        <f t="shared" si="17"/>
        <v>Mon</v>
      </c>
      <c r="D148" s="143">
        <f t="shared" si="18"/>
        <v>1</v>
      </c>
      <c r="E148" s="144" t="s">
        <v>142</v>
      </c>
      <c r="F148" s="134" t="s">
        <v>142</v>
      </c>
      <c r="G148" s="134" t="s">
        <v>142</v>
      </c>
      <c r="H148" s="134" t="s">
        <v>142</v>
      </c>
      <c r="I148" s="134" t="s">
        <v>142</v>
      </c>
      <c r="J148" s="134" t="s">
        <v>142</v>
      </c>
      <c r="K148" s="134" t="s">
        <v>142</v>
      </c>
      <c r="L148" s="134" t="s">
        <v>142</v>
      </c>
      <c r="M148" s="136"/>
      <c r="N148" s="131"/>
    </row>
    <row r="149" hidden="1" outlineLevel="1">
      <c r="A149" s="422" t="s">
        <v>1693</v>
      </c>
      <c r="B149" s="115">
        <v>46105.0</v>
      </c>
      <c r="C149" s="118" t="str">
        <f t="shared" si="17"/>
        <v>Tue</v>
      </c>
      <c r="D149" s="128">
        <f t="shared" si="18"/>
        <v>1</v>
      </c>
      <c r="E149" s="131" t="s">
        <v>142</v>
      </c>
      <c r="F149" s="134" t="s">
        <v>142</v>
      </c>
      <c r="G149" s="134" t="s">
        <v>142</v>
      </c>
      <c r="H149" s="134" t="s">
        <v>142</v>
      </c>
      <c r="I149" s="134" t="s">
        <v>142</v>
      </c>
      <c r="J149" s="134" t="s">
        <v>142</v>
      </c>
      <c r="K149" s="134" t="s">
        <v>142</v>
      </c>
      <c r="L149" s="134" t="s">
        <v>142</v>
      </c>
      <c r="M149" s="136"/>
      <c r="N149" s="137"/>
    </row>
    <row r="150" hidden="1" outlineLevel="1">
      <c r="A150" s="422" t="s">
        <v>1694</v>
      </c>
      <c r="B150" s="115">
        <v>46105.0</v>
      </c>
      <c r="C150" s="118" t="str">
        <f t="shared" si="17"/>
        <v>Tue</v>
      </c>
      <c r="D150" s="143">
        <f t="shared" si="18"/>
        <v>1</v>
      </c>
      <c r="E150" s="144" t="s">
        <v>142</v>
      </c>
      <c r="F150" s="134" t="s">
        <v>142</v>
      </c>
      <c r="G150" s="134" t="s">
        <v>142</v>
      </c>
      <c r="H150" s="134" t="s">
        <v>142</v>
      </c>
      <c r="I150" s="134" t="s">
        <v>142</v>
      </c>
      <c r="J150" s="134" t="s">
        <v>142</v>
      </c>
      <c r="K150" s="134" t="s">
        <v>142</v>
      </c>
      <c r="L150" s="134" t="s">
        <v>142</v>
      </c>
      <c r="M150" s="136"/>
      <c r="N150" s="137"/>
    </row>
    <row r="151" hidden="1" outlineLevel="1">
      <c r="A151" s="422" t="s">
        <v>1695</v>
      </c>
      <c r="B151" s="115">
        <v>46105.0</v>
      </c>
      <c r="C151" s="118" t="str">
        <f t="shared" si="17"/>
        <v>Tue</v>
      </c>
      <c r="D151" s="128">
        <f t="shared" si="18"/>
        <v>1</v>
      </c>
      <c r="E151" s="131" t="s">
        <v>142</v>
      </c>
      <c r="F151" s="134" t="s">
        <v>142</v>
      </c>
      <c r="G151" s="134" t="s">
        <v>142</v>
      </c>
      <c r="H151" s="134" t="s">
        <v>142</v>
      </c>
      <c r="I151" s="134" t="s">
        <v>142</v>
      </c>
      <c r="J151" s="134" t="s">
        <v>142</v>
      </c>
      <c r="K151" s="134" t="s">
        <v>142</v>
      </c>
      <c r="L151" s="134" t="s">
        <v>142</v>
      </c>
      <c r="M151" s="136"/>
      <c r="N151" s="137"/>
    </row>
    <row r="152" hidden="1" outlineLevel="1">
      <c r="A152" s="398" t="s">
        <v>1696</v>
      </c>
      <c r="B152" s="115">
        <v>46107.0</v>
      </c>
      <c r="C152" s="118" t="str">
        <f t="shared" si="17"/>
        <v>Thu</v>
      </c>
      <c r="D152" s="143">
        <f t="shared" si="18"/>
        <v>1</v>
      </c>
      <c r="E152" s="144" t="s">
        <v>142</v>
      </c>
      <c r="F152" s="134" t="s">
        <v>142</v>
      </c>
      <c r="G152" s="134" t="s">
        <v>142</v>
      </c>
      <c r="H152" s="134" t="s">
        <v>142</v>
      </c>
      <c r="I152" s="134" t="s">
        <v>142</v>
      </c>
      <c r="J152" s="134" t="s">
        <v>142</v>
      </c>
      <c r="K152" s="134" t="s">
        <v>142</v>
      </c>
      <c r="L152" s="134" t="s">
        <v>142</v>
      </c>
      <c r="M152" s="136"/>
      <c r="N152" s="137"/>
    </row>
    <row r="153" hidden="1" outlineLevel="1">
      <c r="A153" s="398" t="s">
        <v>1697</v>
      </c>
      <c r="B153" s="115">
        <v>46107.0</v>
      </c>
      <c r="C153" s="118" t="str">
        <f t="shared" si="17"/>
        <v>Thu</v>
      </c>
      <c r="D153" s="128">
        <f t="shared" si="18"/>
        <v>1</v>
      </c>
      <c r="E153" s="131" t="s">
        <v>142</v>
      </c>
      <c r="F153" s="134" t="s">
        <v>142</v>
      </c>
      <c r="G153" s="134" t="s">
        <v>142</v>
      </c>
      <c r="H153" s="134" t="s">
        <v>142</v>
      </c>
      <c r="I153" s="134" t="s">
        <v>142</v>
      </c>
      <c r="J153" s="134" t="s">
        <v>142</v>
      </c>
      <c r="K153" s="134" t="s">
        <v>142</v>
      </c>
      <c r="L153" s="134" t="s">
        <v>142</v>
      </c>
      <c r="M153" s="136"/>
      <c r="N153" s="131"/>
    </row>
    <row r="154" hidden="1" outlineLevel="1">
      <c r="A154" s="398" t="s">
        <v>1698</v>
      </c>
      <c r="B154" s="115">
        <v>46107.0</v>
      </c>
      <c r="C154" s="118" t="str">
        <f t="shared" si="17"/>
        <v>Thu</v>
      </c>
      <c r="D154" s="143">
        <f t="shared" si="18"/>
        <v>1</v>
      </c>
      <c r="E154" s="144" t="s">
        <v>142</v>
      </c>
      <c r="F154" s="134" t="s">
        <v>142</v>
      </c>
      <c r="G154" s="134" t="s">
        <v>142</v>
      </c>
      <c r="H154" s="134" t="s">
        <v>142</v>
      </c>
      <c r="I154" s="134" t="s">
        <v>142</v>
      </c>
      <c r="J154" s="134" t="s">
        <v>142</v>
      </c>
      <c r="K154" s="134" t="s">
        <v>142</v>
      </c>
      <c r="L154" s="134" t="s">
        <v>142</v>
      </c>
      <c r="M154" s="136"/>
      <c r="N154" s="137"/>
    </row>
    <row r="155" hidden="1" outlineLevel="1">
      <c r="A155" s="422" t="s">
        <v>944</v>
      </c>
      <c r="B155" s="115">
        <v>46108.0</v>
      </c>
      <c r="C155" s="118" t="str">
        <f t="shared" si="17"/>
        <v>Fri</v>
      </c>
      <c r="D155" s="128">
        <f t="shared" si="18"/>
        <v>1</v>
      </c>
      <c r="E155" s="131" t="s">
        <v>142</v>
      </c>
      <c r="F155" s="134" t="s">
        <v>142</v>
      </c>
      <c r="G155" s="134" t="s">
        <v>142</v>
      </c>
      <c r="H155" s="134" t="s">
        <v>142</v>
      </c>
      <c r="I155" s="134" t="s">
        <v>142</v>
      </c>
      <c r="J155" s="134" t="s">
        <v>142</v>
      </c>
      <c r="K155" s="134" t="s">
        <v>142</v>
      </c>
      <c r="L155" s="134" t="s">
        <v>142</v>
      </c>
      <c r="M155" s="136"/>
      <c r="N155" s="131"/>
    </row>
    <row r="156" hidden="1" outlineLevel="1">
      <c r="A156" s="422" t="s">
        <v>944</v>
      </c>
      <c r="B156" s="115">
        <v>46108.0</v>
      </c>
      <c r="C156" s="118" t="str">
        <f t="shared" si="17"/>
        <v>Fri</v>
      </c>
      <c r="D156" s="143">
        <f t="shared" si="18"/>
        <v>1</v>
      </c>
      <c r="E156" s="144" t="s">
        <v>142</v>
      </c>
      <c r="F156" s="134" t="s">
        <v>142</v>
      </c>
      <c r="G156" s="134" t="s">
        <v>142</v>
      </c>
      <c r="H156" s="134" t="s">
        <v>142</v>
      </c>
      <c r="I156" s="134" t="s">
        <v>142</v>
      </c>
      <c r="J156" s="134" t="s">
        <v>142</v>
      </c>
      <c r="K156" s="134" t="s">
        <v>142</v>
      </c>
      <c r="L156" s="134" t="s">
        <v>142</v>
      </c>
      <c r="M156" s="136"/>
      <c r="N156" s="131"/>
    </row>
    <row r="157" hidden="1" outlineLevel="1">
      <c r="A157" s="422" t="s">
        <v>944</v>
      </c>
      <c r="B157" s="115">
        <v>46108.0</v>
      </c>
      <c r="C157" s="118" t="str">
        <f t="shared" si="17"/>
        <v>Fri</v>
      </c>
      <c r="D157" s="128">
        <f t="shared" si="18"/>
        <v>1</v>
      </c>
      <c r="E157" s="131" t="s">
        <v>142</v>
      </c>
      <c r="F157" s="134" t="s">
        <v>142</v>
      </c>
      <c r="G157" s="134" t="s">
        <v>142</v>
      </c>
      <c r="H157" s="134" t="s">
        <v>142</v>
      </c>
      <c r="I157" s="134" t="s">
        <v>142</v>
      </c>
      <c r="J157" s="134" t="s">
        <v>142</v>
      </c>
      <c r="K157" s="134" t="s">
        <v>142</v>
      </c>
      <c r="L157" s="134" t="s">
        <v>142</v>
      </c>
      <c r="M157" s="136"/>
      <c r="N157" s="131"/>
    </row>
    <row r="158" hidden="1" outlineLevel="1">
      <c r="A158" s="398" t="s">
        <v>1699</v>
      </c>
      <c r="B158" s="115">
        <v>46110.0</v>
      </c>
      <c r="C158" s="118" t="str">
        <f t="shared" si="17"/>
        <v>Sun</v>
      </c>
      <c r="D158" s="143">
        <f t="shared" si="18"/>
        <v>1</v>
      </c>
      <c r="E158" s="144" t="s">
        <v>142</v>
      </c>
      <c r="F158" s="134" t="s">
        <v>142</v>
      </c>
      <c r="G158" s="134" t="s">
        <v>142</v>
      </c>
      <c r="H158" s="134" t="s">
        <v>142</v>
      </c>
      <c r="I158" s="134" t="s">
        <v>142</v>
      </c>
      <c r="J158" s="134" t="s">
        <v>142</v>
      </c>
      <c r="K158" s="134" t="s">
        <v>142</v>
      </c>
      <c r="L158" s="134" t="s">
        <v>142</v>
      </c>
      <c r="M158" s="136"/>
      <c r="N158" s="137"/>
    </row>
    <row r="159" hidden="1" outlineLevel="1">
      <c r="A159" s="398" t="s">
        <v>1700</v>
      </c>
      <c r="B159" s="115">
        <v>46110.0</v>
      </c>
      <c r="C159" s="118" t="str">
        <f t="shared" si="17"/>
        <v>Sun</v>
      </c>
      <c r="D159" s="128">
        <f t="shared" si="18"/>
        <v>1</v>
      </c>
      <c r="E159" s="131" t="s">
        <v>142</v>
      </c>
      <c r="F159" s="134" t="s">
        <v>142</v>
      </c>
      <c r="G159" s="134" t="s">
        <v>142</v>
      </c>
      <c r="H159" s="134" t="s">
        <v>142</v>
      </c>
      <c r="I159" s="134" t="s">
        <v>142</v>
      </c>
      <c r="J159" s="134" t="s">
        <v>142</v>
      </c>
      <c r="K159" s="134" t="s">
        <v>142</v>
      </c>
      <c r="L159" s="134" t="s">
        <v>142</v>
      </c>
      <c r="M159" s="136"/>
      <c r="N159" s="137"/>
    </row>
    <row r="160" ht="15.0" hidden="1" customHeight="1" outlineLevel="1">
      <c r="A160" s="398" t="s">
        <v>1701</v>
      </c>
      <c r="B160" s="115">
        <v>46110.0</v>
      </c>
      <c r="C160" s="118" t="str">
        <f t="shared" si="17"/>
        <v>Sun</v>
      </c>
      <c r="D160" s="143">
        <f t="shared" si="18"/>
        <v>1</v>
      </c>
      <c r="E160" s="144" t="s">
        <v>142</v>
      </c>
      <c r="F160" s="134" t="s">
        <v>142</v>
      </c>
      <c r="G160" s="134" t="s">
        <v>142</v>
      </c>
      <c r="H160" s="134" t="s">
        <v>142</v>
      </c>
      <c r="I160" s="134" t="s">
        <v>142</v>
      </c>
      <c r="J160" s="134" t="s">
        <v>142</v>
      </c>
      <c r="K160" s="134" t="s">
        <v>142</v>
      </c>
      <c r="L160" s="134" t="s">
        <v>142</v>
      </c>
      <c r="M160" s="136"/>
      <c r="N160" s="131"/>
    </row>
    <row r="161" hidden="1" outlineLevel="1">
      <c r="B161" s="215"/>
      <c r="C161" s="216" t="s">
        <v>199</v>
      </c>
      <c r="D161" s="217">
        <f>AVERAGE(D146:D160)</f>
        <v>1</v>
      </c>
      <c r="E161" s="472"/>
      <c r="L161" s="216" t="s">
        <v>199</v>
      </c>
      <c r="M161" s="217">
        <f>SUM(M146:M160)/75*0.1</f>
        <v>0</v>
      </c>
    </row>
    <row r="162" hidden="1" collapsed="1">
      <c r="A162" s="85" t="s">
        <v>1702</v>
      </c>
      <c r="B162" s="86"/>
      <c r="C162" s="86"/>
      <c r="D162" s="359"/>
      <c r="E162" s="89"/>
      <c r="F162" s="89"/>
      <c r="G162" s="91"/>
      <c r="H162" s="91"/>
      <c r="I162" s="91"/>
      <c r="J162" s="91"/>
      <c r="K162" s="91"/>
      <c r="L162" s="91"/>
      <c r="M162" s="93"/>
      <c r="N162" s="95"/>
    </row>
    <row r="163" hidden="1" outlineLevel="1">
      <c r="A163" s="96" t="s">
        <v>89</v>
      </c>
      <c r="B163" s="98" t="s">
        <v>90</v>
      </c>
      <c r="C163" s="98" t="s">
        <v>91</v>
      </c>
      <c r="D163" s="101" t="s">
        <v>93</v>
      </c>
      <c r="E163" s="102" t="s">
        <v>94</v>
      </c>
      <c r="F163" s="102" t="s">
        <v>95</v>
      </c>
      <c r="G163" s="105" t="s">
        <v>96</v>
      </c>
      <c r="H163" s="107" t="s">
        <v>97</v>
      </c>
      <c r="I163" s="107" t="s">
        <v>104</v>
      </c>
      <c r="J163" s="105" t="s">
        <v>106</v>
      </c>
      <c r="K163" s="107" t="s">
        <v>109</v>
      </c>
      <c r="L163" s="105" t="s">
        <v>111</v>
      </c>
      <c r="M163" s="98" t="s">
        <v>114</v>
      </c>
      <c r="N163" s="101" t="s">
        <v>116</v>
      </c>
    </row>
    <row r="164" hidden="1" outlineLevel="1">
      <c r="A164" s="398" t="s">
        <v>1704</v>
      </c>
      <c r="B164" s="115">
        <v>46111.0</v>
      </c>
      <c r="C164" s="118" t="str">
        <f t="shared" ref="C164:C178" si="19">IF(B164="", "", TEXT(B164, "ddd"))</f>
        <v>Mon</v>
      </c>
      <c r="D164" s="143">
        <f t="shared" ref="D164:D178" si="20">IF(E164="Yes",0.05,0)
+IF(F164="Yes",0.1,0)
+IF(G164="Yes",0.15,0)
+IF(H164="Yes",0.15,0)
+IF(I164="Yes",0.05,0)
+IF(J164="Yes",0.05,0)
+IF(K164="Yes",0.15,0)
+IF(L164="Yes",0.3,0)
</f>
        <v>1</v>
      </c>
      <c r="E164" s="144" t="s">
        <v>142</v>
      </c>
      <c r="F164" s="134" t="s">
        <v>142</v>
      </c>
      <c r="G164" s="134" t="s">
        <v>142</v>
      </c>
      <c r="H164" s="134" t="s">
        <v>142</v>
      </c>
      <c r="I164" s="134" t="s">
        <v>142</v>
      </c>
      <c r="J164" s="134" t="s">
        <v>142</v>
      </c>
      <c r="K164" s="134" t="s">
        <v>142</v>
      </c>
      <c r="L164" s="134" t="s">
        <v>142</v>
      </c>
      <c r="M164" s="136"/>
      <c r="N164" s="137"/>
    </row>
    <row r="165" hidden="1" outlineLevel="1">
      <c r="A165" s="398" t="s">
        <v>1705</v>
      </c>
      <c r="B165" s="115">
        <v>46111.0</v>
      </c>
      <c r="C165" s="118" t="str">
        <f t="shared" si="19"/>
        <v>Mon</v>
      </c>
      <c r="D165" s="128">
        <f t="shared" si="20"/>
        <v>1</v>
      </c>
      <c r="E165" s="131" t="s">
        <v>142</v>
      </c>
      <c r="F165" s="134" t="s">
        <v>142</v>
      </c>
      <c r="G165" s="134" t="s">
        <v>142</v>
      </c>
      <c r="H165" s="134" t="s">
        <v>142</v>
      </c>
      <c r="I165" s="134" t="s">
        <v>142</v>
      </c>
      <c r="J165" s="134" t="s">
        <v>142</v>
      </c>
      <c r="K165" s="134" t="s">
        <v>142</v>
      </c>
      <c r="L165" s="134" t="s">
        <v>142</v>
      </c>
      <c r="M165" s="136"/>
      <c r="N165" s="131"/>
    </row>
    <row r="166" hidden="1" outlineLevel="1">
      <c r="A166" s="398" t="s">
        <v>1706</v>
      </c>
      <c r="B166" s="115">
        <v>46111.0</v>
      </c>
      <c r="C166" s="118" t="str">
        <f t="shared" si="19"/>
        <v>Mon</v>
      </c>
      <c r="D166" s="143">
        <f t="shared" si="20"/>
        <v>1</v>
      </c>
      <c r="E166" s="144" t="s">
        <v>142</v>
      </c>
      <c r="F166" s="134" t="s">
        <v>142</v>
      </c>
      <c r="G166" s="134" t="s">
        <v>142</v>
      </c>
      <c r="H166" s="134" t="s">
        <v>142</v>
      </c>
      <c r="I166" s="134" t="s">
        <v>142</v>
      </c>
      <c r="J166" s="134" t="s">
        <v>142</v>
      </c>
      <c r="K166" s="134" t="s">
        <v>142</v>
      </c>
      <c r="L166" s="134" t="s">
        <v>142</v>
      </c>
      <c r="M166" s="136"/>
      <c r="N166" s="131"/>
    </row>
    <row r="167" hidden="1" outlineLevel="1">
      <c r="A167" s="397" t="s">
        <v>1707</v>
      </c>
      <c r="B167" s="115">
        <v>46112.0</v>
      </c>
      <c r="C167" s="118" t="str">
        <f t="shared" si="19"/>
        <v>Tue</v>
      </c>
      <c r="D167" s="128">
        <f t="shared" si="20"/>
        <v>1</v>
      </c>
      <c r="E167" s="131" t="s">
        <v>142</v>
      </c>
      <c r="F167" s="134" t="s">
        <v>142</v>
      </c>
      <c r="G167" s="134" t="s">
        <v>142</v>
      </c>
      <c r="H167" s="134" t="s">
        <v>142</v>
      </c>
      <c r="I167" s="134" t="s">
        <v>142</v>
      </c>
      <c r="J167" s="134" t="s">
        <v>142</v>
      </c>
      <c r="K167" s="134" t="s">
        <v>142</v>
      </c>
      <c r="L167" s="134" t="s">
        <v>142</v>
      </c>
      <c r="M167" s="136"/>
      <c r="N167" s="137"/>
    </row>
    <row r="168" hidden="1" outlineLevel="1">
      <c r="A168" s="397" t="s">
        <v>1708</v>
      </c>
      <c r="B168" s="115">
        <v>46112.0</v>
      </c>
      <c r="C168" s="118" t="str">
        <f t="shared" si="19"/>
        <v>Tue</v>
      </c>
      <c r="D168" s="143">
        <f t="shared" si="20"/>
        <v>1</v>
      </c>
      <c r="E168" s="144" t="s">
        <v>142</v>
      </c>
      <c r="F168" s="134" t="s">
        <v>142</v>
      </c>
      <c r="G168" s="134" t="s">
        <v>142</v>
      </c>
      <c r="H168" s="134" t="s">
        <v>142</v>
      </c>
      <c r="I168" s="134" t="s">
        <v>142</v>
      </c>
      <c r="J168" s="134" t="s">
        <v>142</v>
      </c>
      <c r="K168" s="134" t="s">
        <v>142</v>
      </c>
      <c r="L168" s="134" t="s">
        <v>142</v>
      </c>
      <c r="M168" s="136"/>
      <c r="N168" s="137"/>
    </row>
    <row r="169" hidden="1" outlineLevel="1">
      <c r="A169" s="397" t="s">
        <v>1709</v>
      </c>
      <c r="B169" s="115">
        <v>46112.0</v>
      </c>
      <c r="C169" s="118" t="str">
        <f t="shared" si="19"/>
        <v>Tue</v>
      </c>
      <c r="D169" s="128">
        <f t="shared" si="20"/>
        <v>1</v>
      </c>
      <c r="E169" s="131" t="s">
        <v>142</v>
      </c>
      <c r="F169" s="134" t="s">
        <v>142</v>
      </c>
      <c r="G169" s="134" t="s">
        <v>142</v>
      </c>
      <c r="H169" s="134" t="s">
        <v>142</v>
      </c>
      <c r="I169" s="134" t="s">
        <v>142</v>
      </c>
      <c r="J169" s="134" t="s">
        <v>142</v>
      </c>
      <c r="K169" s="134" t="s">
        <v>142</v>
      </c>
      <c r="L169" s="134" t="s">
        <v>142</v>
      </c>
      <c r="M169" s="136"/>
      <c r="N169" s="137"/>
    </row>
    <row r="170" hidden="1" outlineLevel="1">
      <c r="A170" s="113" t="s">
        <v>1710</v>
      </c>
      <c r="B170" s="115">
        <v>46115.0</v>
      </c>
      <c r="C170" s="118" t="str">
        <f t="shared" si="19"/>
        <v>Fri</v>
      </c>
      <c r="D170" s="143">
        <f t="shared" si="20"/>
        <v>1</v>
      </c>
      <c r="E170" s="144" t="s">
        <v>142</v>
      </c>
      <c r="F170" s="134" t="s">
        <v>142</v>
      </c>
      <c r="G170" s="134" t="s">
        <v>142</v>
      </c>
      <c r="H170" s="134" t="s">
        <v>142</v>
      </c>
      <c r="I170" s="134" t="s">
        <v>142</v>
      </c>
      <c r="J170" s="134" t="s">
        <v>142</v>
      </c>
      <c r="K170" s="134" t="s">
        <v>142</v>
      </c>
      <c r="L170" s="134" t="s">
        <v>142</v>
      </c>
      <c r="M170" s="136"/>
      <c r="N170" s="137"/>
    </row>
    <row r="171" hidden="1" outlineLevel="1">
      <c r="A171" s="113" t="s">
        <v>1711</v>
      </c>
      <c r="B171" s="115">
        <v>46115.0</v>
      </c>
      <c r="C171" s="118" t="str">
        <f t="shared" si="19"/>
        <v>Fri</v>
      </c>
      <c r="D171" s="128">
        <f t="shared" si="20"/>
        <v>1</v>
      </c>
      <c r="E171" s="131" t="s">
        <v>142</v>
      </c>
      <c r="F171" s="134" t="s">
        <v>142</v>
      </c>
      <c r="G171" s="134" t="s">
        <v>142</v>
      </c>
      <c r="H171" s="134" t="s">
        <v>142</v>
      </c>
      <c r="I171" s="134" t="s">
        <v>142</v>
      </c>
      <c r="J171" s="134" t="s">
        <v>142</v>
      </c>
      <c r="K171" s="134" t="s">
        <v>142</v>
      </c>
      <c r="L171" s="134" t="s">
        <v>142</v>
      </c>
      <c r="M171" s="136"/>
      <c r="N171" s="131"/>
    </row>
    <row r="172" hidden="1" outlineLevel="1">
      <c r="A172" s="113" t="s">
        <v>1712</v>
      </c>
      <c r="B172" s="115">
        <v>46115.0</v>
      </c>
      <c r="C172" s="118" t="str">
        <f t="shared" si="19"/>
        <v>Fri</v>
      </c>
      <c r="D172" s="143">
        <f t="shared" si="20"/>
        <v>1</v>
      </c>
      <c r="E172" s="144" t="s">
        <v>142</v>
      </c>
      <c r="F172" s="134" t="s">
        <v>142</v>
      </c>
      <c r="G172" s="134" t="s">
        <v>142</v>
      </c>
      <c r="H172" s="134" t="s">
        <v>142</v>
      </c>
      <c r="I172" s="134" t="s">
        <v>142</v>
      </c>
      <c r="J172" s="134" t="s">
        <v>142</v>
      </c>
      <c r="K172" s="134" t="s">
        <v>142</v>
      </c>
      <c r="L172" s="134" t="s">
        <v>142</v>
      </c>
      <c r="M172" s="136"/>
      <c r="N172" s="137"/>
    </row>
    <row r="173" hidden="1" outlineLevel="1">
      <c r="A173" s="397" t="s">
        <v>1713</v>
      </c>
      <c r="B173" s="115">
        <v>46116.0</v>
      </c>
      <c r="C173" s="118" t="str">
        <f t="shared" si="19"/>
        <v>Sat</v>
      </c>
      <c r="D173" s="128">
        <f t="shared" si="20"/>
        <v>1</v>
      </c>
      <c r="E173" s="131" t="s">
        <v>142</v>
      </c>
      <c r="F173" s="134" t="s">
        <v>142</v>
      </c>
      <c r="G173" s="134" t="s">
        <v>142</v>
      </c>
      <c r="H173" s="134" t="s">
        <v>142</v>
      </c>
      <c r="I173" s="134" t="s">
        <v>142</v>
      </c>
      <c r="J173" s="134" t="s">
        <v>142</v>
      </c>
      <c r="K173" s="134" t="s">
        <v>142</v>
      </c>
      <c r="L173" s="134" t="s">
        <v>142</v>
      </c>
      <c r="M173" s="136"/>
      <c r="N173" s="131"/>
    </row>
    <row r="174" hidden="1" outlineLevel="1">
      <c r="A174" s="397" t="s">
        <v>1715</v>
      </c>
      <c r="B174" s="115">
        <v>46116.0</v>
      </c>
      <c r="C174" s="118" t="str">
        <f t="shared" si="19"/>
        <v>Sat</v>
      </c>
      <c r="D174" s="143">
        <f t="shared" si="20"/>
        <v>1</v>
      </c>
      <c r="E174" s="144" t="s">
        <v>142</v>
      </c>
      <c r="F174" s="134" t="s">
        <v>142</v>
      </c>
      <c r="G174" s="134" t="s">
        <v>142</v>
      </c>
      <c r="H174" s="134" t="s">
        <v>142</v>
      </c>
      <c r="I174" s="134" t="s">
        <v>142</v>
      </c>
      <c r="J174" s="134" t="s">
        <v>142</v>
      </c>
      <c r="K174" s="134" t="s">
        <v>142</v>
      </c>
      <c r="L174" s="134" t="s">
        <v>142</v>
      </c>
      <c r="M174" s="136"/>
      <c r="N174" s="131"/>
    </row>
    <row r="175" hidden="1" outlineLevel="1">
      <c r="A175" s="397" t="s">
        <v>1717</v>
      </c>
      <c r="B175" s="115">
        <v>46116.0</v>
      </c>
      <c r="C175" s="118" t="str">
        <f t="shared" si="19"/>
        <v>Sat</v>
      </c>
      <c r="D175" s="128">
        <f t="shared" si="20"/>
        <v>1</v>
      </c>
      <c r="E175" s="131" t="s">
        <v>142</v>
      </c>
      <c r="F175" s="134" t="s">
        <v>142</v>
      </c>
      <c r="G175" s="134" t="s">
        <v>142</v>
      </c>
      <c r="H175" s="134" t="s">
        <v>142</v>
      </c>
      <c r="I175" s="134" t="s">
        <v>142</v>
      </c>
      <c r="J175" s="134" t="s">
        <v>142</v>
      </c>
      <c r="K175" s="134" t="s">
        <v>142</v>
      </c>
      <c r="L175" s="134" t="s">
        <v>142</v>
      </c>
      <c r="M175" s="136"/>
      <c r="N175" s="131"/>
    </row>
    <row r="176" hidden="1" outlineLevel="1">
      <c r="A176" s="397" t="s">
        <v>1719</v>
      </c>
      <c r="B176" s="115">
        <v>46117.0</v>
      </c>
      <c r="C176" s="118" t="str">
        <f t="shared" si="19"/>
        <v>Sun</v>
      </c>
      <c r="D176" s="143">
        <f t="shared" si="20"/>
        <v>1</v>
      </c>
      <c r="E176" s="144" t="s">
        <v>142</v>
      </c>
      <c r="F176" s="134" t="s">
        <v>142</v>
      </c>
      <c r="G176" s="134" t="s">
        <v>142</v>
      </c>
      <c r="H176" s="134" t="s">
        <v>142</v>
      </c>
      <c r="I176" s="134" t="s">
        <v>142</v>
      </c>
      <c r="J176" s="134" t="s">
        <v>142</v>
      </c>
      <c r="K176" s="134" t="s">
        <v>142</v>
      </c>
      <c r="L176" s="134" t="s">
        <v>142</v>
      </c>
      <c r="M176" s="136"/>
      <c r="N176" s="137"/>
    </row>
    <row r="177" hidden="1" outlineLevel="1">
      <c r="A177" s="397" t="s">
        <v>1721</v>
      </c>
      <c r="B177" s="115">
        <v>46117.0</v>
      </c>
      <c r="C177" s="118" t="str">
        <f t="shared" si="19"/>
        <v>Sun</v>
      </c>
      <c r="D177" s="128">
        <f t="shared" si="20"/>
        <v>1</v>
      </c>
      <c r="E177" s="131" t="s">
        <v>142</v>
      </c>
      <c r="F177" s="134" t="s">
        <v>142</v>
      </c>
      <c r="G177" s="134" t="s">
        <v>142</v>
      </c>
      <c r="H177" s="134" t="s">
        <v>142</v>
      </c>
      <c r="I177" s="134" t="s">
        <v>142</v>
      </c>
      <c r="J177" s="134" t="s">
        <v>142</v>
      </c>
      <c r="K177" s="134" t="s">
        <v>142</v>
      </c>
      <c r="L177" s="134" t="s">
        <v>142</v>
      </c>
      <c r="M177" s="136"/>
      <c r="N177" s="137"/>
    </row>
    <row r="178" ht="15.0" hidden="1" customHeight="1" outlineLevel="1">
      <c r="A178" s="397" t="s">
        <v>1722</v>
      </c>
      <c r="B178" s="115">
        <v>46117.0</v>
      </c>
      <c r="C178" s="118" t="str">
        <f t="shared" si="19"/>
        <v>Sun</v>
      </c>
      <c r="D178" s="143">
        <f t="shared" si="20"/>
        <v>1</v>
      </c>
      <c r="E178" s="144" t="s">
        <v>142</v>
      </c>
      <c r="F178" s="134" t="s">
        <v>142</v>
      </c>
      <c r="G178" s="134" t="s">
        <v>142</v>
      </c>
      <c r="H178" s="134" t="s">
        <v>142</v>
      </c>
      <c r="I178" s="134" t="s">
        <v>142</v>
      </c>
      <c r="J178" s="134" t="s">
        <v>142</v>
      </c>
      <c r="K178" s="134" t="s">
        <v>142</v>
      </c>
      <c r="L178" s="134" t="s">
        <v>142</v>
      </c>
      <c r="M178" s="136"/>
      <c r="N178" s="131"/>
    </row>
    <row r="179" hidden="1" outlineLevel="1">
      <c r="B179" s="215"/>
      <c r="C179" s="216" t="s">
        <v>199</v>
      </c>
      <c r="D179" s="217">
        <f>AVERAGE(D164:D178)</f>
        <v>1</v>
      </c>
      <c r="E179" s="472"/>
      <c r="L179" s="216" t="s">
        <v>199</v>
      </c>
      <c r="M179" s="217">
        <f>SUM(M164:M178)/75*0.1</f>
        <v>0</v>
      </c>
    </row>
    <row r="180" hidden="1" collapsed="1">
      <c r="A180" s="85" t="s">
        <v>1723</v>
      </c>
      <c r="B180" s="86"/>
      <c r="C180" s="86"/>
      <c r="D180" s="359"/>
      <c r="E180" s="89"/>
      <c r="F180" s="89"/>
      <c r="G180" s="91"/>
      <c r="H180" s="91"/>
      <c r="I180" s="91"/>
      <c r="J180" s="91"/>
      <c r="K180" s="91"/>
      <c r="L180" s="91"/>
      <c r="M180" s="93"/>
      <c r="N180" s="95"/>
    </row>
    <row r="181" hidden="1" outlineLevel="1">
      <c r="A181" s="96" t="s">
        <v>89</v>
      </c>
      <c r="B181" s="98" t="s">
        <v>90</v>
      </c>
      <c r="C181" s="98" t="s">
        <v>91</v>
      </c>
      <c r="D181" s="101" t="s">
        <v>93</v>
      </c>
      <c r="E181" s="102" t="s">
        <v>94</v>
      </c>
      <c r="F181" s="102" t="s">
        <v>95</v>
      </c>
      <c r="G181" s="105" t="s">
        <v>96</v>
      </c>
      <c r="H181" s="107" t="s">
        <v>97</v>
      </c>
      <c r="I181" s="107" t="s">
        <v>104</v>
      </c>
      <c r="J181" s="105" t="s">
        <v>106</v>
      </c>
      <c r="K181" s="107" t="s">
        <v>109</v>
      </c>
      <c r="L181" s="105" t="s">
        <v>111</v>
      </c>
      <c r="M181" s="98" t="s">
        <v>114</v>
      </c>
      <c r="N181" s="101" t="s">
        <v>116</v>
      </c>
    </row>
    <row r="182" hidden="1" outlineLevel="1">
      <c r="A182" s="398" t="s">
        <v>1724</v>
      </c>
      <c r="B182" s="115">
        <v>46118.0</v>
      </c>
      <c r="C182" s="118" t="str">
        <f t="shared" ref="C182:C196" si="21">IF(B182="", "", TEXT(B182, "ddd"))</f>
        <v>Mon</v>
      </c>
      <c r="D182" s="143">
        <f t="shared" ref="D182:D196" si="22">IF(E182="Yes",0.05,0)
+IF(F182="Yes",0.1,0)
+IF(G182="Yes",0.15,0)
+IF(H182="Yes",0.15,0)
+IF(I182="Yes",0.05,0)
+IF(J182="Yes",0.05,0)
+IF(K182="Yes",0.15,0)
+IF(L182="Yes",0.3,0)
</f>
        <v>1</v>
      </c>
      <c r="E182" s="144" t="s">
        <v>142</v>
      </c>
      <c r="F182" s="134" t="s">
        <v>142</v>
      </c>
      <c r="G182" s="134" t="s">
        <v>142</v>
      </c>
      <c r="H182" s="134" t="s">
        <v>142</v>
      </c>
      <c r="I182" s="134" t="s">
        <v>142</v>
      </c>
      <c r="J182" s="134" t="s">
        <v>142</v>
      </c>
      <c r="K182" s="134" t="s">
        <v>142</v>
      </c>
      <c r="L182" s="134" t="s">
        <v>142</v>
      </c>
      <c r="M182" s="136"/>
      <c r="N182" s="137"/>
    </row>
    <row r="183" hidden="1" outlineLevel="1">
      <c r="A183" s="398" t="s">
        <v>1728</v>
      </c>
      <c r="B183" s="115">
        <v>46118.0</v>
      </c>
      <c r="C183" s="118" t="str">
        <f t="shared" si="21"/>
        <v>Mon</v>
      </c>
      <c r="D183" s="128">
        <f t="shared" si="22"/>
        <v>1</v>
      </c>
      <c r="E183" s="131" t="s">
        <v>142</v>
      </c>
      <c r="F183" s="134" t="s">
        <v>142</v>
      </c>
      <c r="G183" s="134" t="s">
        <v>142</v>
      </c>
      <c r="H183" s="134" t="s">
        <v>142</v>
      </c>
      <c r="I183" s="134" t="s">
        <v>142</v>
      </c>
      <c r="J183" s="134" t="s">
        <v>142</v>
      </c>
      <c r="K183" s="134" t="s">
        <v>142</v>
      </c>
      <c r="L183" s="134" t="s">
        <v>142</v>
      </c>
      <c r="M183" s="136"/>
      <c r="N183" s="131"/>
    </row>
    <row r="184" hidden="1" outlineLevel="1">
      <c r="A184" s="398" t="s">
        <v>1745</v>
      </c>
      <c r="B184" s="115">
        <v>46118.0</v>
      </c>
      <c r="C184" s="118" t="str">
        <f t="shared" si="21"/>
        <v>Mon</v>
      </c>
      <c r="D184" s="143">
        <f t="shared" si="22"/>
        <v>1</v>
      </c>
      <c r="E184" s="144" t="s">
        <v>142</v>
      </c>
      <c r="F184" s="134" t="s">
        <v>142</v>
      </c>
      <c r="G184" s="134" t="s">
        <v>142</v>
      </c>
      <c r="H184" s="134" t="s">
        <v>142</v>
      </c>
      <c r="I184" s="134" t="s">
        <v>142</v>
      </c>
      <c r="J184" s="134" t="s">
        <v>142</v>
      </c>
      <c r="K184" s="134" t="s">
        <v>142</v>
      </c>
      <c r="L184" s="134" t="s">
        <v>142</v>
      </c>
      <c r="M184" s="136"/>
      <c r="N184" s="131"/>
    </row>
    <row r="185" hidden="1" outlineLevel="1">
      <c r="A185" s="398" t="s">
        <v>1774</v>
      </c>
      <c r="B185" s="115">
        <v>46121.0</v>
      </c>
      <c r="C185" s="118" t="str">
        <f t="shared" si="21"/>
        <v>Thu</v>
      </c>
      <c r="D185" s="128">
        <f t="shared" si="22"/>
        <v>1</v>
      </c>
      <c r="E185" s="131" t="s">
        <v>142</v>
      </c>
      <c r="F185" s="134" t="s">
        <v>142</v>
      </c>
      <c r="G185" s="134" t="s">
        <v>142</v>
      </c>
      <c r="H185" s="134" t="s">
        <v>142</v>
      </c>
      <c r="I185" s="134" t="s">
        <v>142</v>
      </c>
      <c r="J185" s="134" t="s">
        <v>142</v>
      </c>
      <c r="K185" s="134" t="s">
        <v>142</v>
      </c>
      <c r="L185" s="134" t="s">
        <v>142</v>
      </c>
      <c r="M185" s="136"/>
      <c r="N185" s="137"/>
    </row>
    <row r="186" hidden="1" outlineLevel="1">
      <c r="A186" s="398" t="s">
        <v>1776</v>
      </c>
      <c r="B186" s="115">
        <v>46121.0</v>
      </c>
      <c r="C186" s="118" t="str">
        <f t="shared" si="21"/>
        <v>Thu</v>
      </c>
      <c r="D186" s="143">
        <f t="shared" si="22"/>
        <v>1</v>
      </c>
      <c r="E186" s="144" t="s">
        <v>142</v>
      </c>
      <c r="F186" s="134" t="s">
        <v>142</v>
      </c>
      <c r="G186" s="134" t="s">
        <v>142</v>
      </c>
      <c r="H186" s="134" t="s">
        <v>142</v>
      </c>
      <c r="I186" s="134" t="s">
        <v>142</v>
      </c>
      <c r="J186" s="134" t="s">
        <v>142</v>
      </c>
      <c r="K186" s="134" t="s">
        <v>142</v>
      </c>
      <c r="L186" s="134" t="s">
        <v>142</v>
      </c>
      <c r="M186" s="136"/>
      <c r="N186" s="137"/>
    </row>
    <row r="187" hidden="1" outlineLevel="1">
      <c r="A187" s="398" t="s">
        <v>1778</v>
      </c>
      <c r="B187" s="115">
        <v>46121.0</v>
      </c>
      <c r="C187" s="118" t="str">
        <f t="shared" si="21"/>
        <v>Thu</v>
      </c>
      <c r="D187" s="128">
        <f t="shared" si="22"/>
        <v>1</v>
      </c>
      <c r="E187" s="131" t="s">
        <v>142</v>
      </c>
      <c r="F187" s="134" t="s">
        <v>142</v>
      </c>
      <c r="G187" s="134" t="s">
        <v>142</v>
      </c>
      <c r="H187" s="134" t="s">
        <v>142</v>
      </c>
      <c r="I187" s="134" t="s">
        <v>142</v>
      </c>
      <c r="J187" s="134" t="s">
        <v>142</v>
      </c>
      <c r="K187" s="134" t="s">
        <v>142</v>
      </c>
      <c r="L187" s="134" t="s">
        <v>142</v>
      </c>
      <c r="M187" s="136"/>
      <c r="N187" s="137"/>
    </row>
    <row r="188" hidden="1" outlineLevel="1">
      <c r="A188" s="398" t="s">
        <v>1781</v>
      </c>
      <c r="B188" s="115">
        <v>46122.0</v>
      </c>
      <c r="C188" s="118" t="str">
        <f t="shared" si="21"/>
        <v>Fri</v>
      </c>
      <c r="D188" s="143">
        <f t="shared" si="22"/>
        <v>1</v>
      </c>
      <c r="E188" s="144" t="s">
        <v>142</v>
      </c>
      <c r="F188" s="134" t="s">
        <v>142</v>
      </c>
      <c r="G188" s="134" t="s">
        <v>142</v>
      </c>
      <c r="H188" s="134" t="s">
        <v>142</v>
      </c>
      <c r="I188" s="134" t="s">
        <v>142</v>
      </c>
      <c r="J188" s="134" t="s">
        <v>142</v>
      </c>
      <c r="K188" s="134" t="s">
        <v>142</v>
      </c>
      <c r="L188" s="134" t="s">
        <v>142</v>
      </c>
      <c r="M188" s="136"/>
      <c r="N188" s="137"/>
    </row>
    <row r="189" hidden="1" outlineLevel="1">
      <c r="A189" s="398" t="s">
        <v>1783</v>
      </c>
      <c r="B189" s="115">
        <v>46122.0</v>
      </c>
      <c r="C189" s="118" t="str">
        <f t="shared" si="21"/>
        <v>Fri</v>
      </c>
      <c r="D189" s="128">
        <f t="shared" si="22"/>
        <v>1</v>
      </c>
      <c r="E189" s="131" t="s">
        <v>142</v>
      </c>
      <c r="F189" s="134" t="s">
        <v>142</v>
      </c>
      <c r="G189" s="134" t="s">
        <v>142</v>
      </c>
      <c r="H189" s="134" t="s">
        <v>142</v>
      </c>
      <c r="I189" s="134" t="s">
        <v>142</v>
      </c>
      <c r="J189" s="134" t="s">
        <v>142</v>
      </c>
      <c r="K189" s="134" t="s">
        <v>142</v>
      </c>
      <c r="L189" s="134" t="s">
        <v>142</v>
      </c>
      <c r="M189" s="136"/>
      <c r="N189" s="131"/>
    </row>
    <row r="190" hidden="1" outlineLevel="1">
      <c r="A190" s="398" t="s">
        <v>1784</v>
      </c>
      <c r="B190" s="115">
        <v>46122.0</v>
      </c>
      <c r="C190" s="118" t="str">
        <f t="shared" si="21"/>
        <v>Fri</v>
      </c>
      <c r="D190" s="143">
        <f t="shared" si="22"/>
        <v>1</v>
      </c>
      <c r="E190" s="144" t="s">
        <v>142</v>
      </c>
      <c r="F190" s="134" t="s">
        <v>142</v>
      </c>
      <c r="G190" s="134" t="s">
        <v>142</v>
      </c>
      <c r="H190" s="134" t="s">
        <v>142</v>
      </c>
      <c r="I190" s="134" t="s">
        <v>142</v>
      </c>
      <c r="J190" s="134" t="s">
        <v>142</v>
      </c>
      <c r="K190" s="134" t="s">
        <v>142</v>
      </c>
      <c r="L190" s="134" t="s">
        <v>142</v>
      </c>
      <c r="M190" s="136"/>
      <c r="N190" s="137"/>
    </row>
    <row r="191" hidden="1" outlineLevel="1">
      <c r="A191" s="398" t="s">
        <v>1796</v>
      </c>
      <c r="B191" s="115">
        <v>46123.0</v>
      </c>
      <c r="C191" s="118" t="str">
        <f t="shared" si="21"/>
        <v>Sat</v>
      </c>
      <c r="D191" s="128">
        <f t="shared" si="22"/>
        <v>1</v>
      </c>
      <c r="E191" s="131" t="s">
        <v>142</v>
      </c>
      <c r="F191" s="134" t="s">
        <v>142</v>
      </c>
      <c r="G191" s="134" t="s">
        <v>142</v>
      </c>
      <c r="H191" s="134" t="s">
        <v>142</v>
      </c>
      <c r="I191" s="134" t="s">
        <v>142</v>
      </c>
      <c r="J191" s="134" t="s">
        <v>142</v>
      </c>
      <c r="K191" s="134" t="s">
        <v>142</v>
      </c>
      <c r="L191" s="134" t="s">
        <v>142</v>
      </c>
      <c r="M191" s="136"/>
      <c r="N191" s="131"/>
    </row>
    <row r="192" hidden="1" outlineLevel="1">
      <c r="A192" s="353" t="s">
        <v>1800</v>
      </c>
      <c r="B192" s="115">
        <v>46123.0</v>
      </c>
      <c r="C192" s="118" t="str">
        <f t="shared" si="21"/>
        <v>Sat</v>
      </c>
      <c r="D192" s="143">
        <f t="shared" si="22"/>
        <v>1</v>
      </c>
      <c r="E192" s="144" t="s">
        <v>142</v>
      </c>
      <c r="F192" s="134" t="s">
        <v>142</v>
      </c>
      <c r="G192" s="134" t="s">
        <v>142</v>
      </c>
      <c r="H192" s="134" t="s">
        <v>142</v>
      </c>
      <c r="I192" s="134" t="s">
        <v>142</v>
      </c>
      <c r="J192" s="134" t="s">
        <v>142</v>
      </c>
      <c r="K192" s="134" t="s">
        <v>142</v>
      </c>
      <c r="L192" s="134" t="s">
        <v>142</v>
      </c>
      <c r="M192" s="136"/>
      <c r="N192" s="131"/>
    </row>
    <row r="193" hidden="1" outlineLevel="1">
      <c r="A193" s="398" t="s">
        <v>1803</v>
      </c>
      <c r="B193" s="115">
        <v>46123.0</v>
      </c>
      <c r="C193" s="118" t="str">
        <f t="shared" si="21"/>
        <v>Sat</v>
      </c>
      <c r="D193" s="128">
        <f t="shared" si="22"/>
        <v>1</v>
      </c>
      <c r="E193" s="131" t="s">
        <v>142</v>
      </c>
      <c r="F193" s="134" t="s">
        <v>142</v>
      </c>
      <c r="G193" s="134" t="s">
        <v>142</v>
      </c>
      <c r="H193" s="134" t="s">
        <v>142</v>
      </c>
      <c r="I193" s="134" t="s">
        <v>142</v>
      </c>
      <c r="J193" s="134" t="s">
        <v>142</v>
      </c>
      <c r="K193" s="134" t="s">
        <v>142</v>
      </c>
      <c r="L193" s="134" t="s">
        <v>142</v>
      </c>
      <c r="M193" s="136"/>
      <c r="N193" s="131"/>
    </row>
    <row r="194" hidden="1" outlineLevel="1">
      <c r="A194" s="353" t="s">
        <v>1806</v>
      </c>
      <c r="B194" s="115">
        <v>46124.0</v>
      </c>
      <c r="C194" s="118" t="str">
        <f t="shared" si="21"/>
        <v>Sun</v>
      </c>
      <c r="D194" s="143">
        <f t="shared" si="22"/>
        <v>1</v>
      </c>
      <c r="E194" s="144" t="s">
        <v>142</v>
      </c>
      <c r="F194" s="134" t="s">
        <v>142</v>
      </c>
      <c r="G194" s="134" t="s">
        <v>142</v>
      </c>
      <c r="H194" s="134" t="s">
        <v>142</v>
      </c>
      <c r="I194" s="134" t="s">
        <v>142</v>
      </c>
      <c r="J194" s="134" t="s">
        <v>142</v>
      </c>
      <c r="K194" s="134" t="s">
        <v>142</v>
      </c>
      <c r="L194" s="134" t="s">
        <v>142</v>
      </c>
      <c r="M194" s="136"/>
      <c r="N194" s="137"/>
    </row>
    <row r="195" hidden="1" outlineLevel="1">
      <c r="A195" s="353" t="s">
        <v>1808</v>
      </c>
      <c r="B195" s="115">
        <v>46124.0</v>
      </c>
      <c r="C195" s="118" t="str">
        <f t="shared" si="21"/>
        <v>Sun</v>
      </c>
      <c r="D195" s="128">
        <f t="shared" si="22"/>
        <v>1</v>
      </c>
      <c r="E195" s="131" t="s">
        <v>142</v>
      </c>
      <c r="F195" s="134" t="s">
        <v>142</v>
      </c>
      <c r="G195" s="134" t="s">
        <v>142</v>
      </c>
      <c r="H195" s="134" t="s">
        <v>142</v>
      </c>
      <c r="I195" s="134" t="s">
        <v>142</v>
      </c>
      <c r="J195" s="134" t="s">
        <v>142</v>
      </c>
      <c r="K195" s="134" t="s">
        <v>142</v>
      </c>
      <c r="L195" s="134" t="s">
        <v>142</v>
      </c>
      <c r="M195" s="136"/>
      <c r="N195" s="137"/>
    </row>
    <row r="196" ht="17.25" hidden="1" customHeight="1" outlineLevel="1">
      <c r="A196" s="353" t="s">
        <v>1810</v>
      </c>
      <c r="B196" s="115">
        <v>46124.0</v>
      </c>
      <c r="C196" s="118" t="str">
        <f t="shared" si="21"/>
        <v>Sun</v>
      </c>
      <c r="D196" s="143">
        <f t="shared" si="22"/>
        <v>1</v>
      </c>
      <c r="E196" s="144" t="s">
        <v>142</v>
      </c>
      <c r="F196" s="134" t="s">
        <v>142</v>
      </c>
      <c r="G196" s="134" t="s">
        <v>142</v>
      </c>
      <c r="H196" s="134" t="s">
        <v>142</v>
      </c>
      <c r="I196" s="134" t="s">
        <v>142</v>
      </c>
      <c r="J196" s="134" t="s">
        <v>142</v>
      </c>
      <c r="K196" s="134" t="s">
        <v>142</v>
      </c>
      <c r="L196" s="134" t="s">
        <v>142</v>
      </c>
      <c r="M196" s="136"/>
      <c r="N196" s="131"/>
    </row>
    <row r="197" hidden="1" outlineLevel="1">
      <c r="B197" s="215"/>
      <c r="C197" s="216" t="s">
        <v>199</v>
      </c>
      <c r="D197" s="217">
        <f>AVERAGE(D182:D196)</f>
        <v>1</v>
      </c>
      <c r="E197" s="472"/>
      <c r="L197" s="216" t="s">
        <v>199</v>
      </c>
      <c r="M197" s="217">
        <f>SUM(M182:M196)/75*0.1</f>
        <v>0</v>
      </c>
    </row>
    <row r="198" hidden="1" collapsed="1">
      <c r="A198" s="85" t="s">
        <v>1811</v>
      </c>
      <c r="B198" s="86"/>
      <c r="C198" s="86"/>
      <c r="D198" s="359"/>
      <c r="E198" s="89"/>
      <c r="F198" s="89"/>
      <c r="G198" s="91"/>
      <c r="H198" s="91"/>
      <c r="I198" s="91"/>
      <c r="J198" s="91"/>
      <c r="K198" s="91"/>
      <c r="L198" s="91"/>
      <c r="M198" s="93"/>
      <c r="N198" s="95"/>
    </row>
    <row r="199" hidden="1" outlineLevel="1">
      <c r="A199" s="96" t="s">
        <v>89</v>
      </c>
      <c r="B199" s="98" t="s">
        <v>90</v>
      </c>
      <c r="C199" s="98" t="s">
        <v>91</v>
      </c>
      <c r="D199" s="101" t="s">
        <v>93</v>
      </c>
      <c r="E199" s="102" t="s">
        <v>94</v>
      </c>
      <c r="F199" s="102" t="s">
        <v>95</v>
      </c>
      <c r="G199" s="105" t="s">
        <v>96</v>
      </c>
      <c r="H199" s="107" t="s">
        <v>97</v>
      </c>
      <c r="I199" s="107" t="s">
        <v>104</v>
      </c>
      <c r="J199" s="105" t="s">
        <v>106</v>
      </c>
      <c r="K199" s="107" t="s">
        <v>109</v>
      </c>
      <c r="L199" s="105" t="s">
        <v>111</v>
      </c>
      <c r="M199" s="98" t="s">
        <v>114</v>
      </c>
      <c r="N199" s="101" t="s">
        <v>116</v>
      </c>
    </row>
    <row r="200" hidden="1" outlineLevel="1">
      <c r="A200" s="397" t="s">
        <v>1813</v>
      </c>
      <c r="B200" s="115">
        <v>46125.0</v>
      </c>
      <c r="C200" s="118" t="str">
        <f t="shared" ref="C200:C214" si="23">IF(B200="", "", TEXT(B200, "ddd"))</f>
        <v>Mon</v>
      </c>
      <c r="D200" s="143">
        <f t="shared" ref="D200:D214" si="24">IF(E200="Yes",0.05,0)
+IF(F200="Yes",0.1,0)
+IF(G200="Yes",0.15,0)
+IF(H200="Yes",0.15,0)
+IF(I200="Yes",0.05,0)
+IF(J200="Yes",0.05,0)
+IF(K200="Yes",0.15,0)
+IF(L200="Yes",0.3,0)
</f>
        <v>1</v>
      </c>
      <c r="E200" s="144" t="s">
        <v>142</v>
      </c>
      <c r="F200" s="134" t="s">
        <v>142</v>
      </c>
      <c r="G200" s="134" t="s">
        <v>142</v>
      </c>
      <c r="H200" s="134" t="s">
        <v>142</v>
      </c>
      <c r="I200" s="134" t="s">
        <v>142</v>
      </c>
      <c r="J200" s="134" t="s">
        <v>142</v>
      </c>
      <c r="K200" s="134" t="s">
        <v>142</v>
      </c>
      <c r="L200" s="134" t="s">
        <v>142</v>
      </c>
      <c r="M200" s="136"/>
      <c r="N200" s="137"/>
    </row>
    <row r="201" hidden="1" outlineLevel="1">
      <c r="A201" s="397" t="s">
        <v>1817</v>
      </c>
      <c r="B201" s="115">
        <v>46125.0</v>
      </c>
      <c r="C201" s="118" t="str">
        <f t="shared" si="23"/>
        <v>Mon</v>
      </c>
      <c r="D201" s="128">
        <f t="shared" si="24"/>
        <v>1</v>
      </c>
      <c r="E201" s="131" t="s">
        <v>142</v>
      </c>
      <c r="F201" s="134" t="s">
        <v>142</v>
      </c>
      <c r="G201" s="134" t="s">
        <v>142</v>
      </c>
      <c r="H201" s="134" t="s">
        <v>142</v>
      </c>
      <c r="I201" s="134" t="s">
        <v>142</v>
      </c>
      <c r="J201" s="134" t="s">
        <v>142</v>
      </c>
      <c r="K201" s="134" t="s">
        <v>142</v>
      </c>
      <c r="L201" s="134" t="s">
        <v>142</v>
      </c>
      <c r="M201" s="136"/>
      <c r="N201" s="131"/>
    </row>
    <row r="202" hidden="1" outlineLevel="1">
      <c r="A202" s="397" t="s">
        <v>1820</v>
      </c>
      <c r="B202" s="115">
        <v>46125.0</v>
      </c>
      <c r="C202" s="118" t="str">
        <f t="shared" si="23"/>
        <v>Mon</v>
      </c>
      <c r="D202" s="143">
        <f t="shared" si="24"/>
        <v>1</v>
      </c>
      <c r="E202" s="144" t="s">
        <v>142</v>
      </c>
      <c r="F202" s="134" t="s">
        <v>142</v>
      </c>
      <c r="G202" s="134" t="s">
        <v>142</v>
      </c>
      <c r="H202" s="134" t="s">
        <v>142</v>
      </c>
      <c r="I202" s="134" t="s">
        <v>142</v>
      </c>
      <c r="J202" s="134" t="s">
        <v>142</v>
      </c>
      <c r="K202" s="134" t="s">
        <v>142</v>
      </c>
      <c r="L202" s="134" t="s">
        <v>142</v>
      </c>
      <c r="M202" s="136"/>
      <c r="N202" s="131"/>
    </row>
    <row r="203" hidden="1" outlineLevel="1">
      <c r="A203" s="397" t="s">
        <v>1823</v>
      </c>
      <c r="B203" s="115">
        <v>46128.0</v>
      </c>
      <c r="C203" s="118" t="str">
        <f t="shared" si="23"/>
        <v>Thu</v>
      </c>
      <c r="D203" s="128">
        <f t="shared" si="24"/>
        <v>1</v>
      </c>
      <c r="E203" s="131" t="s">
        <v>142</v>
      </c>
      <c r="F203" s="134" t="s">
        <v>142</v>
      </c>
      <c r="G203" s="134" t="s">
        <v>142</v>
      </c>
      <c r="H203" s="134" t="s">
        <v>142</v>
      </c>
      <c r="I203" s="134" t="s">
        <v>142</v>
      </c>
      <c r="J203" s="134" t="s">
        <v>142</v>
      </c>
      <c r="K203" s="134" t="s">
        <v>142</v>
      </c>
      <c r="L203" s="134" t="s">
        <v>142</v>
      </c>
      <c r="M203" s="136"/>
      <c r="N203" s="137"/>
    </row>
    <row r="204" hidden="1" outlineLevel="1">
      <c r="A204" s="397" t="s">
        <v>1824</v>
      </c>
      <c r="B204" s="115">
        <v>46128.0</v>
      </c>
      <c r="C204" s="118" t="str">
        <f t="shared" si="23"/>
        <v>Thu</v>
      </c>
      <c r="D204" s="143">
        <f t="shared" si="24"/>
        <v>1</v>
      </c>
      <c r="E204" s="144" t="s">
        <v>142</v>
      </c>
      <c r="F204" s="134" t="s">
        <v>142</v>
      </c>
      <c r="G204" s="134" t="s">
        <v>142</v>
      </c>
      <c r="H204" s="134" t="s">
        <v>142</v>
      </c>
      <c r="I204" s="134" t="s">
        <v>142</v>
      </c>
      <c r="J204" s="134" t="s">
        <v>142</v>
      </c>
      <c r="K204" s="134" t="s">
        <v>142</v>
      </c>
      <c r="L204" s="134" t="s">
        <v>142</v>
      </c>
      <c r="M204" s="136"/>
      <c r="N204" s="137"/>
    </row>
    <row r="205" hidden="1" outlineLevel="1">
      <c r="A205" s="397" t="s">
        <v>1826</v>
      </c>
      <c r="B205" s="115">
        <v>46128.0</v>
      </c>
      <c r="C205" s="118" t="str">
        <f t="shared" si="23"/>
        <v>Thu</v>
      </c>
      <c r="D205" s="128">
        <f t="shared" si="24"/>
        <v>1</v>
      </c>
      <c r="E205" s="131" t="s">
        <v>142</v>
      </c>
      <c r="F205" s="134" t="s">
        <v>142</v>
      </c>
      <c r="G205" s="134" t="s">
        <v>142</v>
      </c>
      <c r="H205" s="134" t="s">
        <v>142</v>
      </c>
      <c r="I205" s="134" t="s">
        <v>142</v>
      </c>
      <c r="J205" s="134" t="s">
        <v>142</v>
      </c>
      <c r="K205" s="134" t="s">
        <v>142</v>
      </c>
      <c r="L205" s="134" t="s">
        <v>142</v>
      </c>
      <c r="M205" s="136"/>
      <c r="N205" s="137"/>
    </row>
    <row r="206" hidden="1" outlineLevel="1">
      <c r="A206" s="571" t="s">
        <v>1828</v>
      </c>
      <c r="B206" s="115">
        <v>46129.0</v>
      </c>
      <c r="C206" s="118" t="str">
        <f t="shared" si="23"/>
        <v>Fri</v>
      </c>
      <c r="D206" s="143">
        <f t="shared" si="24"/>
        <v>1</v>
      </c>
      <c r="E206" s="144" t="s">
        <v>142</v>
      </c>
      <c r="F206" s="134" t="s">
        <v>142</v>
      </c>
      <c r="G206" s="134" t="s">
        <v>142</v>
      </c>
      <c r="H206" s="134" t="s">
        <v>142</v>
      </c>
      <c r="I206" s="134" t="s">
        <v>142</v>
      </c>
      <c r="J206" s="134" t="s">
        <v>142</v>
      </c>
      <c r="K206" s="134" t="s">
        <v>142</v>
      </c>
      <c r="L206" s="134" t="s">
        <v>142</v>
      </c>
      <c r="M206" s="136"/>
      <c r="N206" s="137"/>
    </row>
    <row r="207" hidden="1" outlineLevel="1">
      <c r="A207" s="572" t="s">
        <v>1832</v>
      </c>
      <c r="B207" s="115">
        <v>46129.0</v>
      </c>
      <c r="C207" s="118" t="str">
        <f t="shared" si="23"/>
        <v>Fri</v>
      </c>
      <c r="D207" s="128">
        <f t="shared" si="24"/>
        <v>1</v>
      </c>
      <c r="E207" s="131" t="s">
        <v>142</v>
      </c>
      <c r="F207" s="134" t="s">
        <v>142</v>
      </c>
      <c r="G207" s="134" t="s">
        <v>142</v>
      </c>
      <c r="H207" s="134" t="s">
        <v>142</v>
      </c>
      <c r="I207" s="134" t="s">
        <v>142</v>
      </c>
      <c r="J207" s="134" t="s">
        <v>142</v>
      </c>
      <c r="K207" s="134" t="s">
        <v>142</v>
      </c>
      <c r="L207" s="134" t="s">
        <v>142</v>
      </c>
      <c r="M207" s="136"/>
      <c r="N207" s="131"/>
    </row>
    <row r="208" hidden="1" outlineLevel="1">
      <c r="A208" s="397" t="s">
        <v>1834</v>
      </c>
      <c r="B208" s="115">
        <v>46129.0</v>
      </c>
      <c r="C208" s="118" t="str">
        <f t="shared" si="23"/>
        <v>Fri</v>
      </c>
      <c r="D208" s="143">
        <f t="shared" si="24"/>
        <v>1</v>
      </c>
      <c r="E208" s="144" t="s">
        <v>142</v>
      </c>
      <c r="F208" s="134" t="s">
        <v>142</v>
      </c>
      <c r="G208" s="134" t="s">
        <v>142</v>
      </c>
      <c r="H208" s="134" t="s">
        <v>142</v>
      </c>
      <c r="I208" s="134" t="s">
        <v>142</v>
      </c>
      <c r="J208" s="134" t="s">
        <v>142</v>
      </c>
      <c r="K208" s="134" t="s">
        <v>142</v>
      </c>
      <c r="L208" s="134" t="s">
        <v>142</v>
      </c>
      <c r="M208" s="136"/>
      <c r="N208" s="137"/>
    </row>
    <row r="209" hidden="1" outlineLevel="1">
      <c r="A209" s="397" t="s">
        <v>1836</v>
      </c>
      <c r="B209" s="115">
        <v>46130.0</v>
      </c>
      <c r="C209" s="118" t="str">
        <f t="shared" si="23"/>
        <v>Sat</v>
      </c>
      <c r="D209" s="128">
        <f t="shared" si="24"/>
        <v>1</v>
      </c>
      <c r="E209" s="131" t="s">
        <v>142</v>
      </c>
      <c r="F209" s="134" t="s">
        <v>142</v>
      </c>
      <c r="G209" s="134" t="s">
        <v>142</v>
      </c>
      <c r="H209" s="134" t="s">
        <v>142</v>
      </c>
      <c r="I209" s="134" t="s">
        <v>142</v>
      </c>
      <c r="J209" s="134" t="s">
        <v>142</v>
      </c>
      <c r="K209" s="134" t="s">
        <v>142</v>
      </c>
      <c r="L209" s="134" t="s">
        <v>142</v>
      </c>
      <c r="M209" s="136"/>
      <c r="N209" s="131"/>
    </row>
    <row r="210" hidden="1" outlineLevel="1">
      <c r="A210" s="397" t="s">
        <v>1838</v>
      </c>
      <c r="B210" s="115">
        <v>46130.0</v>
      </c>
      <c r="C210" s="118" t="str">
        <f t="shared" si="23"/>
        <v>Sat</v>
      </c>
      <c r="D210" s="143">
        <f t="shared" si="24"/>
        <v>1</v>
      </c>
      <c r="E210" s="144" t="s">
        <v>142</v>
      </c>
      <c r="F210" s="134" t="s">
        <v>142</v>
      </c>
      <c r="G210" s="134" t="s">
        <v>142</v>
      </c>
      <c r="H210" s="134" t="s">
        <v>142</v>
      </c>
      <c r="I210" s="134" t="s">
        <v>142</v>
      </c>
      <c r="J210" s="134" t="s">
        <v>142</v>
      </c>
      <c r="K210" s="134" t="s">
        <v>142</v>
      </c>
      <c r="L210" s="134" t="s">
        <v>142</v>
      </c>
      <c r="M210" s="136"/>
      <c r="N210" s="131"/>
    </row>
    <row r="211" hidden="1" outlineLevel="1">
      <c r="A211" s="397" t="s">
        <v>1840</v>
      </c>
      <c r="B211" s="115">
        <v>46130.0</v>
      </c>
      <c r="C211" s="118" t="str">
        <f t="shared" si="23"/>
        <v>Sat</v>
      </c>
      <c r="D211" s="128">
        <f t="shared" si="24"/>
        <v>1</v>
      </c>
      <c r="E211" s="131" t="s">
        <v>142</v>
      </c>
      <c r="F211" s="134" t="s">
        <v>142</v>
      </c>
      <c r="G211" s="134" t="s">
        <v>142</v>
      </c>
      <c r="H211" s="134" t="s">
        <v>142</v>
      </c>
      <c r="I211" s="134" t="s">
        <v>142</v>
      </c>
      <c r="J211" s="134" t="s">
        <v>142</v>
      </c>
      <c r="K211" s="134" t="s">
        <v>142</v>
      </c>
      <c r="L211" s="134" t="s">
        <v>142</v>
      </c>
      <c r="M211" s="136"/>
      <c r="N211" s="131"/>
    </row>
    <row r="212" hidden="1" outlineLevel="1">
      <c r="A212" s="397" t="s">
        <v>1841</v>
      </c>
      <c r="B212" s="115">
        <v>46131.0</v>
      </c>
      <c r="C212" s="118" t="str">
        <f t="shared" si="23"/>
        <v>Sun</v>
      </c>
      <c r="D212" s="143">
        <f t="shared" si="24"/>
        <v>1</v>
      </c>
      <c r="E212" s="144" t="s">
        <v>142</v>
      </c>
      <c r="F212" s="134" t="s">
        <v>142</v>
      </c>
      <c r="G212" s="134" t="s">
        <v>142</v>
      </c>
      <c r="H212" s="134" t="s">
        <v>142</v>
      </c>
      <c r="I212" s="134" t="s">
        <v>142</v>
      </c>
      <c r="J212" s="134" t="s">
        <v>142</v>
      </c>
      <c r="K212" s="134" t="s">
        <v>142</v>
      </c>
      <c r="L212" s="134" t="s">
        <v>142</v>
      </c>
      <c r="M212" s="136"/>
      <c r="N212" s="137"/>
    </row>
    <row r="213" hidden="1" outlineLevel="1">
      <c r="A213" s="397" t="s">
        <v>1843</v>
      </c>
      <c r="B213" s="115">
        <v>46131.0</v>
      </c>
      <c r="C213" s="118" t="str">
        <f t="shared" si="23"/>
        <v>Sun</v>
      </c>
      <c r="D213" s="128">
        <f t="shared" si="24"/>
        <v>1</v>
      </c>
      <c r="E213" s="131" t="s">
        <v>142</v>
      </c>
      <c r="F213" s="134" t="s">
        <v>142</v>
      </c>
      <c r="G213" s="134" t="s">
        <v>142</v>
      </c>
      <c r="H213" s="134" t="s">
        <v>142</v>
      </c>
      <c r="I213" s="134" t="s">
        <v>142</v>
      </c>
      <c r="J213" s="134" t="s">
        <v>142</v>
      </c>
      <c r="K213" s="134" t="s">
        <v>142</v>
      </c>
      <c r="L213" s="134" t="s">
        <v>142</v>
      </c>
      <c r="M213" s="136"/>
      <c r="N213" s="137"/>
    </row>
    <row r="214" ht="15.0" hidden="1" customHeight="1" outlineLevel="1">
      <c r="A214" s="397" t="s">
        <v>1844</v>
      </c>
      <c r="B214" s="115">
        <v>46131.0</v>
      </c>
      <c r="C214" s="118" t="str">
        <f t="shared" si="23"/>
        <v>Sun</v>
      </c>
      <c r="D214" s="143">
        <f t="shared" si="24"/>
        <v>1</v>
      </c>
      <c r="E214" s="144" t="s">
        <v>142</v>
      </c>
      <c r="F214" s="134" t="s">
        <v>142</v>
      </c>
      <c r="G214" s="134" t="s">
        <v>142</v>
      </c>
      <c r="H214" s="134" t="s">
        <v>142</v>
      </c>
      <c r="I214" s="134" t="s">
        <v>142</v>
      </c>
      <c r="J214" s="134" t="s">
        <v>142</v>
      </c>
      <c r="K214" s="134" t="s">
        <v>142</v>
      </c>
      <c r="L214" s="134" t="s">
        <v>142</v>
      </c>
      <c r="M214" s="136"/>
      <c r="N214" s="131"/>
    </row>
    <row r="215" hidden="1" outlineLevel="1">
      <c r="B215" s="215"/>
      <c r="C215" s="216" t="s">
        <v>199</v>
      </c>
      <c r="D215" s="217">
        <f>AVERAGE(D200:D214)</f>
        <v>1</v>
      </c>
      <c r="E215" s="472"/>
      <c r="L215" s="216" t="s">
        <v>199</v>
      </c>
      <c r="M215" s="217">
        <f>SUM(M200:M214)/75*0.1</f>
        <v>0</v>
      </c>
    </row>
    <row r="216" hidden="1" collapsed="1">
      <c r="A216" s="85" t="s">
        <v>1848</v>
      </c>
      <c r="B216" s="86"/>
      <c r="C216" s="86"/>
      <c r="D216" s="359"/>
      <c r="E216" s="89"/>
      <c r="F216" s="89"/>
      <c r="G216" s="91"/>
      <c r="H216" s="91"/>
      <c r="I216" s="91"/>
      <c r="J216" s="91"/>
      <c r="K216" s="91"/>
      <c r="L216" s="91"/>
      <c r="M216" s="93"/>
      <c r="N216" s="95"/>
    </row>
    <row r="217" hidden="1" outlineLevel="1">
      <c r="A217" s="96" t="s">
        <v>89</v>
      </c>
      <c r="B217" s="98" t="s">
        <v>90</v>
      </c>
      <c r="C217" s="98" t="s">
        <v>91</v>
      </c>
      <c r="D217" s="101" t="s">
        <v>93</v>
      </c>
      <c r="E217" s="102" t="s">
        <v>94</v>
      </c>
      <c r="F217" s="102" t="s">
        <v>95</v>
      </c>
      <c r="G217" s="105" t="s">
        <v>96</v>
      </c>
      <c r="H217" s="107" t="s">
        <v>97</v>
      </c>
      <c r="I217" s="107" t="s">
        <v>104</v>
      </c>
      <c r="J217" s="105" t="s">
        <v>106</v>
      </c>
      <c r="K217" s="107" t="s">
        <v>109</v>
      </c>
      <c r="L217" s="105" t="s">
        <v>111</v>
      </c>
      <c r="M217" s="98" t="s">
        <v>114</v>
      </c>
      <c r="N217" s="101" t="s">
        <v>116</v>
      </c>
    </row>
    <row r="218" hidden="1" outlineLevel="1">
      <c r="A218" s="573" t="s">
        <v>1850</v>
      </c>
      <c r="B218" s="115">
        <v>46132.0</v>
      </c>
      <c r="C218" s="118" t="str">
        <f t="shared" ref="C218:C232" si="25">IF(B218="", "", TEXT(B218, "ddd"))</f>
        <v>Mon</v>
      </c>
      <c r="D218" s="143">
        <f t="shared" ref="D218:D232" si="26">IF(E218="Yes",0.05,0)
+IF(F218="Yes",0.1,0)
+IF(G218="Yes",0.15,0)
+IF(H218="Yes",0.15,0)
+IF(I218="Yes",0.05,0)
+IF(J218="Yes",0.05,0)
+IF(K218="Yes",0.15,0)
+IF(L218="Yes",0.3,0)
</f>
        <v>1</v>
      </c>
      <c r="E218" s="144" t="s">
        <v>142</v>
      </c>
      <c r="F218" s="134" t="s">
        <v>142</v>
      </c>
      <c r="G218" s="134" t="s">
        <v>142</v>
      </c>
      <c r="H218" s="134" t="s">
        <v>142</v>
      </c>
      <c r="I218" s="134" t="s">
        <v>142</v>
      </c>
      <c r="J218" s="134" t="s">
        <v>142</v>
      </c>
      <c r="K218" s="134" t="s">
        <v>142</v>
      </c>
      <c r="L218" s="134" t="s">
        <v>142</v>
      </c>
      <c r="M218" s="136"/>
      <c r="N218" s="137"/>
    </row>
    <row r="219" hidden="1" outlineLevel="1">
      <c r="A219" s="573" t="s">
        <v>1857</v>
      </c>
      <c r="B219" s="115">
        <v>46132.0</v>
      </c>
      <c r="C219" s="118" t="str">
        <f t="shared" si="25"/>
        <v>Mon</v>
      </c>
      <c r="D219" s="128">
        <f t="shared" si="26"/>
        <v>1</v>
      </c>
      <c r="E219" s="131" t="s">
        <v>142</v>
      </c>
      <c r="F219" s="134" t="s">
        <v>142</v>
      </c>
      <c r="G219" s="134" t="s">
        <v>142</v>
      </c>
      <c r="H219" s="134" t="s">
        <v>142</v>
      </c>
      <c r="I219" s="134" t="s">
        <v>142</v>
      </c>
      <c r="J219" s="134" t="s">
        <v>142</v>
      </c>
      <c r="K219" s="134" t="s">
        <v>142</v>
      </c>
      <c r="L219" s="134" t="s">
        <v>142</v>
      </c>
      <c r="M219" s="136"/>
      <c r="N219" s="131"/>
    </row>
    <row r="220" hidden="1" outlineLevel="1">
      <c r="A220" s="573" t="s">
        <v>1859</v>
      </c>
      <c r="B220" s="115">
        <v>46132.0</v>
      </c>
      <c r="C220" s="118" t="str">
        <f t="shared" si="25"/>
        <v>Mon</v>
      </c>
      <c r="D220" s="143">
        <f t="shared" si="26"/>
        <v>1</v>
      </c>
      <c r="E220" s="144" t="s">
        <v>142</v>
      </c>
      <c r="F220" s="134" t="s">
        <v>142</v>
      </c>
      <c r="G220" s="134" t="s">
        <v>142</v>
      </c>
      <c r="H220" s="134" t="s">
        <v>142</v>
      </c>
      <c r="I220" s="134" t="s">
        <v>142</v>
      </c>
      <c r="J220" s="134" t="s">
        <v>142</v>
      </c>
      <c r="K220" s="134" t="s">
        <v>142</v>
      </c>
      <c r="L220" s="134" t="s">
        <v>142</v>
      </c>
      <c r="M220" s="136"/>
      <c r="N220" s="131"/>
    </row>
    <row r="221" hidden="1" outlineLevel="1">
      <c r="A221" s="422" t="s">
        <v>197</v>
      </c>
      <c r="B221" s="115">
        <v>46135.0</v>
      </c>
      <c r="C221" s="118" t="str">
        <f t="shared" si="25"/>
        <v>Thu</v>
      </c>
      <c r="D221" s="128">
        <f t="shared" si="26"/>
        <v>1</v>
      </c>
      <c r="E221" s="131" t="s">
        <v>142</v>
      </c>
      <c r="F221" s="134" t="s">
        <v>142</v>
      </c>
      <c r="G221" s="134" t="s">
        <v>142</v>
      </c>
      <c r="H221" s="134" t="s">
        <v>142</v>
      </c>
      <c r="I221" s="134" t="s">
        <v>142</v>
      </c>
      <c r="J221" s="134" t="s">
        <v>142</v>
      </c>
      <c r="K221" s="134" t="s">
        <v>142</v>
      </c>
      <c r="L221" s="134" t="s">
        <v>142</v>
      </c>
      <c r="M221" s="136"/>
      <c r="N221" s="137"/>
    </row>
    <row r="222" hidden="1" outlineLevel="1">
      <c r="A222" s="422" t="s">
        <v>197</v>
      </c>
      <c r="B222" s="115">
        <v>46135.0</v>
      </c>
      <c r="C222" s="118" t="str">
        <f t="shared" si="25"/>
        <v>Thu</v>
      </c>
      <c r="D222" s="143">
        <f t="shared" si="26"/>
        <v>1</v>
      </c>
      <c r="E222" s="144" t="s">
        <v>142</v>
      </c>
      <c r="F222" s="134" t="s">
        <v>142</v>
      </c>
      <c r="G222" s="134" t="s">
        <v>142</v>
      </c>
      <c r="H222" s="134" t="s">
        <v>142</v>
      </c>
      <c r="I222" s="134" t="s">
        <v>142</v>
      </c>
      <c r="J222" s="134" t="s">
        <v>142</v>
      </c>
      <c r="K222" s="134" t="s">
        <v>142</v>
      </c>
      <c r="L222" s="134" t="s">
        <v>142</v>
      </c>
      <c r="M222" s="136"/>
      <c r="N222" s="137"/>
    </row>
    <row r="223" hidden="1" outlineLevel="1">
      <c r="A223" s="422" t="s">
        <v>197</v>
      </c>
      <c r="B223" s="115">
        <v>46135.0</v>
      </c>
      <c r="C223" s="118" t="str">
        <f t="shared" si="25"/>
        <v>Thu</v>
      </c>
      <c r="D223" s="128">
        <f t="shared" si="26"/>
        <v>1</v>
      </c>
      <c r="E223" s="131" t="s">
        <v>142</v>
      </c>
      <c r="F223" s="134" t="s">
        <v>142</v>
      </c>
      <c r="G223" s="134" t="s">
        <v>142</v>
      </c>
      <c r="H223" s="134" t="s">
        <v>142</v>
      </c>
      <c r="I223" s="134" t="s">
        <v>142</v>
      </c>
      <c r="J223" s="134" t="s">
        <v>142</v>
      </c>
      <c r="K223" s="134" t="s">
        <v>142</v>
      </c>
      <c r="L223" s="134" t="s">
        <v>142</v>
      </c>
      <c r="M223" s="136"/>
      <c r="N223" s="137"/>
    </row>
    <row r="224" hidden="1" outlineLevel="1">
      <c r="A224" s="398" t="s">
        <v>1864</v>
      </c>
      <c r="B224" s="115">
        <v>46136.0</v>
      </c>
      <c r="C224" s="118" t="str">
        <f t="shared" si="25"/>
        <v>Fri</v>
      </c>
      <c r="D224" s="143">
        <f t="shared" si="26"/>
        <v>1</v>
      </c>
      <c r="E224" s="144" t="s">
        <v>142</v>
      </c>
      <c r="F224" s="134" t="s">
        <v>142</v>
      </c>
      <c r="G224" s="134" t="s">
        <v>142</v>
      </c>
      <c r="H224" s="134" t="s">
        <v>142</v>
      </c>
      <c r="I224" s="134" t="s">
        <v>142</v>
      </c>
      <c r="J224" s="134" t="s">
        <v>142</v>
      </c>
      <c r="K224" s="134" t="s">
        <v>142</v>
      </c>
      <c r="L224" s="134" t="s">
        <v>142</v>
      </c>
      <c r="M224" s="136"/>
      <c r="N224" s="137"/>
    </row>
    <row r="225" hidden="1" outlineLevel="1">
      <c r="A225" s="353" t="s">
        <v>1865</v>
      </c>
      <c r="B225" s="115">
        <v>46136.0</v>
      </c>
      <c r="C225" s="118" t="str">
        <f t="shared" si="25"/>
        <v>Fri</v>
      </c>
      <c r="D225" s="128">
        <f t="shared" si="26"/>
        <v>1</v>
      </c>
      <c r="E225" s="131" t="s">
        <v>142</v>
      </c>
      <c r="F225" s="134" t="s">
        <v>142</v>
      </c>
      <c r="G225" s="134" t="s">
        <v>142</v>
      </c>
      <c r="H225" s="134" t="s">
        <v>142</v>
      </c>
      <c r="I225" s="134" t="s">
        <v>142</v>
      </c>
      <c r="J225" s="134" t="s">
        <v>142</v>
      </c>
      <c r="K225" s="134" t="s">
        <v>142</v>
      </c>
      <c r="L225" s="134" t="s">
        <v>142</v>
      </c>
      <c r="M225" s="136"/>
      <c r="N225" s="131"/>
    </row>
    <row r="226" hidden="1" outlineLevel="1">
      <c r="A226" s="398" t="s">
        <v>1867</v>
      </c>
      <c r="B226" s="115">
        <v>46136.0</v>
      </c>
      <c r="C226" s="118" t="str">
        <f t="shared" si="25"/>
        <v>Fri</v>
      </c>
      <c r="D226" s="143">
        <f t="shared" si="26"/>
        <v>1</v>
      </c>
      <c r="E226" s="144" t="s">
        <v>142</v>
      </c>
      <c r="F226" s="134" t="s">
        <v>142</v>
      </c>
      <c r="G226" s="134" t="s">
        <v>142</v>
      </c>
      <c r="H226" s="134" t="s">
        <v>142</v>
      </c>
      <c r="I226" s="134" t="s">
        <v>142</v>
      </c>
      <c r="J226" s="134" t="s">
        <v>142</v>
      </c>
      <c r="K226" s="134" t="s">
        <v>142</v>
      </c>
      <c r="L226" s="134" t="s">
        <v>142</v>
      </c>
      <c r="M226" s="136"/>
      <c r="N226" s="137"/>
    </row>
    <row r="227" hidden="1" outlineLevel="1">
      <c r="A227" s="574" t="s">
        <v>1868</v>
      </c>
      <c r="B227" s="115">
        <v>46137.0</v>
      </c>
      <c r="C227" s="118" t="str">
        <f t="shared" si="25"/>
        <v>Sat</v>
      </c>
      <c r="D227" s="128">
        <f t="shared" si="26"/>
        <v>1</v>
      </c>
      <c r="E227" s="131" t="s">
        <v>142</v>
      </c>
      <c r="F227" s="134" t="s">
        <v>142</v>
      </c>
      <c r="G227" s="134" t="s">
        <v>142</v>
      </c>
      <c r="H227" s="134" t="s">
        <v>142</v>
      </c>
      <c r="I227" s="134" t="s">
        <v>142</v>
      </c>
      <c r="J227" s="134" t="s">
        <v>142</v>
      </c>
      <c r="K227" s="134" t="s">
        <v>142</v>
      </c>
      <c r="L227" s="134" t="s">
        <v>142</v>
      </c>
      <c r="M227" s="136"/>
      <c r="N227" s="131"/>
    </row>
    <row r="228" hidden="1" outlineLevel="1">
      <c r="A228" s="398" t="s">
        <v>1870</v>
      </c>
      <c r="B228" s="115">
        <v>46137.0</v>
      </c>
      <c r="C228" s="118" t="str">
        <f t="shared" si="25"/>
        <v>Sat</v>
      </c>
      <c r="D228" s="143">
        <f t="shared" si="26"/>
        <v>1</v>
      </c>
      <c r="E228" s="144" t="s">
        <v>142</v>
      </c>
      <c r="F228" s="134" t="s">
        <v>142</v>
      </c>
      <c r="G228" s="134" t="s">
        <v>142</v>
      </c>
      <c r="H228" s="134" t="s">
        <v>142</v>
      </c>
      <c r="I228" s="134" t="s">
        <v>142</v>
      </c>
      <c r="J228" s="134" t="s">
        <v>142</v>
      </c>
      <c r="K228" s="134" t="s">
        <v>142</v>
      </c>
      <c r="L228" s="134" t="s">
        <v>142</v>
      </c>
      <c r="M228" s="136"/>
      <c r="N228" s="131"/>
    </row>
    <row r="229" hidden="1" outlineLevel="1">
      <c r="A229" s="398" t="s">
        <v>1873</v>
      </c>
      <c r="B229" s="115">
        <v>46137.0</v>
      </c>
      <c r="C229" s="118" t="str">
        <f t="shared" si="25"/>
        <v>Sat</v>
      </c>
      <c r="D229" s="128">
        <f t="shared" si="26"/>
        <v>1</v>
      </c>
      <c r="E229" s="131" t="s">
        <v>142</v>
      </c>
      <c r="F229" s="134" t="s">
        <v>142</v>
      </c>
      <c r="G229" s="134" t="s">
        <v>142</v>
      </c>
      <c r="H229" s="134" t="s">
        <v>142</v>
      </c>
      <c r="I229" s="134" t="s">
        <v>142</v>
      </c>
      <c r="J229" s="134" t="s">
        <v>142</v>
      </c>
      <c r="K229" s="134" t="s">
        <v>142</v>
      </c>
      <c r="L229" s="134" t="s">
        <v>142</v>
      </c>
      <c r="M229" s="136"/>
      <c r="N229" s="131"/>
    </row>
    <row r="230" hidden="1" outlineLevel="1">
      <c r="A230" s="398" t="s">
        <v>1875</v>
      </c>
      <c r="B230" s="115">
        <v>46138.0</v>
      </c>
      <c r="C230" s="118" t="str">
        <f t="shared" si="25"/>
        <v>Sun</v>
      </c>
      <c r="D230" s="143">
        <f t="shared" si="26"/>
        <v>1</v>
      </c>
      <c r="E230" s="144" t="s">
        <v>142</v>
      </c>
      <c r="F230" s="134" t="s">
        <v>142</v>
      </c>
      <c r="G230" s="134" t="s">
        <v>142</v>
      </c>
      <c r="H230" s="134" t="s">
        <v>142</v>
      </c>
      <c r="I230" s="134" t="s">
        <v>142</v>
      </c>
      <c r="J230" s="134" t="s">
        <v>142</v>
      </c>
      <c r="K230" s="134" t="s">
        <v>142</v>
      </c>
      <c r="L230" s="134" t="s">
        <v>142</v>
      </c>
      <c r="M230" s="136"/>
      <c r="N230" s="137"/>
    </row>
    <row r="231" hidden="1" outlineLevel="1">
      <c r="A231" s="398" t="s">
        <v>1877</v>
      </c>
      <c r="B231" s="115">
        <v>46138.0</v>
      </c>
      <c r="C231" s="118" t="str">
        <f t="shared" si="25"/>
        <v>Sun</v>
      </c>
      <c r="D231" s="128">
        <f t="shared" si="26"/>
        <v>1</v>
      </c>
      <c r="E231" s="131" t="s">
        <v>142</v>
      </c>
      <c r="F231" s="134" t="s">
        <v>142</v>
      </c>
      <c r="G231" s="134" t="s">
        <v>142</v>
      </c>
      <c r="H231" s="134" t="s">
        <v>142</v>
      </c>
      <c r="I231" s="134" t="s">
        <v>142</v>
      </c>
      <c r="J231" s="134" t="s">
        <v>142</v>
      </c>
      <c r="K231" s="134" t="s">
        <v>142</v>
      </c>
      <c r="L231" s="134" t="s">
        <v>142</v>
      </c>
      <c r="M231" s="136"/>
      <c r="N231" s="137"/>
    </row>
    <row r="232" ht="15.0" hidden="1" customHeight="1" outlineLevel="1">
      <c r="A232" s="398" t="s">
        <v>1879</v>
      </c>
      <c r="B232" s="115">
        <v>46138.0</v>
      </c>
      <c r="C232" s="118" t="str">
        <f t="shared" si="25"/>
        <v>Sun</v>
      </c>
      <c r="D232" s="143">
        <f t="shared" si="26"/>
        <v>1</v>
      </c>
      <c r="E232" s="144" t="s">
        <v>142</v>
      </c>
      <c r="F232" s="134" t="s">
        <v>142</v>
      </c>
      <c r="G232" s="134" t="s">
        <v>142</v>
      </c>
      <c r="H232" s="134" t="s">
        <v>142</v>
      </c>
      <c r="I232" s="134" t="s">
        <v>142</v>
      </c>
      <c r="J232" s="134" t="s">
        <v>142</v>
      </c>
      <c r="K232" s="134" t="s">
        <v>142</v>
      </c>
      <c r="L232" s="134" t="s">
        <v>142</v>
      </c>
      <c r="M232" s="136"/>
      <c r="N232" s="131"/>
    </row>
    <row r="233" hidden="1" outlineLevel="1">
      <c r="B233" s="215"/>
      <c r="C233" s="216" t="s">
        <v>199</v>
      </c>
      <c r="D233" s="217">
        <f>AVERAGE(D218:D232)</f>
        <v>1</v>
      </c>
      <c r="E233" s="472"/>
      <c r="L233" s="216" t="s">
        <v>199</v>
      </c>
      <c r="M233" s="217">
        <f>SUM(M218:M232)/75*0.1</f>
        <v>0</v>
      </c>
    </row>
    <row r="234" hidden="1" collapsed="1">
      <c r="A234" s="85" t="s">
        <v>1883</v>
      </c>
      <c r="B234" s="86"/>
      <c r="C234" s="86"/>
      <c r="D234" s="359"/>
      <c r="E234" s="89"/>
      <c r="F234" s="89"/>
      <c r="G234" s="91"/>
      <c r="H234" s="91"/>
      <c r="I234" s="91"/>
      <c r="J234" s="91"/>
      <c r="K234" s="91"/>
      <c r="L234" s="91"/>
      <c r="M234" s="93"/>
      <c r="N234" s="95"/>
    </row>
    <row r="235" hidden="1" outlineLevel="1">
      <c r="A235" s="96" t="s">
        <v>89</v>
      </c>
      <c r="B235" s="98" t="s">
        <v>90</v>
      </c>
      <c r="C235" s="98" t="s">
        <v>91</v>
      </c>
      <c r="D235" s="101" t="s">
        <v>93</v>
      </c>
      <c r="E235" s="102" t="s">
        <v>94</v>
      </c>
      <c r="F235" s="102" t="s">
        <v>95</v>
      </c>
      <c r="G235" s="105" t="s">
        <v>96</v>
      </c>
      <c r="H235" s="107" t="s">
        <v>97</v>
      </c>
      <c r="I235" s="107" t="s">
        <v>104</v>
      </c>
      <c r="J235" s="105" t="s">
        <v>106</v>
      </c>
      <c r="K235" s="107" t="s">
        <v>109</v>
      </c>
      <c r="L235" s="105" t="s">
        <v>111</v>
      </c>
      <c r="M235" s="98" t="s">
        <v>114</v>
      </c>
      <c r="N235" s="101" t="s">
        <v>116</v>
      </c>
    </row>
    <row r="236" hidden="1" outlineLevel="1">
      <c r="A236" s="398" t="s">
        <v>1884</v>
      </c>
      <c r="B236" s="115">
        <v>46139.0</v>
      </c>
      <c r="C236" s="118" t="str">
        <f t="shared" ref="C236:C250" si="27">IF(B236="", "", TEXT(B236, "ddd"))</f>
        <v>Mon</v>
      </c>
      <c r="D236" s="143">
        <f t="shared" ref="D236:D250" si="28">IF(E236="Yes",0.05,0)
+IF(F236="Yes",0.1,0)
+IF(G236="Yes",0.15,0)
+IF(H236="Yes",0.15,0)
+IF(I236="Yes",0.05,0)
+IF(J236="Yes",0.05,0)
+IF(K236="Yes",0.15,0)
+IF(L236="Yes",0.3,0)
</f>
        <v>1</v>
      </c>
      <c r="E236" s="144" t="s">
        <v>142</v>
      </c>
      <c r="F236" s="134" t="s">
        <v>142</v>
      </c>
      <c r="G236" s="134" t="s">
        <v>142</v>
      </c>
      <c r="H236" s="134" t="s">
        <v>142</v>
      </c>
      <c r="I236" s="134" t="s">
        <v>142</v>
      </c>
      <c r="J236" s="134" t="s">
        <v>142</v>
      </c>
      <c r="K236" s="134" t="s">
        <v>142</v>
      </c>
      <c r="L236" s="134" t="s">
        <v>142</v>
      </c>
      <c r="M236" s="136"/>
      <c r="N236" s="137"/>
    </row>
    <row r="237" hidden="1" outlineLevel="1">
      <c r="A237" s="397" t="s">
        <v>1888</v>
      </c>
      <c r="B237" s="115">
        <v>46139.0</v>
      </c>
      <c r="C237" s="118" t="str">
        <f t="shared" si="27"/>
        <v>Mon</v>
      </c>
      <c r="D237" s="128">
        <f t="shared" si="28"/>
        <v>1</v>
      </c>
      <c r="E237" s="131" t="s">
        <v>142</v>
      </c>
      <c r="F237" s="134" t="s">
        <v>142</v>
      </c>
      <c r="G237" s="134" t="s">
        <v>142</v>
      </c>
      <c r="H237" s="134" t="s">
        <v>142</v>
      </c>
      <c r="I237" s="134" t="s">
        <v>142</v>
      </c>
      <c r="J237" s="134" t="s">
        <v>142</v>
      </c>
      <c r="K237" s="134" t="s">
        <v>142</v>
      </c>
      <c r="L237" s="134" t="s">
        <v>142</v>
      </c>
      <c r="M237" s="136"/>
      <c r="N237" s="131"/>
    </row>
    <row r="238" hidden="1" outlineLevel="1">
      <c r="A238" s="397" t="s">
        <v>1889</v>
      </c>
      <c r="B238" s="115">
        <v>46139.0</v>
      </c>
      <c r="C238" s="118" t="str">
        <f t="shared" si="27"/>
        <v>Mon</v>
      </c>
      <c r="D238" s="143">
        <f t="shared" si="28"/>
        <v>1</v>
      </c>
      <c r="E238" s="144" t="s">
        <v>142</v>
      </c>
      <c r="F238" s="134" t="s">
        <v>142</v>
      </c>
      <c r="G238" s="134" t="s">
        <v>142</v>
      </c>
      <c r="H238" s="134" t="s">
        <v>142</v>
      </c>
      <c r="I238" s="134" t="s">
        <v>142</v>
      </c>
      <c r="J238" s="134" t="s">
        <v>142</v>
      </c>
      <c r="K238" s="134" t="s">
        <v>142</v>
      </c>
      <c r="L238" s="134" t="s">
        <v>142</v>
      </c>
      <c r="M238" s="136"/>
      <c r="N238" s="131"/>
    </row>
    <row r="239" hidden="1" outlineLevel="1">
      <c r="A239" s="575" t="s">
        <v>1892</v>
      </c>
      <c r="B239" s="115">
        <v>46142.0</v>
      </c>
      <c r="C239" s="118" t="str">
        <f t="shared" si="27"/>
        <v>Thu</v>
      </c>
      <c r="D239" s="128">
        <f t="shared" si="28"/>
        <v>1</v>
      </c>
      <c r="E239" s="131" t="s">
        <v>142</v>
      </c>
      <c r="F239" s="134" t="s">
        <v>142</v>
      </c>
      <c r="G239" s="134" t="s">
        <v>142</v>
      </c>
      <c r="H239" s="134" t="s">
        <v>142</v>
      </c>
      <c r="I239" s="134" t="s">
        <v>142</v>
      </c>
      <c r="J239" s="134" t="s">
        <v>142</v>
      </c>
      <c r="K239" s="134" t="s">
        <v>142</v>
      </c>
      <c r="L239" s="134" t="s">
        <v>142</v>
      </c>
      <c r="M239" s="136"/>
      <c r="N239" s="137"/>
    </row>
    <row r="240" hidden="1" outlineLevel="1">
      <c r="A240" s="576" t="s">
        <v>1911</v>
      </c>
      <c r="B240" s="115">
        <v>46142.0</v>
      </c>
      <c r="C240" s="118" t="str">
        <f t="shared" si="27"/>
        <v>Thu</v>
      </c>
      <c r="D240" s="143">
        <f t="shared" si="28"/>
        <v>1</v>
      </c>
      <c r="E240" s="144" t="s">
        <v>142</v>
      </c>
      <c r="F240" s="134" t="s">
        <v>142</v>
      </c>
      <c r="G240" s="134" t="s">
        <v>142</v>
      </c>
      <c r="H240" s="134" t="s">
        <v>142</v>
      </c>
      <c r="I240" s="134" t="s">
        <v>142</v>
      </c>
      <c r="J240" s="134" t="s">
        <v>142</v>
      </c>
      <c r="K240" s="134" t="s">
        <v>142</v>
      </c>
      <c r="L240" s="134" t="s">
        <v>142</v>
      </c>
      <c r="M240" s="136"/>
      <c r="N240" s="137"/>
    </row>
    <row r="241" hidden="1" outlineLevel="1">
      <c r="A241" s="576" t="s">
        <v>1914</v>
      </c>
      <c r="B241" s="115">
        <v>46142.0</v>
      </c>
      <c r="C241" s="118" t="str">
        <f t="shared" si="27"/>
        <v>Thu</v>
      </c>
      <c r="D241" s="128">
        <f t="shared" si="28"/>
        <v>1</v>
      </c>
      <c r="E241" s="131" t="s">
        <v>142</v>
      </c>
      <c r="F241" s="134" t="s">
        <v>142</v>
      </c>
      <c r="G241" s="134" t="s">
        <v>142</v>
      </c>
      <c r="H241" s="134" t="s">
        <v>142</v>
      </c>
      <c r="I241" s="134" t="s">
        <v>142</v>
      </c>
      <c r="J241" s="134" t="s">
        <v>142</v>
      </c>
      <c r="K241" s="134" t="s">
        <v>142</v>
      </c>
      <c r="L241" s="134" t="s">
        <v>142</v>
      </c>
      <c r="M241" s="136"/>
      <c r="N241" s="137"/>
    </row>
    <row r="242" hidden="1" outlineLevel="1">
      <c r="A242" s="575" t="s">
        <v>1916</v>
      </c>
      <c r="B242" s="115">
        <v>46143.0</v>
      </c>
      <c r="C242" s="118" t="str">
        <f t="shared" si="27"/>
        <v>Fri</v>
      </c>
      <c r="D242" s="143">
        <f t="shared" si="28"/>
        <v>1</v>
      </c>
      <c r="E242" s="144" t="s">
        <v>142</v>
      </c>
      <c r="F242" s="134" t="s">
        <v>142</v>
      </c>
      <c r="G242" s="134" t="s">
        <v>142</v>
      </c>
      <c r="H242" s="134" t="s">
        <v>142</v>
      </c>
      <c r="I242" s="134" t="s">
        <v>142</v>
      </c>
      <c r="J242" s="134" t="s">
        <v>142</v>
      </c>
      <c r="K242" s="134" t="s">
        <v>142</v>
      </c>
      <c r="L242" s="134" t="s">
        <v>142</v>
      </c>
      <c r="M242" s="136"/>
      <c r="N242" s="137"/>
    </row>
    <row r="243" hidden="1" outlineLevel="1">
      <c r="A243" s="576" t="s">
        <v>1918</v>
      </c>
      <c r="B243" s="115">
        <v>46143.0</v>
      </c>
      <c r="C243" s="118" t="str">
        <f t="shared" si="27"/>
        <v>Fri</v>
      </c>
      <c r="D243" s="128">
        <f t="shared" si="28"/>
        <v>1</v>
      </c>
      <c r="E243" s="131" t="s">
        <v>142</v>
      </c>
      <c r="F243" s="134" t="s">
        <v>142</v>
      </c>
      <c r="G243" s="134" t="s">
        <v>142</v>
      </c>
      <c r="H243" s="134" t="s">
        <v>142</v>
      </c>
      <c r="I243" s="134" t="s">
        <v>142</v>
      </c>
      <c r="J243" s="134" t="s">
        <v>142</v>
      </c>
      <c r="K243" s="134" t="s">
        <v>142</v>
      </c>
      <c r="L243" s="134" t="s">
        <v>142</v>
      </c>
      <c r="M243" s="136"/>
      <c r="N243" s="131"/>
    </row>
    <row r="244" hidden="1" outlineLevel="1">
      <c r="A244" s="575" t="s">
        <v>1919</v>
      </c>
      <c r="B244" s="115">
        <v>46143.0</v>
      </c>
      <c r="C244" s="118" t="str">
        <f t="shared" si="27"/>
        <v>Fri</v>
      </c>
      <c r="D244" s="143">
        <f t="shared" si="28"/>
        <v>1</v>
      </c>
      <c r="E244" s="144" t="s">
        <v>142</v>
      </c>
      <c r="F244" s="134" t="s">
        <v>142</v>
      </c>
      <c r="G244" s="134" t="s">
        <v>142</v>
      </c>
      <c r="H244" s="134" t="s">
        <v>142</v>
      </c>
      <c r="I244" s="134" t="s">
        <v>142</v>
      </c>
      <c r="J244" s="134" t="s">
        <v>142</v>
      </c>
      <c r="K244" s="134" t="s">
        <v>142</v>
      </c>
      <c r="L244" s="134" t="s">
        <v>142</v>
      </c>
      <c r="M244" s="136"/>
      <c r="N244" s="137"/>
    </row>
    <row r="245" hidden="1" outlineLevel="1">
      <c r="A245" s="577"/>
      <c r="B245" s="115"/>
      <c r="C245" s="118" t="str">
        <f t="shared" si="27"/>
        <v/>
      </c>
      <c r="D245" s="128">
        <f t="shared" si="28"/>
        <v>1</v>
      </c>
      <c r="E245" s="131" t="s">
        <v>142</v>
      </c>
      <c r="F245" s="134" t="s">
        <v>142</v>
      </c>
      <c r="G245" s="134" t="s">
        <v>142</v>
      </c>
      <c r="H245" s="134" t="s">
        <v>142</v>
      </c>
      <c r="I245" s="134" t="s">
        <v>142</v>
      </c>
      <c r="J245" s="134" t="s">
        <v>142</v>
      </c>
      <c r="K245" s="134" t="s">
        <v>142</v>
      </c>
      <c r="L245" s="134" t="s">
        <v>142</v>
      </c>
      <c r="M245" s="136"/>
      <c r="N245" s="131"/>
    </row>
    <row r="246" hidden="1" outlineLevel="1">
      <c r="A246" s="578"/>
      <c r="B246" s="115"/>
      <c r="C246" s="118" t="str">
        <f t="shared" si="27"/>
        <v/>
      </c>
      <c r="D246" s="143">
        <f t="shared" si="28"/>
        <v>1</v>
      </c>
      <c r="E246" s="144" t="s">
        <v>142</v>
      </c>
      <c r="F246" s="134" t="s">
        <v>142</v>
      </c>
      <c r="G246" s="134" t="s">
        <v>142</v>
      </c>
      <c r="H246" s="134" t="s">
        <v>142</v>
      </c>
      <c r="I246" s="134" t="s">
        <v>142</v>
      </c>
      <c r="J246" s="134" t="s">
        <v>142</v>
      </c>
      <c r="K246" s="134" t="s">
        <v>142</v>
      </c>
      <c r="L246" s="134" t="s">
        <v>142</v>
      </c>
      <c r="M246" s="136"/>
      <c r="N246" s="131"/>
    </row>
    <row r="247" hidden="1" outlineLevel="1">
      <c r="A247" s="578"/>
      <c r="B247" s="115"/>
      <c r="C247" s="118" t="str">
        <f t="shared" si="27"/>
        <v/>
      </c>
      <c r="D247" s="128">
        <f t="shared" si="28"/>
        <v>1</v>
      </c>
      <c r="E247" s="131" t="s">
        <v>142</v>
      </c>
      <c r="F247" s="134" t="s">
        <v>142</v>
      </c>
      <c r="G247" s="134" t="s">
        <v>142</v>
      </c>
      <c r="H247" s="134" t="s">
        <v>142</v>
      </c>
      <c r="I247" s="134" t="s">
        <v>142</v>
      </c>
      <c r="J247" s="134" t="s">
        <v>142</v>
      </c>
      <c r="K247" s="134" t="s">
        <v>142</v>
      </c>
      <c r="L247" s="134" t="s">
        <v>142</v>
      </c>
      <c r="M247" s="136"/>
      <c r="N247" s="131"/>
    </row>
    <row r="248" hidden="1" outlineLevel="1">
      <c r="A248" s="113"/>
      <c r="B248" s="115"/>
      <c r="C248" s="118" t="str">
        <f t="shared" si="27"/>
        <v/>
      </c>
      <c r="D248" s="143">
        <f t="shared" si="28"/>
        <v>1</v>
      </c>
      <c r="E248" s="144" t="s">
        <v>142</v>
      </c>
      <c r="F248" s="134" t="s">
        <v>142</v>
      </c>
      <c r="G248" s="134" t="s">
        <v>142</v>
      </c>
      <c r="H248" s="134" t="s">
        <v>142</v>
      </c>
      <c r="I248" s="134" t="s">
        <v>142</v>
      </c>
      <c r="J248" s="134" t="s">
        <v>142</v>
      </c>
      <c r="K248" s="134" t="s">
        <v>142</v>
      </c>
      <c r="L248" s="134" t="s">
        <v>142</v>
      </c>
      <c r="M248" s="136"/>
      <c r="N248" s="137"/>
    </row>
    <row r="249" hidden="1" outlineLevel="1">
      <c r="A249" s="113"/>
      <c r="B249" s="115"/>
      <c r="C249" s="118" t="str">
        <f t="shared" si="27"/>
        <v/>
      </c>
      <c r="D249" s="128">
        <f t="shared" si="28"/>
        <v>1</v>
      </c>
      <c r="E249" s="131" t="s">
        <v>142</v>
      </c>
      <c r="F249" s="134" t="s">
        <v>142</v>
      </c>
      <c r="G249" s="134" t="s">
        <v>142</v>
      </c>
      <c r="H249" s="134" t="s">
        <v>142</v>
      </c>
      <c r="I249" s="134" t="s">
        <v>142</v>
      </c>
      <c r="J249" s="134" t="s">
        <v>142</v>
      </c>
      <c r="K249" s="134" t="s">
        <v>142</v>
      </c>
      <c r="L249" s="134" t="s">
        <v>142</v>
      </c>
      <c r="M249" s="136"/>
      <c r="N249" s="137"/>
    </row>
    <row r="250" ht="15.0" hidden="1" customHeight="1" outlineLevel="1">
      <c r="A250" s="113"/>
      <c r="B250" s="115"/>
      <c r="C250" s="118" t="str">
        <f t="shared" si="27"/>
        <v/>
      </c>
      <c r="D250" s="143">
        <f t="shared" si="28"/>
        <v>1</v>
      </c>
      <c r="E250" s="144" t="s">
        <v>142</v>
      </c>
      <c r="F250" s="134" t="s">
        <v>142</v>
      </c>
      <c r="G250" s="134" t="s">
        <v>142</v>
      </c>
      <c r="H250" s="134" t="s">
        <v>142</v>
      </c>
      <c r="I250" s="134" t="s">
        <v>142</v>
      </c>
      <c r="J250" s="134" t="s">
        <v>142</v>
      </c>
      <c r="K250" s="134" t="s">
        <v>142</v>
      </c>
      <c r="L250" s="134" t="s">
        <v>142</v>
      </c>
      <c r="M250" s="136"/>
      <c r="N250" s="131"/>
    </row>
    <row r="251" hidden="1" outlineLevel="1">
      <c r="B251" s="215"/>
      <c r="C251" s="216" t="s">
        <v>199</v>
      </c>
      <c r="D251" s="217">
        <f>AVERAGE(D236:D250)</f>
        <v>1</v>
      </c>
      <c r="E251" s="472"/>
      <c r="L251" s="216" t="s">
        <v>199</v>
      </c>
      <c r="M251" s="217">
        <f>SUM(M236:M250)/75*0.1</f>
        <v>0</v>
      </c>
    </row>
    <row r="252" hidden="1" collapsed="1">
      <c r="A252" s="85" t="s">
        <v>1926</v>
      </c>
      <c r="B252" s="86"/>
      <c r="C252" s="86"/>
      <c r="D252" s="359"/>
      <c r="E252" s="89"/>
      <c r="F252" s="89"/>
      <c r="G252" s="91"/>
      <c r="H252" s="91"/>
      <c r="I252" s="91"/>
      <c r="J252" s="91"/>
      <c r="K252" s="91"/>
      <c r="L252" s="91"/>
      <c r="M252" s="93"/>
      <c r="N252" s="95"/>
    </row>
    <row r="253" hidden="1" outlineLevel="1">
      <c r="A253" s="96" t="s">
        <v>89</v>
      </c>
      <c r="B253" s="98" t="s">
        <v>90</v>
      </c>
      <c r="C253" s="98" t="s">
        <v>91</v>
      </c>
      <c r="D253" s="101" t="s">
        <v>93</v>
      </c>
      <c r="E253" s="102" t="s">
        <v>94</v>
      </c>
      <c r="F253" s="102" t="s">
        <v>95</v>
      </c>
      <c r="G253" s="105" t="s">
        <v>96</v>
      </c>
      <c r="H253" s="107" t="s">
        <v>97</v>
      </c>
      <c r="I253" s="107" t="s">
        <v>104</v>
      </c>
      <c r="J253" s="105" t="s">
        <v>106</v>
      </c>
      <c r="K253" s="107" t="s">
        <v>109</v>
      </c>
      <c r="L253" s="105" t="s">
        <v>111</v>
      </c>
      <c r="M253" s="98" t="s">
        <v>114</v>
      </c>
      <c r="N253" s="101" t="s">
        <v>116</v>
      </c>
    </row>
    <row r="254" hidden="1" outlineLevel="1">
      <c r="A254" s="575" t="s">
        <v>1928</v>
      </c>
      <c r="B254" s="115">
        <v>46148.0</v>
      </c>
      <c r="C254" s="118" t="str">
        <f t="shared" ref="C254:C268" si="29">IF(B254="", "", TEXT(B254, "ddd"))</f>
        <v>Wed</v>
      </c>
      <c r="D254" s="143">
        <f t="shared" ref="D254:D268" si="30">IF(E254="Yes",0.05,0)
+IF(F254="Yes",0.1,0)
+IF(G254="Yes",0.15,0)
+IF(H254="Yes",0.15,0)
+IF(I254="Yes",0.05,0)
+IF(J254="Yes",0.05,0)
+IF(K254="Yes",0.15,0)
+IF(L254="Yes",0.3,0)
</f>
        <v>1</v>
      </c>
      <c r="E254" s="144" t="s">
        <v>142</v>
      </c>
      <c r="F254" s="134" t="s">
        <v>142</v>
      </c>
      <c r="G254" s="134" t="s">
        <v>142</v>
      </c>
      <c r="H254" s="134" t="s">
        <v>142</v>
      </c>
      <c r="I254" s="134" t="s">
        <v>142</v>
      </c>
      <c r="J254" s="134" t="s">
        <v>142</v>
      </c>
      <c r="K254" s="134" t="s">
        <v>142</v>
      </c>
      <c r="L254" s="134" t="s">
        <v>142</v>
      </c>
      <c r="M254" s="136"/>
      <c r="N254" s="137"/>
    </row>
    <row r="255" hidden="1" outlineLevel="1">
      <c r="A255" s="576" t="s">
        <v>1931</v>
      </c>
      <c r="B255" s="115">
        <v>46148.0</v>
      </c>
      <c r="C255" s="118" t="str">
        <f t="shared" si="29"/>
        <v>Wed</v>
      </c>
      <c r="D255" s="128">
        <f t="shared" si="30"/>
        <v>1</v>
      </c>
      <c r="E255" s="131" t="s">
        <v>142</v>
      </c>
      <c r="F255" s="134" t="s">
        <v>142</v>
      </c>
      <c r="G255" s="134" t="s">
        <v>142</v>
      </c>
      <c r="H255" s="134" t="s">
        <v>142</v>
      </c>
      <c r="I255" s="134" t="s">
        <v>142</v>
      </c>
      <c r="J255" s="134" t="s">
        <v>142</v>
      </c>
      <c r="K255" s="134" t="s">
        <v>142</v>
      </c>
      <c r="L255" s="134" t="s">
        <v>142</v>
      </c>
      <c r="M255" s="136"/>
      <c r="N255" s="131"/>
    </row>
    <row r="256" hidden="1" outlineLevel="1">
      <c r="A256" s="576" t="s">
        <v>1933</v>
      </c>
      <c r="B256" s="115">
        <v>46148.0</v>
      </c>
      <c r="C256" s="118" t="str">
        <f t="shared" si="29"/>
        <v>Wed</v>
      </c>
      <c r="D256" s="143">
        <f t="shared" si="30"/>
        <v>1</v>
      </c>
      <c r="E256" s="144" t="s">
        <v>142</v>
      </c>
      <c r="F256" s="134" t="s">
        <v>142</v>
      </c>
      <c r="G256" s="134" t="s">
        <v>142</v>
      </c>
      <c r="H256" s="134" t="s">
        <v>142</v>
      </c>
      <c r="I256" s="134" t="s">
        <v>142</v>
      </c>
      <c r="J256" s="134" t="s">
        <v>142</v>
      </c>
      <c r="K256" s="134" t="s">
        <v>142</v>
      </c>
      <c r="L256" s="134" t="s">
        <v>142</v>
      </c>
      <c r="M256" s="136"/>
      <c r="N256" s="131"/>
    </row>
    <row r="257" hidden="1" outlineLevel="1">
      <c r="A257" s="575" t="s">
        <v>1934</v>
      </c>
      <c r="B257" s="115">
        <v>46149.0</v>
      </c>
      <c r="C257" s="118" t="str">
        <f t="shared" si="29"/>
        <v>Thu</v>
      </c>
      <c r="D257" s="128">
        <f t="shared" si="30"/>
        <v>1</v>
      </c>
      <c r="E257" s="131" t="s">
        <v>142</v>
      </c>
      <c r="F257" s="134" t="s">
        <v>142</v>
      </c>
      <c r="G257" s="134" t="s">
        <v>142</v>
      </c>
      <c r="H257" s="134" t="s">
        <v>142</v>
      </c>
      <c r="I257" s="134" t="s">
        <v>142</v>
      </c>
      <c r="J257" s="134" t="s">
        <v>142</v>
      </c>
      <c r="K257" s="134" t="s">
        <v>142</v>
      </c>
      <c r="L257" s="134" t="s">
        <v>142</v>
      </c>
      <c r="M257" s="136"/>
      <c r="N257" s="137"/>
    </row>
    <row r="258" hidden="1" outlineLevel="1">
      <c r="A258" s="575" t="s">
        <v>1936</v>
      </c>
      <c r="B258" s="115">
        <v>46149.0</v>
      </c>
      <c r="C258" s="118" t="str">
        <f t="shared" si="29"/>
        <v>Thu</v>
      </c>
      <c r="D258" s="143">
        <f t="shared" si="30"/>
        <v>1</v>
      </c>
      <c r="E258" s="144" t="s">
        <v>142</v>
      </c>
      <c r="F258" s="134" t="s">
        <v>142</v>
      </c>
      <c r="G258" s="134" t="s">
        <v>142</v>
      </c>
      <c r="H258" s="134" t="s">
        <v>142</v>
      </c>
      <c r="I258" s="134" t="s">
        <v>142</v>
      </c>
      <c r="J258" s="134" t="s">
        <v>142</v>
      </c>
      <c r="K258" s="134" t="s">
        <v>142</v>
      </c>
      <c r="L258" s="134" t="s">
        <v>142</v>
      </c>
      <c r="M258" s="136"/>
      <c r="N258" s="137"/>
    </row>
    <row r="259" hidden="1" outlineLevel="1">
      <c r="A259" s="576" t="s">
        <v>1938</v>
      </c>
      <c r="B259" s="115">
        <v>46149.0</v>
      </c>
      <c r="C259" s="118" t="str">
        <f t="shared" si="29"/>
        <v>Thu</v>
      </c>
      <c r="D259" s="128">
        <f t="shared" si="30"/>
        <v>1</v>
      </c>
      <c r="E259" s="131" t="s">
        <v>142</v>
      </c>
      <c r="F259" s="134" t="s">
        <v>142</v>
      </c>
      <c r="G259" s="134" t="s">
        <v>142</v>
      </c>
      <c r="H259" s="134" t="s">
        <v>142</v>
      </c>
      <c r="I259" s="134" t="s">
        <v>142</v>
      </c>
      <c r="J259" s="134" t="s">
        <v>142</v>
      </c>
      <c r="K259" s="134" t="s">
        <v>142</v>
      </c>
      <c r="L259" s="134" t="s">
        <v>142</v>
      </c>
      <c r="M259" s="136"/>
      <c r="N259" s="137"/>
    </row>
    <row r="260" hidden="1" outlineLevel="1">
      <c r="A260" s="575" t="s">
        <v>1940</v>
      </c>
      <c r="B260" s="115">
        <v>46150.0</v>
      </c>
      <c r="C260" s="118" t="str">
        <f t="shared" si="29"/>
        <v>Fri</v>
      </c>
      <c r="D260" s="143">
        <f t="shared" si="30"/>
        <v>1</v>
      </c>
      <c r="E260" s="144" t="s">
        <v>142</v>
      </c>
      <c r="F260" s="134" t="s">
        <v>142</v>
      </c>
      <c r="G260" s="134" t="s">
        <v>142</v>
      </c>
      <c r="H260" s="134" t="s">
        <v>142</v>
      </c>
      <c r="I260" s="134" t="s">
        <v>142</v>
      </c>
      <c r="J260" s="134" t="s">
        <v>142</v>
      </c>
      <c r="K260" s="134" t="s">
        <v>142</v>
      </c>
      <c r="L260" s="134" t="s">
        <v>142</v>
      </c>
      <c r="M260" s="136"/>
      <c r="N260" s="137"/>
    </row>
    <row r="261" hidden="1" outlineLevel="1">
      <c r="A261" s="576" t="s">
        <v>1942</v>
      </c>
      <c r="B261" s="115">
        <v>46150.0</v>
      </c>
      <c r="C261" s="118" t="str">
        <f t="shared" si="29"/>
        <v>Fri</v>
      </c>
      <c r="D261" s="128">
        <f t="shared" si="30"/>
        <v>1</v>
      </c>
      <c r="E261" s="131" t="s">
        <v>142</v>
      </c>
      <c r="F261" s="134" t="s">
        <v>142</v>
      </c>
      <c r="G261" s="134" t="s">
        <v>142</v>
      </c>
      <c r="H261" s="134" t="s">
        <v>142</v>
      </c>
      <c r="I261" s="134" t="s">
        <v>142</v>
      </c>
      <c r="J261" s="134" t="s">
        <v>142</v>
      </c>
      <c r="K261" s="134" t="s">
        <v>142</v>
      </c>
      <c r="L261" s="134" t="s">
        <v>142</v>
      </c>
      <c r="M261" s="136"/>
      <c r="N261" s="131"/>
    </row>
    <row r="262" hidden="1" outlineLevel="1">
      <c r="A262" s="575" t="s">
        <v>1944</v>
      </c>
      <c r="B262" s="115">
        <v>46150.0</v>
      </c>
      <c r="C262" s="118" t="str">
        <f t="shared" si="29"/>
        <v>Fri</v>
      </c>
      <c r="D262" s="143">
        <f t="shared" si="30"/>
        <v>1</v>
      </c>
      <c r="E262" s="144" t="s">
        <v>142</v>
      </c>
      <c r="F262" s="134" t="s">
        <v>142</v>
      </c>
      <c r="G262" s="134" t="s">
        <v>142</v>
      </c>
      <c r="H262" s="134" t="s">
        <v>142</v>
      </c>
      <c r="I262" s="134" t="s">
        <v>142</v>
      </c>
      <c r="J262" s="134" t="s">
        <v>142</v>
      </c>
      <c r="K262" s="134" t="s">
        <v>142</v>
      </c>
      <c r="L262" s="134" t="s">
        <v>142</v>
      </c>
      <c r="M262" s="136"/>
      <c r="N262" s="137"/>
    </row>
    <row r="263" hidden="1" outlineLevel="1">
      <c r="A263" s="576" t="s">
        <v>1946</v>
      </c>
      <c r="B263" s="115">
        <v>46151.0</v>
      </c>
      <c r="C263" s="118" t="str">
        <f t="shared" si="29"/>
        <v>Sat</v>
      </c>
      <c r="D263" s="128">
        <f t="shared" si="30"/>
        <v>1</v>
      </c>
      <c r="E263" s="131" t="s">
        <v>142</v>
      </c>
      <c r="F263" s="134" t="s">
        <v>142</v>
      </c>
      <c r="G263" s="134" t="s">
        <v>142</v>
      </c>
      <c r="H263" s="134" t="s">
        <v>142</v>
      </c>
      <c r="I263" s="134" t="s">
        <v>142</v>
      </c>
      <c r="J263" s="134" t="s">
        <v>142</v>
      </c>
      <c r="K263" s="134" t="s">
        <v>142</v>
      </c>
      <c r="L263" s="134" t="s">
        <v>142</v>
      </c>
      <c r="M263" s="136"/>
      <c r="N263" s="131"/>
    </row>
    <row r="264" hidden="1" outlineLevel="1">
      <c r="A264" s="575" t="s">
        <v>1947</v>
      </c>
      <c r="B264" s="115">
        <v>46151.0</v>
      </c>
      <c r="C264" s="118" t="str">
        <f t="shared" si="29"/>
        <v>Sat</v>
      </c>
      <c r="D264" s="143">
        <f t="shared" si="30"/>
        <v>1</v>
      </c>
      <c r="E264" s="144" t="s">
        <v>142</v>
      </c>
      <c r="F264" s="134" t="s">
        <v>142</v>
      </c>
      <c r="G264" s="134" t="s">
        <v>142</v>
      </c>
      <c r="H264" s="134" t="s">
        <v>142</v>
      </c>
      <c r="I264" s="134" t="s">
        <v>142</v>
      </c>
      <c r="J264" s="134" t="s">
        <v>142</v>
      </c>
      <c r="K264" s="134" t="s">
        <v>142</v>
      </c>
      <c r="L264" s="134" t="s">
        <v>142</v>
      </c>
      <c r="M264" s="136"/>
      <c r="N264" s="131"/>
    </row>
    <row r="265" hidden="1" outlineLevel="1">
      <c r="A265" s="575" t="s">
        <v>1951</v>
      </c>
      <c r="B265" s="115">
        <v>46151.0</v>
      </c>
      <c r="C265" s="118" t="str">
        <f t="shared" si="29"/>
        <v>Sat</v>
      </c>
      <c r="D265" s="128">
        <f t="shared" si="30"/>
        <v>1</v>
      </c>
      <c r="E265" s="131" t="s">
        <v>142</v>
      </c>
      <c r="F265" s="134" t="s">
        <v>142</v>
      </c>
      <c r="G265" s="134" t="s">
        <v>142</v>
      </c>
      <c r="H265" s="134" t="s">
        <v>142</v>
      </c>
      <c r="I265" s="134" t="s">
        <v>142</v>
      </c>
      <c r="J265" s="134" t="s">
        <v>142</v>
      </c>
      <c r="K265" s="134" t="s">
        <v>142</v>
      </c>
      <c r="L265" s="134" t="s">
        <v>142</v>
      </c>
      <c r="M265" s="136"/>
      <c r="N265" s="131"/>
    </row>
    <row r="266" hidden="1" outlineLevel="1">
      <c r="A266" s="576" t="s">
        <v>1953</v>
      </c>
      <c r="B266" s="115">
        <v>46152.0</v>
      </c>
      <c r="C266" s="118" t="str">
        <f t="shared" si="29"/>
        <v>Sun</v>
      </c>
      <c r="D266" s="143">
        <f t="shared" si="30"/>
        <v>1</v>
      </c>
      <c r="E266" s="144" t="s">
        <v>142</v>
      </c>
      <c r="F266" s="134" t="s">
        <v>142</v>
      </c>
      <c r="G266" s="134" t="s">
        <v>142</v>
      </c>
      <c r="H266" s="134" t="s">
        <v>142</v>
      </c>
      <c r="I266" s="134" t="s">
        <v>142</v>
      </c>
      <c r="J266" s="134" t="s">
        <v>142</v>
      </c>
      <c r="K266" s="134" t="s">
        <v>142</v>
      </c>
      <c r="L266" s="134" t="s">
        <v>142</v>
      </c>
      <c r="M266" s="136"/>
      <c r="N266" s="137"/>
    </row>
    <row r="267" hidden="1" outlineLevel="1">
      <c r="A267" s="576" t="s">
        <v>1956</v>
      </c>
      <c r="B267" s="115">
        <v>46152.0</v>
      </c>
      <c r="C267" s="118" t="str">
        <f t="shared" si="29"/>
        <v>Sun</v>
      </c>
      <c r="D267" s="128">
        <f t="shared" si="30"/>
        <v>1</v>
      </c>
      <c r="E267" s="131" t="s">
        <v>142</v>
      </c>
      <c r="F267" s="134" t="s">
        <v>142</v>
      </c>
      <c r="G267" s="134" t="s">
        <v>142</v>
      </c>
      <c r="H267" s="134" t="s">
        <v>142</v>
      </c>
      <c r="I267" s="134" t="s">
        <v>142</v>
      </c>
      <c r="J267" s="134" t="s">
        <v>142</v>
      </c>
      <c r="K267" s="134" t="s">
        <v>142</v>
      </c>
      <c r="L267" s="134" t="s">
        <v>142</v>
      </c>
      <c r="M267" s="136"/>
      <c r="N267" s="137"/>
    </row>
    <row r="268" ht="15.0" hidden="1" customHeight="1" outlineLevel="1">
      <c r="A268" s="576" t="s">
        <v>1958</v>
      </c>
      <c r="B268" s="115">
        <v>46152.0</v>
      </c>
      <c r="C268" s="118" t="str">
        <f t="shared" si="29"/>
        <v>Sun</v>
      </c>
      <c r="D268" s="143">
        <f t="shared" si="30"/>
        <v>1</v>
      </c>
      <c r="E268" s="144" t="s">
        <v>142</v>
      </c>
      <c r="F268" s="134" t="s">
        <v>142</v>
      </c>
      <c r="G268" s="134" t="s">
        <v>142</v>
      </c>
      <c r="H268" s="134" t="s">
        <v>142</v>
      </c>
      <c r="I268" s="134" t="s">
        <v>142</v>
      </c>
      <c r="J268" s="134" t="s">
        <v>142</v>
      </c>
      <c r="K268" s="134" t="s">
        <v>142</v>
      </c>
      <c r="L268" s="134" t="s">
        <v>142</v>
      </c>
      <c r="M268" s="136"/>
      <c r="N268" s="131"/>
    </row>
    <row r="269" hidden="1" outlineLevel="1">
      <c r="B269" s="215"/>
      <c r="C269" s="216" t="s">
        <v>199</v>
      </c>
      <c r="D269" s="217">
        <f>AVERAGE(D254:D268)</f>
        <v>1</v>
      </c>
      <c r="E269" s="472"/>
      <c r="L269" s="216" t="s">
        <v>199</v>
      </c>
      <c r="M269" s="217">
        <f>SUM(M254:M268)/75*0.1</f>
        <v>0</v>
      </c>
    </row>
    <row r="270" hidden="1" collapsed="1">
      <c r="A270" s="85" t="s">
        <v>1961</v>
      </c>
      <c r="B270" s="86"/>
      <c r="C270" s="86"/>
      <c r="D270" s="359"/>
      <c r="E270" s="89"/>
      <c r="F270" s="89"/>
      <c r="G270" s="91"/>
      <c r="H270" s="91"/>
      <c r="I270" s="91"/>
      <c r="J270" s="91"/>
      <c r="K270" s="91"/>
      <c r="L270" s="91"/>
      <c r="M270" s="93"/>
      <c r="N270" s="95"/>
    </row>
    <row r="271" hidden="1" outlineLevel="1">
      <c r="A271" s="96" t="s">
        <v>89</v>
      </c>
      <c r="B271" s="98" t="s">
        <v>90</v>
      </c>
      <c r="C271" s="98" t="s">
        <v>91</v>
      </c>
      <c r="D271" s="101" t="s">
        <v>93</v>
      </c>
      <c r="E271" s="102" t="s">
        <v>94</v>
      </c>
      <c r="F271" s="102" t="s">
        <v>95</v>
      </c>
      <c r="G271" s="105" t="s">
        <v>96</v>
      </c>
      <c r="H271" s="107" t="s">
        <v>97</v>
      </c>
      <c r="I271" s="107" t="s">
        <v>104</v>
      </c>
      <c r="J271" s="105" t="s">
        <v>106</v>
      </c>
      <c r="K271" s="107" t="s">
        <v>109</v>
      </c>
      <c r="L271" s="105" t="s">
        <v>111</v>
      </c>
      <c r="M271" s="98" t="s">
        <v>114</v>
      </c>
      <c r="N271" s="101" t="s">
        <v>116</v>
      </c>
    </row>
    <row r="272" hidden="1" outlineLevel="1">
      <c r="A272" s="580" t="s">
        <v>1962</v>
      </c>
      <c r="B272" s="115">
        <v>46153.0</v>
      </c>
      <c r="C272" s="118" t="str">
        <f t="shared" ref="C272:C286" si="31">IF(B272="", "", TEXT(B272, "ddd"))</f>
        <v>Mon</v>
      </c>
      <c r="D272" s="143">
        <f t="shared" ref="D272:D286" si="32">IF(E272="Yes",0.05,0)
+IF(F272="Yes",0.1,0)
+IF(G272="Yes",0.15,0)
+IF(H272="Yes",0.15,0)
+IF(I272="Yes",0.05,0)
+IF(J272="Yes",0.05,0)
+IF(K272="Yes",0.15,0)
+IF(L272="Yes",0.3,0)
</f>
        <v>1</v>
      </c>
      <c r="E272" s="144" t="s">
        <v>142</v>
      </c>
      <c r="F272" s="134" t="s">
        <v>142</v>
      </c>
      <c r="G272" s="134" t="s">
        <v>142</v>
      </c>
      <c r="H272" s="134" t="s">
        <v>142</v>
      </c>
      <c r="I272" s="134" t="s">
        <v>142</v>
      </c>
      <c r="J272" s="134" t="s">
        <v>142</v>
      </c>
      <c r="K272" s="134" t="s">
        <v>142</v>
      </c>
      <c r="L272" s="134" t="s">
        <v>142</v>
      </c>
      <c r="M272" s="136"/>
      <c r="N272" s="137"/>
    </row>
    <row r="273" hidden="1" outlineLevel="1">
      <c r="A273" s="575" t="s">
        <v>1963</v>
      </c>
      <c r="B273" s="115">
        <v>46153.0</v>
      </c>
      <c r="C273" s="118" t="str">
        <f t="shared" si="31"/>
        <v>Mon</v>
      </c>
      <c r="D273" s="128">
        <f t="shared" si="32"/>
        <v>1</v>
      </c>
      <c r="E273" s="131" t="s">
        <v>142</v>
      </c>
      <c r="F273" s="134" t="s">
        <v>142</v>
      </c>
      <c r="G273" s="134" t="s">
        <v>142</v>
      </c>
      <c r="H273" s="134" t="s">
        <v>142</v>
      </c>
      <c r="I273" s="134" t="s">
        <v>142</v>
      </c>
      <c r="J273" s="134" t="s">
        <v>142</v>
      </c>
      <c r="K273" s="134" t="s">
        <v>142</v>
      </c>
      <c r="L273" s="134" t="s">
        <v>142</v>
      </c>
      <c r="M273" s="136"/>
      <c r="N273" s="131"/>
    </row>
    <row r="274" hidden="1" outlineLevel="1">
      <c r="A274" s="576" t="s">
        <v>1965</v>
      </c>
      <c r="B274" s="115">
        <v>46153.0</v>
      </c>
      <c r="C274" s="118" t="str">
        <f t="shared" si="31"/>
        <v>Mon</v>
      </c>
      <c r="D274" s="143">
        <f t="shared" si="32"/>
        <v>1</v>
      </c>
      <c r="E274" s="144" t="s">
        <v>142</v>
      </c>
      <c r="F274" s="134" t="s">
        <v>142</v>
      </c>
      <c r="G274" s="134" t="s">
        <v>142</v>
      </c>
      <c r="H274" s="134" t="s">
        <v>142</v>
      </c>
      <c r="I274" s="134" t="s">
        <v>142</v>
      </c>
      <c r="J274" s="134" t="s">
        <v>142</v>
      </c>
      <c r="K274" s="134" t="s">
        <v>142</v>
      </c>
      <c r="L274" s="134" t="s">
        <v>142</v>
      </c>
      <c r="M274" s="136"/>
      <c r="N274" s="131"/>
    </row>
    <row r="275" hidden="1" outlineLevel="1">
      <c r="A275" s="575" t="s">
        <v>1966</v>
      </c>
      <c r="B275" s="115">
        <v>46156.0</v>
      </c>
      <c r="C275" s="118" t="str">
        <f t="shared" si="31"/>
        <v>Thu</v>
      </c>
      <c r="D275" s="128">
        <f t="shared" si="32"/>
        <v>1</v>
      </c>
      <c r="E275" s="131" t="s">
        <v>142</v>
      </c>
      <c r="F275" s="134" t="s">
        <v>142</v>
      </c>
      <c r="G275" s="134" t="s">
        <v>142</v>
      </c>
      <c r="H275" s="134" t="s">
        <v>142</v>
      </c>
      <c r="I275" s="134" t="s">
        <v>142</v>
      </c>
      <c r="J275" s="134" t="s">
        <v>142</v>
      </c>
      <c r="K275" s="134" t="s">
        <v>142</v>
      </c>
      <c r="L275" s="134" t="s">
        <v>142</v>
      </c>
      <c r="M275" s="136"/>
      <c r="N275" s="137"/>
    </row>
    <row r="276" hidden="1" outlineLevel="1">
      <c r="A276" s="575" t="s">
        <v>1970</v>
      </c>
      <c r="B276" s="115">
        <v>46156.0</v>
      </c>
      <c r="C276" s="118" t="str">
        <f t="shared" si="31"/>
        <v>Thu</v>
      </c>
      <c r="D276" s="143">
        <f t="shared" si="32"/>
        <v>1</v>
      </c>
      <c r="E276" s="144" t="s">
        <v>142</v>
      </c>
      <c r="F276" s="134" t="s">
        <v>142</v>
      </c>
      <c r="G276" s="134" t="s">
        <v>142</v>
      </c>
      <c r="H276" s="134" t="s">
        <v>142</v>
      </c>
      <c r="I276" s="134" t="s">
        <v>142</v>
      </c>
      <c r="J276" s="134" t="s">
        <v>142</v>
      </c>
      <c r="K276" s="134" t="s">
        <v>142</v>
      </c>
      <c r="L276" s="134" t="s">
        <v>142</v>
      </c>
      <c r="M276" s="136"/>
      <c r="N276" s="137"/>
    </row>
    <row r="277" hidden="1" outlineLevel="1">
      <c r="A277" s="575" t="s">
        <v>1972</v>
      </c>
      <c r="B277" s="115">
        <v>46156.0</v>
      </c>
      <c r="C277" s="118" t="str">
        <f t="shared" si="31"/>
        <v>Thu</v>
      </c>
      <c r="D277" s="128">
        <f t="shared" si="32"/>
        <v>1</v>
      </c>
      <c r="E277" s="131" t="s">
        <v>142</v>
      </c>
      <c r="F277" s="134" t="s">
        <v>142</v>
      </c>
      <c r="G277" s="134" t="s">
        <v>142</v>
      </c>
      <c r="H277" s="134" t="s">
        <v>142</v>
      </c>
      <c r="I277" s="134" t="s">
        <v>142</v>
      </c>
      <c r="J277" s="134" t="s">
        <v>142</v>
      </c>
      <c r="K277" s="134" t="s">
        <v>142</v>
      </c>
      <c r="L277" s="134" t="s">
        <v>142</v>
      </c>
      <c r="M277" s="136"/>
      <c r="N277" s="137"/>
    </row>
    <row r="278" hidden="1" outlineLevel="1">
      <c r="A278" s="576" t="s">
        <v>1975</v>
      </c>
      <c r="B278" s="115">
        <v>46157.0</v>
      </c>
      <c r="C278" s="118" t="str">
        <f t="shared" si="31"/>
        <v>Fri</v>
      </c>
      <c r="D278" s="143">
        <f t="shared" si="32"/>
        <v>1</v>
      </c>
      <c r="E278" s="144" t="s">
        <v>142</v>
      </c>
      <c r="F278" s="134" t="s">
        <v>142</v>
      </c>
      <c r="G278" s="134" t="s">
        <v>142</v>
      </c>
      <c r="H278" s="134" t="s">
        <v>142</v>
      </c>
      <c r="I278" s="134" t="s">
        <v>142</v>
      </c>
      <c r="J278" s="134" t="s">
        <v>142</v>
      </c>
      <c r="K278" s="134" t="s">
        <v>142</v>
      </c>
      <c r="L278" s="134" t="s">
        <v>142</v>
      </c>
      <c r="M278" s="136"/>
      <c r="N278" s="137"/>
    </row>
    <row r="279" hidden="1" outlineLevel="1">
      <c r="A279" s="575" t="s">
        <v>1977</v>
      </c>
      <c r="B279" s="115">
        <v>46157.0</v>
      </c>
      <c r="C279" s="118" t="str">
        <f t="shared" si="31"/>
        <v>Fri</v>
      </c>
      <c r="D279" s="128">
        <f t="shared" si="32"/>
        <v>1</v>
      </c>
      <c r="E279" s="131" t="s">
        <v>142</v>
      </c>
      <c r="F279" s="134" t="s">
        <v>142</v>
      </c>
      <c r="G279" s="134" t="s">
        <v>142</v>
      </c>
      <c r="H279" s="134" t="s">
        <v>142</v>
      </c>
      <c r="I279" s="134" t="s">
        <v>142</v>
      </c>
      <c r="J279" s="134" t="s">
        <v>142</v>
      </c>
      <c r="K279" s="134" t="s">
        <v>142</v>
      </c>
      <c r="L279" s="134" t="s">
        <v>142</v>
      </c>
      <c r="M279" s="136"/>
      <c r="N279" s="131"/>
    </row>
    <row r="280" hidden="1" outlineLevel="1">
      <c r="A280" s="576" t="s">
        <v>1978</v>
      </c>
      <c r="B280" s="115">
        <v>46157.0</v>
      </c>
      <c r="C280" s="118" t="str">
        <f t="shared" si="31"/>
        <v>Fri</v>
      </c>
      <c r="D280" s="143">
        <f t="shared" si="32"/>
        <v>1</v>
      </c>
      <c r="E280" s="144" t="s">
        <v>142</v>
      </c>
      <c r="F280" s="134" t="s">
        <v>142</v>
      </c>
      <c r="G280" s="134" t="s">
        <v>142</v>
      </c>
      <c r="H280" s="134" t="s">
        <v>142</v>
      </c>
      <c r="I280" s="134" t="s">
        <v>142</v>
      </c>
      <c r="J280" s="134" t="s">
        <v>142</v>
      </c>
      <c r="K280" s="134" t="s">
        <v>142</v>
      </c>
      <c r="L280" s="134" t="s">
        <v>142</v>
      </c>
      <c r="M280" s="136"/>
      <c r="N280" s="137"/>
    </row>
    <row r="281" hidden="1" outlineLevel="1">
      <c r="A281" s="584" t="s">
        <v>1980</v>
      </c>
      <c r="B281" s="115">
        <v>46159.0</v>
      </c>
      <c r="C281" s="118" t="str">
        <f t="shared" si="31"/>
        <v>Sun</v>
      </c>
      <c r="D281" s="128">
        <f t="shared" si="32"/>
        <v>1</v>
      </c>
      <c r="E281" s="131" t="s">
        <v>142</v>
      </c>
      <c r="F281" s="134" t="s">
        <v>142</v>
      </c>
      <c r="G281" s="134" t="s">
        <v>142</v>
      </c>
      <c r="H281" s="134" t="s">
        <v>142</v>
      </c>
      <c r="I281" s="134" t="s">
        <v>142</v>
      </c>
      <c r="J281" s="134" t="s">
        <v>142</v>
      </c>
      <c r="K281" s="134" t="s">
        <v>142</v>
      </c>
      <c r="L281" s="134" t="s">
        <v>142</v>
      </c>
      <c r="M281" s="136"/>
      <c r="N281" s="131"/>
    </row>
    <row r="282" hidden="1" outlineLevel="1">
      <c r="A282" s="585" t="s">
        <v>1982</v>
      </c>
      <c r="B282" s="115">
        <v>46159.0</v>
      </c>
      <c r="C282" s="118" t="str">
        <f t="shared" si="31"/>
        <v>Sun</v>
      </c>
      <c r="D282" s="143">
        <f t="shared" si="32"/>
        <v>1</v>
      </c>
      <c r="E282" s="144" t="s">
        <v>142</v>
      </c>
      <c r="F282" s="134" t="s">
        <v>142</v>
      </c>
      <c r="G282" s="134" t="s">
        <v>142</v>
      </c>
      <c r="H282" s="134" t="s">
        <v>142</v>
      </c>
      <c r="I282" s="134" t="s">
        <v>142</v>
      </c>
      <c r="J282" s="134" t="s">
        <v>142</v>
      </c>
      <c r="K282" s="134" t="s">
        <v>142</v>
      </c>
      <c r="L282" s="134" t="s">
        <v>142</v>
      </c>
      <c r="M282" s="136"/>
      <c r="N282" s="131"/>
    </row>
    <row r="283" hidden="1" outlineLevel="1">
      <c r="A283" s="584" t="s">
        <v>1984</v>
      </c>
      <c r="B283" s="115">
        <v>46159.0</v>
      </c>
      <c r="C283" s="118" t="str">
        <f t="shared" si="31"/>
        <v>Sun</v>
      </c>
      <c r="D283" s="128">
        <f t="shared" si="32"/>
        <v>1</v>
      </c>
      <c r="E283" s="131" t="s">
        <v>142</v>
      </c>
      <c r="F283" s="134" t="s">
        <v>142</v>
      </c>
      <c r="G283" s="134" t="s">
        <v>142</v>
      </c>
      <c r="H283" s="134" t="s">
        <v>142</v>
      </c>
      <c r="I283" s="134" t="s">
        <v>142</v>
      </c>
      <c r="J283" s="134" t="s">
        <v>142</v>
      </c>
      <c r="K283" s="134" t="s">
        <v>142</v>
      </c>
      <c r="L283" s="134" t="s">
        <v>142</v>
      </c>
      <c r="M283" s="136"/>
      <c r="N283" s="131"/>
    </row>
    <row r="284" hidden="1" outlineLevel="1">
      <c r="A284" s="586" t="s">
        <v>944</v>
      </c>
      <c r="B284" s="115">
        <v>46159.0</v>
      </c>
      <c r="C284" s="118" t="str">
        <f t="shared" si="31"/>
        <v>Sun</v>
      </c>
      <c r="D284" s="143">
        <f t="shared" si="32"/>
        <v>0</v>
      </c>
      <c r="E284" s="144" t="s">
        <v>945</v>
      </c>
      <c r="F284" s="134" t="s">
        <v>945</v>
      </c>
      <c r="G284" s="134" t="s">
        <v>945</v>
      </c>
      <c r="H284" s="134" t="s">
        <v>945</v>
      </c>
      <c r="I284" s="134" t="s">
        <v>945</v>
      </c>
      <c r="J284" s="134" t="s">
        <v>945</v>
      </c>
      <c r="K284" s="134" t="s">
        <v>945</v>
      </c>
      <c r="L284" s="134" t="s">
        <v>945</v>
      </c>
      <c r="M284" s="136"/>
      <c r="N284" s="137"/>
    </row>
    <row r="285" hidden="1" outlineLevel="1">
      <c r="A285" s="586" t="s">
        <v>944</v>
      </c>
      <c r="B285" s="115">
        <v>46159.0</v>
      </c>
      <c r="C285" s="118" t="str">
        <f t="shared" si="31"/>
        <v>Sun</v>
      </c>
      <c r="D285" s="128">
        <f t="shared" si="32"/>
        <v>0</v>
      </c>
      <c r="E285" s="131" t="s">
        <v>945</v>
      </c>
      <c r="F285" s="134" t="s">
        <v>945</v>
      </c>
      <c r="G285" s="134" t="s">
        <v>945</v>
      </c>
      <c r="H285" s="134" t="s">
        <v>945</v>
      </c>
      <c r="I285" s="134" t="s">
        <v>945</v>
      </c>
      <c r="J285" s="134" t="s">
        <v>945</v>
      </c>
      <c r="K285" s="134" t="s">
        <v>945</v>
      </c>
      <c r="L285" s="134" t="s">
        <v>945</v>
      </c>
      <c r="M285" s="136"/>
      <c r="N285" s="137"/>
    </row>
    <row r="286" ht="15.0" hidden="1" customHeight="1" outlineLevel="1">
      <c r="A286" s="586" t="s">
        <v>944</v>
      </c>
      <c r="B286" s="115">
        <v>46159.0</v>
      </c>
      <c r="C286" s="118" t="str">
        <f t="shared" si="31"/>
        <v>Sun</v>
      </c>
      <c r="D286" s="143">
        <f t="shared" si="32"/>
        <v>0</v>
      </c>
      <c r="E286" s="144" t="s">
        <v>945</v>
      </c>
      <c r="F286" s="134" t="s">
        <v>945</v>
      </c>
      <c r="G286" s="134" t="s">
        <v>945</v>
      </c>
      <c r="H286" s="134" t="s">
        <v>945</v>
      </c>
      <c r="I286" s="134" t="s">
        <v>945</v>
      </c>
      <c r="J286" s="134" t="s">
        <v>945</v>
      </c>
      <c r="K286" s="134" t="s">
        <v>945</v>
      </c>
      <c r="L286" s="134" t="s">
        <v>945</v>
      </c>
      <c r="M286" s="136"/>
      <c r="N286" s="131"/>
    </row>
    <row r="287" hidden="1" outlineLevel="1">
      <c r="B287" s="215"/>
      <c r="C287" s="216" t="s">
        <v>199</v>
      </c>
      <c r="D287" s="217">
        <f>AVERAGE(D272:D286)</f>
        <v>0.8</v>
      </c>
      <c r="E287" s="472"/>
      <c r="L287" s="216" t="s">
        <v>199</v>
      </c>
      <c r="M287" s="217">
        <f>SUM(M272:M286)/75*0.1</f>
        <v>0</v>
      </c>
    </row>
    <row r="288" hidden="1" collapsed="1">
      <c r="A288" s="85" t="s">
        <v>1987</v>
      </c>
      <c r="B288" s="86"/>
      <c r="C288" s="86"/>
      <c r="D288" s="359"/>
      <c r="E288" s="89"/>
      <c r="F288" s="89"/>
      <c r="G288" s="91"/>
      <c r="H288" s="91"/>
      <c r="I288" s="91"/>
      <c r="J288" s="91"/>
      <c r="K288" s="91"/>
      <c r="L288" s="91"/>
      <c r="M288" s="93"/>
      <c r="N288" s="95"/>
    </row>
    <row r="289" hidden="1" outlineLevel="1">
      <c r="A289" s="96" t="s">
        <v>89</v>
      </c>
      <c r="B289" s="98" t="s">
        <v>90</v>
      </c>
      <c r="C289" s="98" t="s">
        <v>91</v>
      </c>
      <c r="D289" s="101" t="s">
        <v>93</v>
      </c>
      <c r="E289" s="102" t="s">
        <v>94</v>
      </c>
      <c r="F289" s="102" t="s">
        <v>95</v>
      </c>
      <c r="G289" s="105" t="s">
        <v>96</v>
      </c>
      <c r="H289" s="107" t="s">
        <v>97</v>
      </c>
      <c r="I289" s="107" t="s">
        <v>104</v>
      </c>
      <c r="J289" s="105" t="s">
        <v>106</v>
      </c>
      <c r="K289" s="107" t="s">
        <v>109</v>
      </c>
      <c r="L289" s="105" t="s">
        <v>111</v>
      </c>
      <c r="M289" s="98" t="s">
        <v>114</v>
      </c>
      <c r="N289" s="101" t="s">
        <v>116</v>
      </c>
    </row>
    <row r="290" hidden="1" outlineLevel="1">
      <c r="A290" s="575" t="s">
        <v>1988</v>
      </c>
      <c r="B290" s="115">
        <v>46160.0</v>
      </c>
      <c r="C290" s="118" t="str">
        <f t="shared" ref="C290:C304" si="33">IF(B290="", "", TEXT(B290, "ddd"))</f>
        <v>Mon</v>
      </c>
      <c r="D290" s="143">
        <f t="shared" ref="D290:D304" si="34">IF(E290="Yes",0.05,0)
+IF(F290="Yes",0.1,0)
+IF(G290="Yes",0.15,0)
+IF(H290="Yes",0.15,0)
+IF(I290="Yes",0.05,0)
+IF(J290="Yes",0.05,0)
+IF(K290="Yes",0.15,0)
+IF(L290="Yes",0.3,0)
</f>
        <v>1</v>
      </c>
      <c r="E290" s="144" t="s">
        <v>142</v>
      </c>
      <c r="F290" s="134" t="s">
        <v>142</v>
      </c>
      <c r="G290" s="134" t="s">
        <v>142</v>
      </c>
      <c r="H290" s="134" t="s">
        <v>142</v>
      </c>
      <c r="I290" s="134" t="s">
        <v>142</v>
      </c>
      <c r="J290" s="134" t="s">
        <v>142</v>
      </c>
      <c r="K290" s="134" t="s">
        <v>142</v>
      </c>
      <c r="L290" s="134" t="s">
        <v>142</v>
      </c>
      <c r="M290" s="136"/>
      <c r="N290" s="137"/>
    </row>
    <row r="291" hidden="1" outlineLevel="1">
      <c r="A291" s="576" t="s">
        <v>1991</v>
      </c>
      <c r="B291" s="115">
        <v>46160.0</v>
      </c>
      <c r="C291" s="118" t="str">
        <f t="shared" si="33"/>
        <v>Mon</v>
      </c>
      <c r="D291" s="128">
        <f t="shared" si="34"/>
        <v>1</v>
      </c>
      <c r="E291" s="131" t="s">
        <v>142</v>
      </c>
      <c r="F291" s="134" t="s">
        <v>142</v>
      </c>
      <c r="G291" s="134" t="s">
        <v>142</v>
      </c>
      <c r="H291" s="134" t="s">
        <v>142</v>
      </c>
      <c r="I291" s="134" t="s">
        <v>142</v>
      </c>
      <c r="J291" s="134" t="s">
        <v>142</v>
      </c>
      <c r="K291" s="134" t="s">
        <v>142</v>
      </c>
      <c r="L291" s="134" t="s">
        <v>142</v>
      </c>
      <c r="M291" s="136"/>
      <c r="N291" s="131"/>
    </row>
    <row r="292" hidden="1" outlineLevel="1">
      <c r="A292" s="576" t="s">
        <v>1993</v>
      </c>
      <c r="B292" s="115">
        <v>46160.0</v>
      </c>
      <c r="C292" s="118" t="str">
        <f t="shared" si="33"/>
        <v>Mon</v>
      </c>
      <c r="D292" s="143">
        <f t="shared" si="34"/>
        <v>1</v>
      </c>
      <c r="E292" s="144" t="s">
        <v>142</v>
      </c>
      <c r="F292" s="134" t="s">
        <v>142</v>
      </c>
      <c r="G292" s="134" t="s">
        <v>142</v>
      </c>
      <c r="H292" s="134" t="s">
        <v>142</v>
      </c>
      <c r="I292" s="134" t="s">
        <v>142</v>
      </c>
      <c r="J292" s="134" t="s">
        <v>142</v>
      </c>
      <c r="K292" s="134" t="s">
        <v>142</v>
      </c>
      <c r="L292" s="134" t="s">
        <v>142</v>
      </c>
      <c r="M292" s="136"/>
      <c r="N292" s="131"/>
    </row>
    <row r="293" hidden="1" outlineLevel="1">
      <c r="A293" s="575" t="s">
        <v>1995</v>
      </c>
      <c r="B293" s="115">
        <v>46161.0</v>
      </c>
      <c r="C293" s="118" t="str">
        <f t="shared" si="33"/>
        <v>Tue</v>
      </c>
      <c r="D293" s="128">
        <f t="shared" si="34"/>
        <v>1</v>
      </c>
      <c r="E293" s="131" t="s">
        <v>142</v>
      </c>
      <c r="F293" s="134" t="s">
        <v>142</v>
      </c>
      <c r="G293" s="134" t="s">
        <v>142</v>
      </c>
      <c r="H293" s="134" t="s">
        <v>142</v>
      </c>
      <c r="I293" s="134" t="s">
        <v>142</v>
      </c>
      <c r="J293" s="134" t="s">
        <v>142</v>
      </c>
      <c r="K293" s="134" t="s">
        <v>142</v>
      </c>
      <c r="L293" s="134" t="s">
        <v>142</v>
      </c>
      <c r="M293" s="136"/>
      <c r="N293" s="137"/>
    </row>
    <row r="294" hidden="1" outlineLevel="1">
      <c r="A294" s="575" t="s">
        <v>1997</v>
      </c>
      <c r="B294" s="115">
        <v>46161.0</v>
      </c>
      <c r="C294" s="118" t="str">
        <f t="shared" si="33"/>
        <v>Tue</v>
      </c>
      <c r="D294" s="143">
        <f t="shared" si="34"/>
        <v>1</v>
      </c>
      <c r="E294" s="144" t="s">
        <v>142</v>
      </c>
      <c r="F294" s="134" t="s">
        <v>142</v>
      </c>
      <c r="G294" s="134" t="s">
        <v>142</v>
      </c>
      <c r="H294" s="134" t="s">
        <v>142</v>
      </c>
      <c r="I294" s="134" t="s">
        <v>142</v>
      </c>
      <c r="J294" s="134" t="s">
        <v>142</v>
      </c>
      <c r="K294" s="134" t="s">
        <v>142</v>
      </c>
      <c r="L294" s="134" t="s">
        <v>142</v>
      </c>
      <c r="M294" s="136"/>
      <c r="N294" s="137"/>
    </row>
    <row r="295" hidden="1" outlineLevel="1">
      <c r="A295" s="587" t="s">
        <v>1999</v>
      </c>
      <c r="B295" s="115">
        <v>46161.0</v>
      </c>
      <c r="C295" s="118" t="str">
        <f t="shared" si="33"/>
        <v>Tue</v>
      </c>
      <c r="D295" s="128">
        <f t="shared" si="34"/>
        <v>1</v>
      </c>
      <c r="E295" s="131" t="s">
        <v>142</v>
      </c>
      <c r="F295" s="134" t="s">
        <v>142</v>
      </c>
      <c r="G295" s="134" t="s">
        <v>142</v>
      </c>
      <c r="H295" s="134" t="s">
        <v>142</v>
      </c>
      <c r="I295" s="134" t="s">
        <v>142</v>
      </c>
      <c r="J295" s="134" t="s">
        <v>142</v>
      </c>
      <c r="K295" s="134" t="s">
        <v>142</v>
      </c>
      <c r="L295" s="134" t="s">
        <v>142</v>
      </c>
      <c r="M295" s="136"/>
      <c r="N295" s="137"/>
    </row>
    <row r="296" hidden="1" outlineLevel="1">
      <c r="A296" s="113" t="s">
        <v>2001</v>
      </c>
      <c r="B296" s="115">
        <v>46162.0</v>
      </c>
      <c r="C296" s="118" t="str">
        <f t="shared" si="33"/>
        <v>Wed</v>
      </c>
      <c r="D296" s="143">
        <f t="shared" si="34"/>
        <v>1</v>
      </c>
      <c r="E296" s="144" t="s">
        <v>142</v>
      </c>
      <c r="F296" s="134" t="s">
        <v>142</v>
      </c>
      <c r="G296" s="134" t="s">
        <v>142</v>
      </c>
      <c r="H296" s="134" t="s">
        <v>142</v>
      </c>
      <c r="I296" s="134" t="s">
        <v>142</v>
      </c>
      <c r="J296" s="134" t="s">
        <v>142</v>
      </c>
      <c r="K296" s="134" t="s">
        <v>142</v>
      </c>
      <c r="L296" s="134" t="s">
        <v>142</v>
      </c>
      <c r="M296" s="136"/>
      <c r="N296" s="137"/>
    </row>
    <row r="297" hidden="1" outlineLevel="1">
      <c r="A297" s="113" t="s">
        <v>2004</v>
      </c>
      <c r="B297" s="115">
        <v>46162.0</v>
      </c>
      <c r="C297" s="118" t="str">
        <f t="shared" si="33"/>
        <v>Wed</v>
      </c>
      <c r="D297" s="128">
        <f t="shared" si="34"/>
        <v>1</v>
      </c>
      <c r="E297" s="131" t="s">
        <v>142</v>
      </c>
      <c r="F297" s="134" t="s">
        <v>142</v>
      </c>
      <c r="G297" s="134" t="s">
        <v>142</v>
      </c>
      <c r="H297" s="134" t="s">
        <v>142</v>
      </c>
      <c r="I297" s="134" t="s">
        <v>142</v>
      </c>
      <c r="J297" s="134" t="s">
        <v>142</v>
      </c>
      <c r="K297" s="134" t="s">
        <v>142</v>
      </c>
      <c r="L297" s="134" t="s">
        <v>142</v>
      </c>
      <c r="M297" s="136"/>
      <c r="N297" s="131"/>
    </row>
    <row r="298" hidden="1" outlineLevel="1">
      <c r="A298" s="113" t="s">
        <v>2006</v>
      </c>
      <c r="B298" s="115">
        <v>46162.0</v>
      </c>
      <c r="C298" s="118" t="str">
        <f t="shared" si="33"/>
        <v>Wed</v>
      </c>
      <c r="D298" s="143">
        <f t="shared" si="34"/>
        <v>1</v>
      </c>
      <c r="E298" s="144" t="s">
        <v>142</v>
      </c>
      <c r="F298" s="134" t="s">
        <v>142</v>
      </c>
      <c r="G298" s="134" t="s">
        <v>142</v>
      </c>
      <c r="H298" s="134" t="s">
        <v>142</v>
      </c>
      <c r="I298" s="134" t="s">
        <v>142</v>
      </c>
      <c r="J298" s="134" t="s">
        <v>142</v>
      </c>
      <c r="K298" s="134" t="s">
        <v>142</v>
      </c>
      <c r="L298" s="134" t="s">
        <v>142</v>
      </c>
      <c r="M298" s="136"/>
      <c r="N298" s="137"/>
    </row>
    <row r="299" hidden="1" outlineLevel="1">
      <c r="A299" s="574" t="s">
        <v>2008</v>
      </c>
      <c r="B299" s="115">
        <v>46165.0</v>
      </c>
      <c r="C299" s="118" t="str">
        <f t="shared" si="33"/>
        <v>Sat</v>
      </c>
      <c r="D299" s="128">
        <f t="shared" si="34"/>
        <v>1</v>
      </c>
      <c r="E299" s="131" t="s">
        <v>142</v>
      </c>
      <c r="F299" s="134" t="s">
        <v>142</v>
      </c>
      <c r="G299" s="134" t="s">
        <v>142</v>
      </c>
      <c r="H299" s="134" t="s">
        <v>142</v>
      </c>
      <c r="I299" s="134" t="s">
        <v>142</v>
      </c>
      <c r="J299" s="134" t="s">
        <v>142</v>
      </c>
      <c r="K299" s="134" t="s">
        <v>142</v>
      </c>
      <c r="L299" s="134" t="s">
        <v>142</v>
      </c>
      <c r="M299" s="136"/>
      <c r="N299" s="131"/>
    </row>
    <row r="300" hidden="1" outlineLevel="1">
      <c r="A300" s="574" t="s">
        <v>2010</v>
      </c>
      <c r="B300" s="115">
        <v>46165.0</v>
      </c>
      <c r="C300" s="118" t="str">
        <f t="shared" si="33"/>
        <v>Sat</v>
      </c>
      <c r="D300" s="143">
        <f t="shared" si="34"/>
        <v>1</v>
      </c>
      <c r="E300" s="144" t="s">
        <v>142</v>
      </c>
      <c r="F300" s="134" t="s">
        <v>142</v>
      </c>
      <c r="G300" s="134" t="s">
        <v>142</v>
      </c>
      <c r="H300" s="134" t="s">
        <v>142</v>
      </c>
      <c r="I300" s="134" t="s">
        <v>142</v>
      </c>
      <c r="J300" s="134" t="s">
        <v>142</v>
      </c>
      <c r="K300" s="134" t="s">
        <v>142</v>
      </c>
      <c r="L300" s="134" t="s">
        <v>142</v>
      </c>
      <c r="M300" s="136"/>
      <c r="N300" s="131"/>
    </row>
    <row r="301" hidden="1" outlineLevel="1">
      <c r="A301" s="353" t="s">
        <v>2013</v>
      </c>
      <c r="B301" s="115">
        <v>46165.0</v>
      </c>
      <c r="C301" s="118" t="str">
        <f t="shared" si="33"/>
        <v>Sat</v>
      </c>
      <c r="D301" s="128">
        <f t="shared" si="34"/>
        <v>1</v>
      </c>
      <c r="E301" s="131" t="s">
        <v>142</v>
      </c>
      <c r="F301" s="134" t="s">
        <v>142</v>
      </c>
      <c r="G301" s="134" t="s">
        <v>142</v>
      </c>
      <c r="H301" s="134" t="s">
        <v>142</v>
      </c>
      <c r="I301" s="134" t="s">
        <v>142</v>
      </c>
      <c r="J301" s="134" t="s">
        <v>142</v>
      </c>
      <c r="K301" s="134" t="s">
        <v>142</v>
      </c>
      <c r="L301" s="134" t="s">
        <v>142</v>
      </c>
      <c r="M301" s="136"/>
      <c r="N301" s="131"/>
    </row>
    <row r="302" hidden="1" outlineLevel="1">
      <c r="A302" s="575"/>
      <c r="B302" s="115"/>
      <c r="C302" s="118" t="str">
        <f t="shared" si="33"/>
        <v/>
      </c>
      <c r="D302" s="143">
        <f t="shared" si="34"/>
        <v>1</v>
      </c>
      <c r="E302" s="144" t="s">
        <v>142</v>
      </c>
      <c r="F302" s="134" t="s">
        <v>142</v>
      </c>
      <c r="G302" s="134" t="s">
        <v>142</v>
      </c>
      <c r="H302" s="134" t="s">
        <v>142</v>
      </c>
      <c r="I302" s="134" t="s">
        <v>142</v>
      </c>
      <c r="J302" s="134" t="s">
        <v>142</v>
      </c>
      <c r="K302" s="134" t="s">
        <v>142</v>
      </c>
      <c r="L302" s="134" t="s">
        <v>142</v>
      </c>
      <c r="M302" s="136"/>
      <c r="N302" s="137"/>
    </row>
    <row r="303" hidden="1" outlineLevel="1">
      <c r="A303" s="576"/>
      <c r="B303" s="115"/>
      <c r="C303" s="118" t="str">
        <f t="shared" si="33"/>
        <v/>
      </c>
      <c r="D303" s="128">
        <f t="shared" si="34"/>
        <v>1</v>
      </c>
      <c r="E303" s="131" t="s">
        <v>142</v>
      </c>
      <c r="F303" s="134" t="s">
        <v>142</v>
      </c>
      <c r="G303" s="134" t="s">
        <v>142</v>
      </c>
      <c r="H303" s="134" t="s">
        <v>142</v>
      </c>
      <c r="I303" s="134" t="s">
        <v>142</v>
      </c>
      <c r="J303" s="134" t="s">
        <v>142</v>
      </c>
      <c r="K303" s="134" t="s">
        <v>142</v>
      </c>
      <c r="L303" s="134" t="s">
        <v>142</v>
      </c>
      <c r="M303" s="136"/>
      <c r="N303" s="137"/>
    </row>
    <row r="304" ht="15.0" hidden="1" customHeight="1" outlineLevel="1">
      <c r="A304" s="576"/>
      <c r="B304" s="115"/>
      <c r="C304" s="118" t="str">
        <f t="shared" si="33"/>
        <v/>
      </c>
      <c r="D304" s="143">
        <f t="shared" si="34"/>
        <v>1</v>
      </c>
      <c r="E304" s="144" t="s">
        <v>142</v>
      </c>
      <c r="F304" s="134" t="s">
        <v>142</v>
      </c>
      <c r="G304" s="134" t="s">
        <v>142</v>
      </c>
      <c r="H304" s="134" t="s">
        <v>142</v>
      </c>
      <c r="I304" s="134" t="s">
        <v>142</v>
      </c>
      <c r="J304" s="134" t="s">
        <v>142</v>
      </c>
      <c r="K304" s="134" t="s">
        <v>142</v>
      </c>
      <c r="L304" s="134" t="s">
        <v>142</v>
      </c>
      <c r="M304" s="136"/>
      <c r="N304" s="131"/>
    </row>
    <row r="305" hidden="1" outlineLevel="1">
      <c r="B305" s="215"/>
      <c r="C305" s="216" t="s">
        <v>199</v>
      </c>
      <c r="D305" s="217">
        <f>AVERAGE(D290:D304)</f>
        <v>1</v>
      </c>
      <c r="E305" s="472"/>
      <c r="L305" s="216" t="s">
        <v>199</v>
      </c>
      <c r="M305" s="217">
        <f>SUM(M290:M304)/75*0.1</f>
        <v>0</v>
      </c>
    </row>
    <row r="306" hidden="1" collapsed="1">
      <c r="A306" s="85" t="s">
        <v>2015</v>
      </c>
      <c r="B306" s="86"/>
      <c r="C306" s="86"/>
      <c r="D306" s="359"/>
      <c r="E306" s="89"/>
      <c r="F306" s="89"/>
      <c r="G306" s="91"/>
      <c r="H306" s="91"/>
      <c r="I306" s="91"/>
      <c r="J306" s="91"/>
      <c r="K306" s="91"/>
      <c r="L306" s="91"/>
      <c r="M306" s="93"/>
      <c r="N306" s="95"/>
    </row>
    <row r="307" hidden="1" outlineLevel="1">
      <c r="A307" s="96" t="s">
        <v>89</v>
      </c>
      <c r="B307" s="98" t="s">
        <v>90</v>
      </c>
      <c r="C307" s="98" t="s">
        <v>91</v>
      </c>
      <c r="D307" s="101" t="s">
        <v>93</v>
      </c>
      <c r="E307" s="102" t="s">
        <v>94</v>
      </c>
      <c r="F307" s="102" t="s">
        <v>95</v>
      </c>
      <c r="G307" s="105" t="s">
        <v>96</v>
      </c>
      <c r="H307" s="107" t="s">
        <v>97</v>
      </c>
      <c r="I307" s="107" t="s">
        <v>104</v>
      </c>
      <c r="J307" s="105" t="s">
        <v>106</v>
      </c>
      <c r="K307" s="107" t="s">
        <v>109</v>
      </c>
      <c r="L307" s="105" t="s">
        <v>111</v>
      </c>
      <c r="M307" s="98" t="s">
        <v>114</v>
      </c>
      <c r="N307" s="101" t="s">
        <v>116</v>
      </c>
    </row>
    <row r="308" hidden="1" outlineLevel="1">
      <c r="A308" s="574" t="s">
        <v>2016</v>
      </c>
      <c r="B308" s="115">
        <v>46167.0</v>
      </c>
      <c r="C308" s="118" t="str">
        <f t="shared" ref="C308:C322" si="35">IF(B308="", "", TEXT(B308, "ddd"))</f>
        <v>Mon</v>
      </c>
      <c r="D308" s="143">
        <f t="shared" ref="D308:D322" si="36">IF(E308="Yes",0.05,0)
+IF(F308="Yes",0.1,0)
+IF(G308="Yes",0.15,0)
+IF(H308="Yes",0.15,0)
+IF(I308="Yes",0.05,0)
+IF(J308="Yes",0.05,0)
+IF(K308="Yes",0.15,0)
+IF(L308="Yes",0.3,0)
</f>
        <v>1</v>
      </c>
      <c r="E308" s="144" t="s">
        <v>142</v>
      </c>
      <c r="F308" s="134" t="s">
        <v>142</v>
      </c>
      <c r="G308" s="134" t="s">
        <v>142</v>
      </c>
      <c r="H308" s="134" t="s">
        <v>142</v>
      </c>
      <c r="I308" s="134" t="s">
        <v>142</v>
      </c>
      <c r="J308" s="134" t="s">
        <v>142</v>
      </c>
      <c r="K308" s="134" t="s">
        <v>142</v>
      </c>
      <c r="L308" s="134" t="s">
        <v>142</v>
      </c>
      <c r="M308" s="136"/>
      <c r="N308" s="137"/>
    </row>
    <row r="309" hidden="1" outlineLevel="1">
      <c r="A309" s="574" t="s">
        <v>2020</v>
      </c>
      <c r="B309" s="115">
        <v>46167.0</v>
      </c>
      <c r="C309" s="118" t="str">
        <f t="shared" si="35"/>
        <v>Mon</v>
      </c>
      <c r="D309" s="128">
        <f t="shared" si="36"/>
        <v>1</v>
      </c>
      <c r="E309" s="131" t="s">
        <v>142</v>
      </c>
      <c r="F309" s="134" t="s">
        <v>142</v>
      </c>
      <c r="G309" s="134" t="s">
        <v>142</v>
      </c>
      <c r="H309" s="134" t="s">
        <v>142</v>
      </c>
      <c r="I309" s="134" t="s">
        <v>142</v>
      </c>
      <c r="J309" s="134" t="s">
        <v>142</v>
      </c>
      <c r="K309" s="134" t="s">
        <v>142</v>
      </c>
      <c r="L309" s="134" t="s">
        <v>142</v>
      </c>
      <c r="M309" s="136"/>
      <c r="N309" s="131"/>
    </row>
    <row r="310" hidden="1" outlineLevel="1">
      <c r="A310" s="574" t="s">
        <v>2022</v>
      </c>
      <c r="B310" s="115">
        <v>46167.0</v>
      </c>
      <c r="C310" s="118" t="str">
        <f t="shared" si="35"/>
        <v>Mon</v>
      </c>
      <c r="D310" s="143">
        <f t="shared" si="36"/>
        <v>1</v>
      </c>
      <c r="E310" s="144" t="s">
        <v>142</v>
      </c>
      <c r="F310" s="134" t="s">
        <v>142</v>
      </c>
      <c r="G310" s="134" t="s">
        <v>142</v>
      </c>
      <c r="H310" s="134" t="s">
        <v>142</v>
      </c>
      <c r="I310" s="134" t="s">
        <v>142</v>
      </c>
      <c r="J310" s="134" t="s">
        <v>142</v>
      </c>
      <c r="K310" s="134" t="s">
        <v>142</v>
      </c>
      <c r="L310" s="134" t="s">
        <v>142</v>
      </c>
      <c r="M310" s="136"/>
      <c r="N310" s="131"/>
    </row>
    <row r="311" hidden="1" outlineLevel="1">
      <c r="A311" s="574" t="s">
        <v>2025</v>
      </c>
      <c r="B311" s="115">
        <v>46168.0</v>
      </c>
      <c r="C311" s="118" t="str">
        <f t="shared" si="35"/>
        <v>Tue</v>
      </c>
      <c r="D311" s="128">
        <f t="shared" si="36"/>
        <v>1</v>
      </c>
      <c r="E311" s="131" t="s">
        <v>142</v>
      </c>
      <c r="F311" s="134" t="s">
        <v>142</v>
      </c>
      <c r="G311" s="134" t="s">
        <v>142</v>
      </c>
      <c r="H311" s="134" t="s">
        <v>142</v>
      </c>
      <c r="I311" s="134" t="s">
        <v>142</v>
      </c>
      <c r="J311" s="134" t="s">
        <v>142</v>
      </c>
      <c r="K311" s="134" t="s">
        <v>142</v>
      </c>
      <c r="L311" s="134" t="s">
        <v>142</v>
      </c>
      <c r="M311" s="136"/>
      <c r="N311" s="137"/>
    </row>
    <row r="312" hidden="1" outlineLevel="1">
      <c r="A312" s="574" t="s">
        <v>2027</v>
      </c>
      <c r="B312" s="115">
        <v>46168.0</v>
      </c>
      <c r="C312" s="118" t="str">
        <f t="shared" si="35"/>
        <v>Tue</v>
      </c>
      <c r="D312" s="143">
        <f t="shared" si="36"/>
        <v>1</v>
      </c>
      <c r="E312" s="144" t="s">
        <v>142</v>
      </c>
      <c r="F312" s="134" t="s">
        <v>142</v>
      </c>
      <c r="G312" s="134" t="s">
        <v>142</v>
      </c>
      <c r="H312" s="134" t="s">
        <v>142</v>
      </c>
      <c r="I312" s="134" t="s">
        <v>142</v>
      </c>
      <c r="J312" s="134" t="s">
        <v>142</v>
      </c>
      <c r="K312" s="134" t="s">
        <v>142</v>
      </c>
      <c r="L312" s="134" t="s">
        <v>142</v>
      </c>
      <c r="M312" s="136"/>
      <c r="N312" s="137"/>
    </row>
    <row r="313" hidden="1" outlineLevel="1">
      <c r="A313" s="588" t="s">
        <v>2029</v>
      </c>
      <c r="B313" s="115">
        <v>46168.0</v>
      </c>
      <c r="C313" s="118" t="str">
        <f t="shared" si="35"/>
        <v>Tue</v>
      </c>
      <c r="D313" s="128">
        <f t="shared" si="36"/>
        <v>1</v>
      </c>
      <c r="E313" s="131" t="s">
        <v>142</v>
      </c>
      <c r="F313" s="134" t="s">
        <v>142</v>
      </c>
      <c r="G313" s="134" t="s">
        <v>142</v>
      </c>
      <c r="H313" s="134" t="s">
        <v>142</v>
      </c>
      <c r="I313" s="134" t="s">
        <v>142</v>
      </c>
      <c r="J313" s="134" t="s">
        <v>142</v>
      </c>
      <c r="K313" s="134" t="s">
        <v>142</v>
      </c>
      <c r="L313" s="134" t="s">
        <v>142</v>
      </c>
      <c r="M313" s="136"/>
      <c r="N313" s="137"/>
    </row>
    <row r="314" hidden="1" outlineLevel="1">
      <c r="A314" s="574" t="s">
        <v>2031</v>
      </c>
      <c r="B314" s="115">
        <v>46169.0</v>
      </c>
      <c r="C314" s="118" t="str">
        <f t="shared" si="35"/>
        <v>Wed</v>
      </c>
      <c r="D314" s="143">
        <f t="shared" si="36"/>
        <v>1</v>
      </c>
      <c r="E314" s="144" t="s">
        <v>142</v>
      </c>
      <c r="F314" s="134" t="s">
        <v>142</v>
      </c>
      <c r="G314" s="134" t="s">
        <v>142</v>
      </c>
      <c r="H314" s="134" t="s">
        <v>142</v>
      </c>
      <c r="I314" s="134" t="s">
        <v>142</v>
      </c>
      <c r="J314" s="134" t="s">
        <v>142</v>
      </c>
      <c r="K314" s="134" t="s">
        <v>142</v>
      </c>
      <c r="L314" s="134" t="s">
        <v>142</v>
      </c>
      <c r="M314" s="136"/>
      <c r="N314" s="137"/>
    </row>
    <row r="315" hidden="1" outlineLevel="1">
      <c r="A315" s="574" t="s">
        <v>2034</v>
      </c>
      <c r="B315" s="115">
        <v>46169.0</v>
      </c>
      <c r="C315" s="118" t="str">
        <f t="shared" si="35"/>
        <v>Wed</v>
      </c>
      <c r="D315" s="128">
        <f t="shared" si="36"/>
        <v>1</v>
      </c>
      <c r="E315" s="131" t="s">
        <v>142</v>
      </c>
      <c r="F315" s="134" t="s">
        <v>142</v>
      </c>
      <c r="G315" s="134" t="s">
        <v>142</v>
      </c>
      <c r="H315" s="134" t="s">
        <v>142</v>
      </c>
      <c r="I315" s="134" t="s">
        <v>142</v>
      </c>
      <c r="J315" s="134" t="s">
        <v>142</v>
      </c>
      <c r="K315" s="134" t="s">
        <v>142</v>
      </c>
      <c r="L315" s="134" t="s">
        <v>142</v>
      </c>
      <c r="M315" s="136"/>
      <c r="N315" s="131"/>
    </row>
    <row r="316" hidden="1" outlineLevel="1">
      <c r="A316" s="574" t="s">
        <v>2036</v>
      </c>
      <c r="B316" s="115">
        <v>46169.0</v>
      </c>
      <c r="C316" s="118" t="str">
        <f t="shared" si="35"/>
        <v>Wed</v>
      </c>
      <c r="D316" s="143">
        <f t="shared" si="36"/>
        <v>1</v>
      </c>
      <c r="E316" s="144" t="s">
        <v>142</v>
      </c>
      <c r="F316" s="134" t="s">
        <v>142</v>
      </c>
      <c r="G316" s="134" t="s">
        <v>142</v>
      </c>
      <c r="H316" s="134" t="s">
        <v>142</v>
      </c>
      <c r="I316" s="134" t="s">
        <v>142</v>
      </c>
      <c r="J316" s="134" t="s">
        <v>142</v>
      </c>
      <c r="K316" s="134" t="s">
        <v>142</v>
      </c>
      <c r="L316" s="134" t="s">
        <v>142</v>
      </c>
      <c r="M316" s="136"/>
      <c r="N316" s="137"/>
    </row>
    <row r="317" hidden="1" outlineLevel="1">
      <c r="A317" s="353" t="s">
        <v>2038</v>
      </c>
      <c r="B317" s="115">
        <v>46170.0</v>
      </c>
      <c r="C317" s="118" t="str">
        <f t="shared" si="35"/>
        <v>Thu</v>
      </c>
      <c r="D317" s="128">
        <f t="shared" si="36"/>
        <v>1</v>
      </c>
      <c r="E317" s="131" t="s">
        <v>142</v>
      </c>
      <c r="F317" s="134" t="s">
        <v>142</v>
      </c>
      <c r="G317" s="134" t="s">
        <v>142</v>
      </c>
      <c r="H317" s="134" t="s">
        <v>142</v>
      </c>
      <c r="I317" s="134" t="s">
        <v>142</v>
      </c>
      <c r="J317" s="134" t="s">
        <v>142</v>
      </c>
      <c r="K317" s="134" t="s">
        <v>142</v>
      </c>
      <c r="L317" s="134" t="s">
        <v>142</v>
      </c>
      <c r="M317" s="136"/>
      <c r="N317" s="131"/>
    </row>
    <row r="318" hidden="1" outlineLevel="1">
      <c r="A318" s="353" t="s">
        <v>2040</v>
      </c>
      <c r="B318" s="115">
        <v>46170.0</v>
      </c>
      <c r="C318" s="118" t="str">
        <f t="shared" si="35"/>
        <v>Thu</v>
      </c>
      <c r="D318" s="143">
        <f t="shared" si="36"/>
        <v>1</v>
      </c>
      <c r="E318" s="144" t="s">
        <v>142</v>
      </c>
      <c r="F318" s="134" t="s">
        <v>142</v>
      </c>
      <c r="G318" s="134" t="s">
        <v>142</v>
      </c>
      <c r="H318" s="134" t="s">
        <v>142</v>
      </c>
      <c r="I318" s="134" t="s">
        <v>142</v>
      </c>
      <c r="J318" s="134" t="s">
        <v>142</v>
      </c>
      <c r="K318" s="134" t="s">
        <v>142</v>
      </c>
      <c r="L318" s="134" t="s">
        <v>142</v>
      </c>
      <c r="M318" s="136"/>
      <c r="N318" s="131"/>
    </row>
    <row r="319" hidden="1" outlineLevel="1">
      <c r="A319" s="353" t="s">
        <v>2041</v>
      </c>
      <c r="B319" s="115">
        <v>46170.0</v>
      </c>
      <c r="C319" s="118" t="str">
        <f t="shared" si="35"/>
        <v>Thu</v>
      </c>
      <c r="D319" s="128">
        <f t="shared" si="36"/>
        <v>1</v>
      </c>
      <c r="E319" s="131" t="s">
        <v>142</v>
      </c>
      <c r="F319" s="134" t="s">
        <v>142</v>
      </c>
      <c r="G319" s="134" t="s">
        <v>142</v>
      </c>
      <c r="H319" s="134" t="s">
        <v>142</v>
      </c>
      <c r="I319" s="134" t="s">
        <v>142</v>
      </c>
      <c r="J319" s="134" t="s">
        <v>142</v>
      </c>
      <c r="K319" s="134" t="s">
        <v>142</v>
      </c>
      <c r="L319" s="134" t="s">
        <v>142</v>
      </c>
      <c r="M319" s="136"/>
      <c r="N319" s="131"/>
    </row>
    <row r="320" hidden="1" outlineLevel="1">
      <c r="A320" s="574" t="s">
        <v>2042</v>
      </c>
      <c r="B320" s="115">
        <v>46171.0</v>
      </c>
      <c r="C320" s="118" t="str">
        <f t="shared" si="35"/>
        <v>Fri</v>
      </c>
      <c r="D320" s="143">
        <f t="shared" si="36"/>
        <v>1</v>
      </c>
      <c r="E320" s="144" t="s">
        <v>142</v>
      </c>
      <c r="F320" s="134" t="s">
        <v>142</v>
      </c>
      <c r="G320" s="134" t="s">
        <v>142</v>
      </c>
      <c r="H320" s="134" t="s">
        <v>142</v>
      </c>
      <c r="I320" s="134" t="s">
        <v>142</v>
      </c>
      <c r="J320" s="134" t="s">
        <v>142</v>
      </c>
      <c r="K320" s="134" t="s">
        <v>142</v>
      </c>
      <c r="L320" s="134" t="s">
        <v>142</v>
      </c>
      <c r="M320" s="136"/>
      <c r="N320" s="137"/>
    </row>
    <row r="321" hidden="1" outlineLevel="1">
      <c r="A321" s="574" t="s">
        <v>2044</v>
      </c>
      <c r="B321" s="115">
        <v>46171.0</v>
      </c>
      <c r="C321" s="118" t="str">
        <f t="shared" si="35"/>
        <v>Fri</v>
      </c>
      <c r="D321" s="128">
        <f t="shared" si="36"/>
        <v>1</v>
      </c>
      <c r="E321" s="131" t="s">
        <v>142</v>
      </c>
      <c r="F321" s="134" t="s">
        <v>142</v>
      </c>
      <c r="G321" s="134" t="s">
        <v>142</v>
      </c>
      <c r="H321" s="134" t="s">
        <v>142</v>
      </c>
      <c r="I321" s="134" t="s">
        <v>142</v>
      </c>
      <c r="J321" s="134" t="s">
        <v>142</v>
      </c>
      <c r="K321" s="134" t="s">
        <v>142</v>
      </c>
      <c r="L321" s="134" t="s">
        <v>142</v>
      </c>
      <c r="M321" s="136"/>
      <c r="N321" s="137"/>
    </row>
    <row r="322" ht="15.0" hidden="1" customHeight="1" outlineLevel="1">
      <c r="A322" s="574" t="s">
        <v>2045</v>
      </c>
      <c r="B322" s="115">
        <v>46171.0</v>
      </c>
      <c r="C322" s="118" t="str">
        <f t="shared" si="35"/>
        <v>Fri</v>
      </c>
      <c r="D322" s="143">
        <f t="shared" si="36"/>
        <v>1</v>
      </c>
      <c r="E322" s="144" t="s">
        <v>142</v>
      </c>
      <c r="F322" s="134" t="s">
        <v>142</v>
      </c>
      <c r="G322" s="134" t="s">
        <v>142</v>
      </c>
      <c r="H322" s="134" t="s">
        <v>142</v>
      </c>
      <c r="I322" s="134" t="s">
        <v>142</v>
      </c>
      <c r="J322" s="134" t="s">
        <v>142</v>
      </c>
      <c r="K322" s="134" t="s">
        <v>142</v>
      </c>
      <c r="L322" s="134" t="s">
        <v>142</v>
      </c>
      <c r="M322" s="136"/>
      <c r="N322" s="131"/>
    </row>
    <row r="323" hidden="1" outlineLevel="1">
      <c r="B323" s="215"/>
      <c r="C323" s="216" t="s">
        <v>199</v>
      </c>
      <c r="D323" s="217">
        <f>AVERAGE(D308:D322)</f>
        <v>1</v>
      </c>
      <c r="E323" s="472"/>
      <c r="L323" s="216" t="s">
        <v>199</v>
      </c>
      <c r="M323" s="217">
        <f>SUM(M308:M322)/75*0.1</f>
        <v>0</v>
      </c>
    </row>
    <row r="324" hidden="1" collapsed="1">
      <c r="A324" s="85" t="s">
        <v>2047</v>
      </c>
      <c r="B324" s="86"/>
      <c r="C324" s="86"/>
      <c r="D324" s="359"/>
      <c r="E324" s="89"/>
      <c r="F324" s="89"/>
      <c r="G324" s="91"/>
      <c r="H324" s="91"/>
      <c r="I324" s="91"/>
      <c r="J324" s="91"/>
      <c r="K324" s="91"/>
      <c r="L324" s="91"/>
      <c r="M324" s="93"/>
      <c r="N324" s="95"/>
    </row>
    <row r="325" hidden="1" outlineLevel="1">
      <c r="A325" s="96" t="s">
        <v>89</v>
      </c>
      <c r="B325" s="98" t="s">
        <v>90</v>
      </c>
      <c r="C325" s="98" t="s">
        <v>91</v>
      </c>
      <c r="D325" s="101" t="s">
        <v>93</v>
      </c>
      <c r="E325" s="102" t="s">
        <v>94</v>
      </c>
      <c r="F325" s="102" t="s">
        <v>95</v>
      </c>
      <c r="G325" s="105" t="s">
        <v>96</v>
      </c>
      <c r="H325" s="107" t="s">
        <v>97</v>
      </c>
      <c r="I325" s="107" t="s">
        <v>104</v>
      </c>
      <c r="J325" s="105" t="s">
        <v>106</v>
      </c>
      <c r="K325" s="107" t="s">
        <v>109</v>
      </c>
      <c r="L325" s="105" t="s">
        <v>111</v>
      </c>
      <c r="M325" s="98" t="s">
        <v>114</v>
      </c>
      <c r="N325" s="101" t="s">
        <v>116</v>
      </c>
    </row>
    <row r="326" hidden="1" outlineLevel="1">
      <c r="A326" s="572" t="s">
        <v>2053</v>
      </c>
      <c r="B326" s="115">
        <v>46174.0</v>
      </c>
      <c r="C326" s="118" t="str">
        <f t="shared" ref="C326:C340" si="37">IF(B326="", "", TEXT(B326, "ddd"))</f>
        <v>Mon</v>
      </c>
      <c r="D326" s="143">
        <f t="shared" ref="D326:D340" si="38">IF(E326="Yes",0.05,0)
+IF(F326="Yes",0.1,0)
+IF(G326="Yes",0.15,0)
+IF(H326="Yes",0.15,0)
+IF(I326="Yes",0.05,0)
+IF(J326="Yes",0.05,0)
+IF(K326="Yes",0.15,0)
+IF(L326="Yes",0.3,0)
</f>
        <v>1</v>
      </c>
      <c r="E326" s="144" t="s">
        <v>142</v>
      </c>
      <c r="F326" s="134" t="s">
        <v>142</v>
      </c>
      <c r="G326" s="134" t="s">
        <v>142</v>
      </c>
      <c r="H326" s="134" t="s">
        <v>142</v>
      </c>
      <c r="I326" s="134" t="s">
        <v>142</v>
      </c>
      <c r="J326" s="134" t="s">
        <v>142</v>
      </c>
      <c r="K326" s="134" t="s">
        <v>142</v>
      </c>
      <c r="L326" s="134" t="s">
        <v>142</v>
      </c>
      <c r="M326" s="136"/>
      <c r="N326" s="137"/>
    </row>
    <row r="327" hidden="1" outlineLevel="1">
      <c r="A327" s="589" t="s">
        <v>2057</v>
      </c>
      <c r="B327" s="115">
        <v>46174.0</v>
      </c>
      <c r="C327" s="118" t="str">
        <f t="shared" si="37"/>
        <v>Mon</v>
      </c>
      <c r="D327" s="128">
        <f t="shared" si="38"/>
        <v>0.65</v>
      </c>
      <c r="E327" s="131" t="s">
        <v>142</v>
      </c>
      <c r="F327" s="134" t="s">
        <v>142</v>
      </c>
      <c r="G327" s="134" t="s">
        <v>142</v>
      </c>
      <c r="H327" s="134" t="s">
        <v>142</v>
      </c>
      <c r="I327" s="134" t="s">
        <v>945</v>
      </c>
      <c r="J327" s="134" t="s">
        <v>142</v>
      </c>
      <c r="K327" s="134" t="s">
        <v>142</v>
      </c>
      <c r="L327" s="134" t="s">
        <v>945</v>
      </c>
      <c r="M327" s="136"/>
      <c r="N327" s="131" t="s">
        <v>2060</v>
      </c>
    </row>
    <row r="328" hidden="1" outlineLevel="1">
      <c r="A328" s="572" t="s">
        <v>2061</v>
      </c>
      <c r="B328" s="115">
        <v>46174.0</v>
      </c>
      <c r="C328" s="118" t="str">
        <f t="shared" si="37"/>
        <v>Mon</v>
      </c>
      <c r="D328" s="143">
        <f t="shared" si="38"/>
        <v>1</v>
      </c>
      <c r="E328" s="144" t="s">
        <v>142</v>
      </c>
      <c r="F328" s="134" t="s">
        <v>142</v>
      </c>
      <c r="G328" s="134" t="s">
        <v>142</v>
      </c>
      <c r="H328" s="134" t="s">
        <v>142</v>
      </c>
      <c r="I328" s="134" t="s">
        <v>142</v>
      </c>
      <c r="J328" s="134" t="s">
        <v>142</v>
      </c>
      <c r="K328" s="134" t="s">
        <v>142</v>
      </c>
      <c r="L328" s="134" t="s">
        <v>142</v>
      </c>
      <c r="M328" s="136"/>
      <c r="N328" s="131"/>
    </row>
    <row r="329" hidden="1" outlineLevel="1">
      <c r="A329" s="572" t="s">
        <v>2063</v>
      </c>
      <c r="B329" s="115">
        <v>46175.0</v>
      </c>
      <c r="C329" s="118" t="str">
        <f t="shared" si="37"/>
        <v>Tue</v>
      </c>
      <c r="D329" s="128">
        <f t="shared" si="38"/>
        <v>1</v>
      </c>
      <c r="E329" s="131" t="s">
        <v>142</v>
      </c>
      <c r="F329" s="134" t="s">
        <v>142</v>
      </c>
      <c r="G329" s="134" t="s">
        <v>142</v>
      </c>
      <c r="H329" s="134" t="s">
        <v>142</v>
      </c>
      <c r="I329" s="134" t="s">
        <v>142</v>
      </c>
      <c r="J329" s="134" t="s">
        <v>142</v>
      </c>
      <c r="K329" s="134" t="s">
        <v>142</v>
      </c>
      <c r="L329" s="134" t="s">
        <v>142</v>
      </c>
      <c r="M329" s="136"/>
      <c r="N329" s="137"/>
    </row>
    <row r="330" hidden="1" outlineLevel="1">
      <c r="A330" s="572" t="s">
        <v>2065</v>
      </c>
      <c r="B330" s="115">
        <v>46175.0</v>
      </c>
      <c r="C330" s="118" t="str">
        <f t="shared" si="37"/>
        <v>Tue</v>
      </c>
      <c r="D330" s="143">
        <f t="shared" si="38"/>
        <v>1</v>
      </c>
      <c r="E330" s="144" t="s">
        <v>142</v>
      </c>
      <c r="F330" s="134" t="s">
        <v>142</v>
      </c>
      <c r="G330" s="134" t="s">
        <v>142</v>
      </c>
      <c r="H330" s="134" t="s">
        <v>142</v>
      </c>
      <c r="I330" s="134" t="s">
        <v>142</v>
      </c>
      <c r="J330" s="134" t="s">
        <v>142</v>
      </c>
      <c r="K330" s="134" t="s">
        <v>142</v>
      </c>
      <c r="L330" s="134" t="s">
        <v>142</v>
      </c>
      <c r="M330" s="136"/>
      <c r="N330" s="137"/>
    </row>
    <row r="331" hidden="1" outlineLevel="1">
      <c r="A331" s="572" t="s">
        <v>2067</v>
      </c>
      <c r="B331" s="115">
        <v>46175.0</v>
      </c>
      <c r="C331" s="118" t="str">
        <f t="shared" si="37"/>
        <v>Tue</v>
      </c>
      <c r="D331" s="128">
        <f t="shared" si="38"/>
        <v>1</v>
      </c>
      <c r="E331" s="131" t="s">
        <v>142</v>
      </c>
      <c r="F331" s="134" t="s">
        <v>142</v>
      </c>
      <c r="G331" s="134" t="s">
        <v>142</v>
      </c>
      <c r="H331" s="134" t="s">
        <v>142</v>
      </c>
      <c r="I331" s="134" t="s">
        <v>142</v>
      </c>
      <c r="J331" s="134" t="s">
        <v>142</v>
      </c>
      <c r="K331" s="134" t="s">
        <v>142</v>
      </c>
      <c r="L331" s="134" t="s">
        <v>142</v>
      </c>
      <c r="M331" s="136"/>
      <c r="N331" s="137"/>
    </row>
    <row r="332" hidden="1" outlineLevel="1">
      <c r="A332" s="572" t="s">
        <v>2068</v>
      </c>
      <c r="B332" s="115">
        <v>46176.0</v>
      </c>
      <c r="C332" s="118" t="str">
        <f t="shared" si="37"/>
        <v>Wed</v>
      </c>
      <c r="D332" s="143">
        <f t="shared" si="38"/>
        <v>1</v>
      </c>
      <c r="E332" s="144" t="s">
        <v>142</v>
      </c>
      <c r="F332" s="134" t="s">
        <v>142</v>
      </c>
      <c r="G332" s="134" t="s">
        <v>142</v>
      </c>
      <c r="H332" s="134" t="s">
        <v>142</v>
      </c>
      <c r="I332" s="134" t="s">
        <v>142</v>
      </c>
      <c r="J332" s="134" t="s">
        <v>142</v>
      </c>
      <c r="K332" s="134" t="s">
        <v>142</v>
      </c>
      <c r="L332" s="134" t="s">
        <v>142</v>
      </c>
      <c r="M332" s="136"/>
      <c r="N332" s="137"/>
    </row>
    <row r="333" hidden="1" outlineLevel="1">
      <c r="A333" s="572" t="s">
        <v>2070</v>
      </c>
      <c r="B333" s="115">
        <v>46176.0</v>
      </c>
      <c r="C333" s="118" t="str">
        <f t="shared" si="37"/>
        <v>Wed</v>
      </c>
      <c r="D333" s="128">
        <f t="shared" si="38"/>
        <v>1</v>
      </c>
      <c r="E333" s="131" t="s">
        <v>142</v>
      </c>
      <c r="F333" s="134" t="s">
        <v>142</v>
      </c>
      <c r="G333" s="134" t="s">
        <v>142</v>
      </c>
      <c r="H333" s="134" t="s">
        <v>142</v>
      </c>
      <c r="I333" s="134" t="s">
        <v>142</v>
      </c>
      <c r="J333" s="134" t="s">
        <v>142</v>
      </c>
      <c r="K333" s="134" t="s">
        <v>142</v>
      </c>
      <c r="L333" s="134" t="s">
        <v>142</v>
      </c>
      <c r="M333" s="136"/>
      <c r="N333" s="131"/>
    </row>
    <row r="334" hidden="1" outlineLevel="1">
      <c r="A334" s="572" t="s">
        <v>2071</v>
      </c>
      <c r="B334" s="115">
        <v>46176.0</v>
      </c>
      <c r="C334" s="118" t="str">
        <f t="shared" si="37"/>
        <v>Wed</v>
      </c>
      <c r="D334" s="143">
        <f t="shared" si="38"/>
        <v>1</v>
      </c>
      <c r="E334" s="144" t="s">
        <v>142</v>
      </c>
      <c r="F334" s="134" t="s">
        <v>142</v>
      </c>
      <c r="G334" s="134" t="s">
        <v>142</v>
      </c>
      <c r="H334" s="134" t="s">
        <v>142</v>
      </c>
      <c r="I334" s="134" t="s">
        <v>142</v>
      </c>
      <c r="J334" s="134" t="s">
        <v>142</v>
      </c>
      <c r="K334" s="134" t="s">
        <v>142</v>
      </c>
      <c r="L334" s="134" t="s">
        <v>142</v>
      </c>
      <c r="M334" s="136"/>
      <c r="N334" s="137"/>
    </row>
    <row r="335" hidden="1" outlineLevel="1">
      <c r="A335" s="572" t="s">
        <v>2072</v>
      </c>
      <c r="B335" s="115">
        <v>46177.0</v>
      </c>
      <c r="C335" s="118" t="str">
        <f t="shared" si="37"/>
        <v>Thu</v>
      </c>
      <c r="D335" s="128">
        <f t="shared" si="38"/>
        <v>1</v>
      </c>
      <c r="E335" s="131" t="s">
        <v>142</v>
      </c>
      <c r="F335" s="134" t="s">
        <v>142</v>
      </c>
      <c r="G335" s="134" t="s">
        <v>142</v>
      </c>
      <c r="H335" s="134" t="s">
        <v>142</v>
      </c>
      <c r="I335" s="134" t="s">
        <v>142</v>
      </c>
      <c r="J335" s="134" t="s">
        <v>142</v>
      </c>
      <c r="K335" s="134" t="s">
        <v>142</v>
      </c>
      <c r="L335" s="134" t="s">
        <v>142</v>
      </c>
      <c r="M335" s="136"/>
      <c r="N335" s="131"/>
    </row>
    <row r="336" hidden="1" outlineLevel="1">
      <c r="A336" s="572" t="s">
        <v>2074</v>
      </c>
      <c r="B336" s="115">
        <v>46177.0</v>
      </c>
      <c r="C336" s="118" t="str">
        <f t="shared" si="37"/>
        <v>Thu</v>
      </c>
      <c r="D336" s="143">
        <f t="shared" si="38"/>
        <v>1</v>
      </c>
      <c r="E336" s="144" t="s">
        <v>142</v>
      </c>
      <c r="F336" s="134" t="s">
        <v>142</v>
      </c>
      <c r="G336" s="134" t="s">
        <v>142</v>
      </c>
      <c r="H336" s="134" t="s">
        <v>142</v>
      </c>
      <c r="I336" s="134" t="s">
        <v>142</v>
      </c>
      <c r="J336" s="134" t="s">
        <v>142</v>
      </c>
      <c r="K336" s="134" t="s">
        <v>142</v>
      </c>
      <c r="L336" s="134" t="s">
        <v>142</v>
      </c>
      <c r="M336" s="136"/>
      <c r="N336" s="131"/>
    </row>
    <row r="337" hidden="1" outlineLevel="1">
      <c r="A337" s="572" t="s">
        <v>2076</v>
      </c>
      <c r="B337" s="115">
        <v>46177.0</v>
      </c>
      <c r="C337" s="118" t="str">
        <f t="shared" si="37"/>
        <v>Thu</v>
      </c>
      <c r="D337" s="128">
        <f t="shared" si="38"/>
        <v>1</v>
      </c>
      <c r="E337" s="131" t="s">
        <v>142</v>
      </c>
      <c r="F337" s="134" t="s">
        <v>142</v>
      </c>
      <c r="G337" s="134" t="s">
        <v>142</v>
      </c>
      <c r="H337" s="134" t="s">
        <v>142</v>
      </c>
      <c r="I337" s="134" t="s">
        <v>142</v>
      </c>
      <c r="J337" s="134" t="s">
        <v>142</v>
      </c>
      <c r="K337" s="134" t="s">
        <v>142</v>
      </c>
      <c r="L337" s="134" t="s">
        <v>142</v>
      </c>
      <c r="M337" s="136"/>
      <c r="N337" s="131"/>
    </row>
    <row r="338" hidden="1" outlineLevel="1">
      <c r="A338" s="574" t="s">
        <v>2079</v>
      </c>
      <c r="B338" s="115">
        <v>46178.0</v>
      </c>
      <c r="C338" s="118" t="str">
        <f t="shared" si="37"/>
        <v>Fri</v>
      </c>
      <c r="D338" s="143">
        <f t="shared" si="38"/>
        <v>1</v>
      </c>
      <c r="E338" s="144" t="s">
        <v>142</v>
      </c>
      <c r="F338" s="134" t="s">
        <v>142</v>
      </c>
      <c r="G338" s="134" t="s">
        <v>142</v>
      </c>
      <c r="H338" s="134" t="s">
        <v>142</v>
      </c>
      <c r="I338" s="134" t="s">
        <v>142</v>
      </c>
      <c r="J338" s="134" t="s">
        <v>142</v>
      </c>
      <c r="K338" s="134" t="s">
        <v>142</v>
      </c>
      <c r="L338" s="134" t="s">
        <v>142</v>
      </c>
      <c r="M338" s="136"/>
      <c r="N338" s="137"/>
    </row>
    <row r="339" hidden="1" outlineLevel="1">
      <c r="A339" s="574" t="s">
        <v>2081</v>
      </c>
      <c r="B339" s="115">
        <v>46178.0</v>
      </c>
      <c r="C339" s="118" t="str">
        <f t="shared" si="37"/>
        <v>Fri</v>
      </c>
      <c r="D339" s="128">
        <f t="shared" si="38"/>
        <v>1</v>
      </c>
      <c r="E339" s="131" t="s">
        <v>142</v>
      </c>
      <c r="F339" s="134" t="s">
        <v>142</v>
      </c>
      <c r="G339" s="134" t="s">
        <v>142</v>
      </c>
      <c r="H339" s="134" t="s">
        <v>142</v>
      </c>
      <c r="I339" s="134" t="s">
        <v>142</v>
      </c>
      <c r="J339" s="134" t="s">
        <v>142</v>
      </c>
      <c r="K339" s="134" t="s">
        <v>142</v>
      </c>
      <c r="L339" s="134" t="s">
        <v>142</v>
      </c>
      <c r="M339" s="136"/>
      <c r="N339" s="137"/>
    </row>
    <row r="340" ht="15.0" hidden="1" customHeight="1" outlineLevel="1">
      <c r="A340" s="574" t="s">
        <v>2083</v>
      </c>
      <c r="B340" s="115">
        <v>46178.0</v>
      </c>
      <c r="C340" s="118" t="str">
        <f t="shared" si="37"/>
        <v>Fri</v>
      </c>
      <c r="D340" s="143">
        <f t="shared" si="38"/>
        <v>1</v>
      </c>
      <c r="E340" s="144" t="s">
        <v>142</v>
      </c>
      <c r="F340" s="134" t="s">
        <v>142</v>
      </c>
      <c r="G340" s="134" t="s">
        <v>142</v>
      </c>
      <c r="H340" s="134" t="s">
        <v>142</v>
      </c>
      <c r="I340" s="134" t="s">
        <v>142</v>
      </c>
      <c r="J340" s="134" t="s">
        <v>142</v>
      </c>
      <c r="K340" s="134" t="s">
        <v>142</v>
      </c>
      <c r="L340" s="134" t="s">
        <v>142</v>
      </c>
      <c r="M340" s="136"/>
      <c r="N340" s="131"/>
    </row>
    <row r="341" hidden="1" outlineLevel="1">
      <c r="B341" s="215"/>
      <c r="C341" s="216" t="s">
        <v>199</v>
      </c>
      <c r="D341" s="217">
        <f>AVERAGE(D326:D340)</f>
        <v>0.9766666667</v>
      </c>
      <c r="E341" s="472"/>
      <c r="L341" s="216" t="s">
        <v>199</v>
      </c>
      <c r="M341" s="217">
        <f>SUM(M326:M340)/75*0.1</f>
        <v>0</v>
      </c>
    </row>
    <row r="342" hidden="1" collapsed="1">
      <c r="A342" s="85" t="s">
        <v>2092</v>
      </c>
      <c r="B342" s="86"/>
      <c r="C342" s="86"/>
      <c r="D342" s="359"/>
      <c r="E342" s="89"/>
      <c r="F342" s="89"/>
      <c r="G342" s="91"/>
      <c r="H342" s="91"/>
      <c r="I342" s="91"/>
      <c r="J342" s="91"/>
      <c r="K342" s="91"/>
      <c r="L342" s="91"/>
      <c r="M342" s="93"/>
      <c r="N342" s="95"/>
    </row>
    <row r="343" hidden="1" outlineLevel="1">
      <c r="A343" s="96" t="s">
        <v>89</v>
      </c>
      <c r="B343" s="98" t="s">
        <v>90</v>
      </c>
      <c r="C343" s="98" t="s">
        <v>91</v>
      </c>
      <c r="D343" s="101" t="s">
        <v>93</v>
      </c>
      <c r="E343" s="102" t="s">
        <v>94</v>
      </c>
      <c r="F343" s="102" t="s">
        <v>95</v>
      </c>
      <c r="G343" s="105" t="s">
        <v>96</v>
      </c>
      <c r="H343" s="107" t="s">
        <v>97</v>
      </c>
      <c r="I343" s="107" t="s">
        <v>104</v>
      </c>
      <c r="J343" s="105" t="s">
        <v>106</v>
      </c>
      <c r="K343" s="107" t="s">
        <v>109</v>
      </c>
      <c r="L343" s="105" t="s">
        <v>111</v>
      </c>
      <c r="M343" s="98" t="s">
        <v>114</v>
      </c>
      <c r="N343" s="101" t="s">
        <v>116</v>
      </c>
    </row>
    <row r="344" hidden="1" outlineLevel="1">
      <c r="A344" s="574" t="s">
        <v>2093</v>
      </c>
      <c r="B344" s="115">
        <v>46181.0</v>
      </c>
      <c r="C344" s="118" t="str">
        <f t="shared" ref="C344:C358" si="39">IF(B344="", "", TEXT(B344, "ddd"))</f>
        <v>Mon</v>
      </c>
      <c r="D344" s="143">
        <f t="shared" ref="D344:D358" si="40">IF(E344="Yes",0.05,0)
+IF(F344="Yes",0.1,0)
+IF(G344="Yes",0.15,0)
+IF(H344="Yes",0.15,0)
+IF(I344="Yes",0.05,0)
+IF(J344="Yes",0.05,0)
+IF(K344="Yes",0.15,0)
+IF(L344="Yes",0.3,0)
</f>
        <v>1</v>
      </c>
      <c r="E344" s="144" t="s">
        <v>142</v>
      </c>
      <c r="F344" s="134" t="s">
        <v>142</v>
      </c>
      <c r="G344" s="134" t="s">
        <v>142</v>
      </c>
      <c r="H344" s="134" t="s">
        <v>142</v>
      </c>
      <c r="I344" s="134" t="s">
        <v>142</v>
      </c>
      <c r="J344" s="134" t="s">
        <v>142</v>
      </c>
      <c r="K344" s="134" t="s">
        <v>142</v>
      </c>
      <c r="L344" s="134" t="s">
        <v>142</v>
      </c>
      <c r="M344" s="136"/>
      <c r="N344" s="137"/>
    </row>
    <row r="345" hidden="1" outlineLevel="1">
      <c r="A345" s="574" t="s">
        <v>2099</v>
      </c>
      <c r="B345" s="115">
        <v>46181.0</v>
      </c>
      <c r="C345" s="118" t="str">
        <f t="shared" si="39"/>
        <v>Mon</v>
      </c>
      <c r="D345" s="128">
        <f t="shared" si="40"/>
        <v>1</v>
      </c>
      <c r="E345" s="131" t="s">
        <v>142</v>
      </c>
      <c r="F345" s="134" t="s">
        <v>142</v>
      </c>
      <c r="G345" s="134" t="s">
        <v>142</v>
      </c>
      <c r="H345" s="134" t="s">
        <v>142</v>
      </c>
      <c r="I345" s="134" t="s">
        <v>142</v>
      </c>
      <c r="J345" s="134" t="s">
        <v>142</v>
      </c>
      <c r="K345" s="134" t="s">
        <v>142</v>
      </c>
      <c r="L345" s="134" t="s">
        <v>142</v>
      </c>
      <c r="M345" s="136"/>
      <c r="N345" s="131"/>
    </row>
    <row r="346" hidden="1" outlineLevel="1">
      <c r="A346" s="574" t="s">
        <v>2102</v>
      </c>
      <c r="B346" s="115">
        <v>46181.0</v>
      </c>
      <c r="C346" s="118" t="str">
        <f t="shared" si="39"/>
        <v>Mon</v>
      </c>
      <c r="D346" s="143">
        <f t="shared" si="40"/>
        <v>1</v>
      </c>
      <c r="E346" s="144" t="s">
        <v>142</v>
      </c>
      <c r="F346" s="134" t="s">
        <v>142</v>
      </c>
      <c r="G346" s="134" t="s">
        <v>142</v>
      </c>
      <c r="H346" s="134" t="s">
        <v>142</v>
      </c>
      <c r="I346" s="134" t="s">
        <v>142</v>
      </c>
      <c r="J346" s="134" t="s">
        <v>142</v>
      </c>
      <c r="K346" s="134" t="s">
        <v>142</v>
      </c>
      <c r="L346" s="134" t="s">
        <v>142</v>
      </c>
      <c r="M346" s="136"/>
      <c r="N346" s="131"/>
    </row>
    <row r="347" hidden="1" outlineLevel="1">
      <c r="A347" s="574" t="s">
        <v>2104</v>
      </c>
      <c r="B347" s="115">
        <v>46182.0</v>
      </c>
      <c r="C347" s="118" t="str">
        <f t="shared" si="39"/>
        <v>Tue</v>
      </c>
      <c r="D347" s="128">
        <f t="shared" si="40"/>
        <v>1</v>
      </c>
      <c r="E347" s="131" t="s">
        <v>142</v>
      </c>
      <c r="F347" s="134" t="s">
        <v>142</v>
      </c>
      <c r="G347" s="134" t="s">
        <v>142</v>
      </c>
      <c r="H347" s="134" t="s">
        <v>142</v>
      </c>
      <c r="I347" s="134" t="s">
        <v>142</v>
      </c>
      <c r="J347" s="134" t="s">
        <v>142</v>
      </c>
      <c r="K347" s="134" t="s">
        <v>142</v>
      </c>
      <c r="L347" s="134" t="s">
        <v>142</v>
      </c>
      <c r="M347" s="136"/>
      <c r="N347" s="137"/>
    </row>
    <row r="348" hidden="1" outlineLevel="1">
      <c r="A348" s="574" t="s">
        <v>2106</v>
      </c>
      <c r="B348" s="115">
        <v>46182.0</v>
      </c>
      <c r="C348" s="118" t="str">
        <f t="shared" si="39"/>
        <v>Tue</v>
      </c>
      <c r="D348" s="143">
        <f t="shared" si="40"/>
        <v>1</v>
      </c>
      <c r="E348" s="144" t="s">
        <v>142</v>
      </c>
      <c r="F348" s="134" t="s">
        <v>142</v>
      </c>
      <c r="G348" s="134" t="s">
        <v>142</v>
      </c>
      <c r="H348" s="134" t="s">
        <v>142</v>
      </c>
      <c r="I348" s="134" t="s">
        <v>142</v>
      </c>
      <c r="J348" s="134" t="s">
        <v>142</v>
      </c>
      <c r="K348" s="134" t="s">
        <v>142</v>
      </c>
      <c r="L348" s="134" t="s">
        <v>142</v>
      </c>
      <c r="M348" s="136"/>
      <c r="N348" s="137"/>
    </row>
    <row r="349" hidden="1" outlineLevel="1">
      <c r="A349" s="574" t="s">
        <v>2108</v>
      </c>
      <c r="B349" s="115">
        <v>46182.0</v>
      </c>
      <c r="C349" s="118" t="str">
        <f t="shared" si="39"/>
        <v>Tue</v>
      </c>
      <c r="D349" s="128">
        <f t="shared" si="40"/>
        <v>1</v>
      </c>
      <c r="E349" s="131" t="s">
        <v>142</v>
      </c>
      <c r="F349" s="134" t="s">
        <v>142</v>
      </c>
      <c r="G349" s="134" t="s">
        <v>142</v>
      </c>
      <c r="H349" s="134" t="s">
        <v>142</v>
      </c>
      <c r="I349" s="134" t="s">
        <v>142</v>
      </c>
      <c r="J349" s="134" t="s">
        <v>142</v>
      </c>
      <c r="K349" s="134" t="s">
        <v>142</v>
      </c>
      <c r="L349" s="134" t="s">
        <v>142</v>
      </c>
      <c r="M349" s="136"/>
      <c r="N349" s="137"/>
    </row>
    <row r="350" hidden="1" outlineLevel="1">
      <c r="A350" s="572" t="s">
        <v>2109</v>
      </c>
      <c r="B350" s="115">
        <v>46183.0</v>
      </c>
      <c r="C350" s="118" t="str">
        <f t="shared" si="39"/>
        <v>Wed</v>
      </c>
      <c r="D350" s="143">
        <f t="shared" si="40"/>
        <v>1</v>
      </c>
      <c r="E350" s="144" t="s">
        <v>142</v>
      </c>
      <c r="F350" s="134" t="s">
        <v>142</v>
      </c>
      <c r="G350" s="134" t="s">
        <v>142</v>
      </c>
      <c r="H350" s="134" t="s">
        <v>142</v>
      </c>
      <c r="I350" s="134" t="s">
        <v>142</v>
      </c>
      <c r="J350" s="134" t="s">
        <v>142</v>
      </c>
      <c r="K350" s="134" t="s">
        <v>142</v>
      </c>
      <c r="L350" s="134" t="s">
        <v>142</v>
      </c>
      <c r="M350" s="136"/>
      <c r="N350" s="137"/>
    </row>
    <row r="351" hidden="1" outlineLevel="1">
      <c r="A351" s="572" t="s">
        <v>2111</v>
      </c>
      <c r="B351" s="115">
        <v>46183.0</v>
      </c>
      <c r="C351" s="118" t="str">
        <f t="shared" si="39"/>
        <v>Wed</v>
      </c>
      <c r="D351" s="128">
        <f t="shared" si="40"/>
        <v>1</v>
      </c>
      <c r="E351" s="131" t="s">
        <v>142</v>
      </c>
      <c r="F351" s="134" t="s">
        <v>142</v>
      </c>
      <c r="G351" s="134" t="s">
        <v>142</v>
      </c>
      <c r="H351" s="134" t="s">
        <v>142</v>
      </c>
      <c r="I351" s="134" t="s">
        <v>142</v>
      </c>
      <c r="J351" s="134" t="s">
        <v>142</v>
      </c>
      <c r="K351" s="134" t="s">
        <v>142</v>
      </c>
      <c r="L351" s="134" t="s">
        <v>142</v>
      </c>
      <c r="M351" s="136"/>
      <c r="N351" s="131"/>
    </row>
    <row r="352" hidden="1" outlineLevel="1">
      <c r="A352" s="572" t="s">
        <v>2112</v>
      </c>
      <c r="B352" s="115">
        <v>46183.0</v>
      </c>
      <c r="C352" s="118" t="str">
        <f t="shared" si="39"/>
        <v>Wed</v>
      </c>
      <c r="D352" s="143">
        <f t="shared" si="40"/>
        <v>1</v>
      </c>
      <c r="E352" s="144" t="s">
        <v>142</v>
      </c>
      <c r="F352" s="134" t="s">
        <v>142</v>
      </c>
      <c r="G352" s="134" t="s">
        <v>142</v>
      </c>
      <c r="H352" s="134" t="s">
        <v>142</v>
      </c>
      <c r="I352" s="134" t="s">
        <v>142</v>
      </c>
      <c r="J352" s="134" t="s">
        <v>142</v>
      </c>
      <c r="K352" s="134" t="s">
        <v>142</v>
      </c>
      <c r="L352" s="134" t="s">
        <v>142</v>
      </c>
      <c r="M352" s="136"/>
      <c r="N352" s="137"/>
    </row>
    <row r="353" hidden="1" outlineLevel="1">
      <c r="A353" s="572" t="s">
        <v>2114</v>
      </c>
      <c r="B353" s="115">
        <v>46184.0</v>
      </c>
      <c r="C353" s="118" t="str">
        <f t="shared" si="39"/>
        <v>Thu</v>
      </c>
      <c r="D353" s="128">
        <f t="shared" si="40"/>
        <v>1</v>
      </c>
      <c r="E353" s="131" t="s">
        <v>142</v>
      </c>
      <c r="F353" s="134" t="s">
        <v>142</v>
      </c>
      <c r="G353" s="134" t="s">
        <v>142</v>
      </c>
      <c r="H353" s="134" t="s">
        <v>142</v>
      </c>
      <c r="I353" s="134" t="s">
        <v>142</v>
      </c>
      <c r="J353" s="134" t="s">
        <v>142</v>
      </c>
      <c r="K353" s="134" t="s">
        <v>142</v>
      </c>
      <c r="L353" s="134" t="s">
        <v>142</v>
      </c>
      <c r="M353" s="136"/>
      <c r="N353" s="131"/>
    </row>
    <row r="354" hidden="1" outlineLevel="1">
      <c r="A354" s="572" t="s">
        <v>2119</v>
      </c>
      <c r="B354" s="115">
        <v>46184.0</v>
      </c>
      <c r="C354" s="118" t="str">
        <f t="shared" si="39"/>
        <v>Thu</v>
      </c>
      <c r="D354" s="143">
        <f t="shared" si="40"/>
        <v>1</v>
      </c>
      <c r="E354" s="144" t="s">
        <v>142</v>
      </c>
      <c r="F354" s="134" t="s">
        <v>142</v>
      </c>
      <c r="G354" s="134" t="s">
        <v>142</v>
      </c>
      <c r="H354" s="134" t="s">
        <v>142</v>
      </c>
      <c r="I354" s="134" t="s">
        <v>142</v>
      </c>
      <c r="J354" s="134" t="s">
        <v>142</v>
      </c>
      <c r="K354" s="134" t="s">
        <v>142</v>
      </c>
      <c r="L354" s="134" t="s">
        <v>142</v>
      </c>
      <c r="M354" s="136"/>
      <c r="N354" s="131"/>
    </row>
    <row r="355" hidden="1" outlineLevel="1">
      <c r="A355" s="572" t="s">
        <v>2122</v>
      </c>
      <c r="B355" s="115">
        <v>46184.0</v>
      </c>
      <c r="C355" s="118" t="str">
        <f t="shared" si="39"/>
        <v>Thu</v>
      </c>
      <c r="D355" s="128">
        <f t="shared" si="40"/>
        <v>1</v>
      </c>
      <c r="E355" s="131" t="s">
        <v>142</v>
      </c>
      <c r="F355" s="134" t="s">
        <v>142</v>
      </c>
      <c r="G355" s="134" t="s">
        <v>142</v>
      </c>
      <c r="H355" s="134" t="s">
        <v>142</v>
      </c>
      <c r="I355" s="134" t="s">
        <v>142</v>
      </c>
      <c r="J355" s="134" t="s">
        <v>142</v>
      </c>
      <c r="K355" s="134" t="s">
        <v>142</v>
      </c>
      <c r="L355" s="134" t="s">
        <v>142</v>
      </c>
      <c r="M355" s="136"/>
      <c r="N355" s="131"/>
    </row>
    <row r="356" hidden="1" outlineLevel="1">
      <c r="A356" s="572" t="s">
        <v>2123</v>
      </c>
      <c r="B356" s="115">
        <v>46185.0</v>
      </c>
      <c r="C356" s="118" t="str">
        <f t="shared" si="39"/>
        <v>Fri</v>
      </c>
      <c r="D356" s="143">
        <f t="shared" si="40"/>
        <v>1</v>
      </c>
      <c r="E356" s="144" t="s">
        <v>142</v>
      </c>
      <c r="F356" s="134" t="s">
        <v>142</v>
      </c>
      <c r="G356" s="134" t="s">
        <v>142</v>
      </c>
      <c r="H356" s="134" t="s">
        <v>142</v>
      </c>
      <c r="I356" s="134" t="s">
        <v>142</v>
      </c>
      <c r="J356" s="134" t="s">
        <v>142</v>
      </c>
      <c r="K356" s="134" t="s">
        <v>142</v>
      </c>
      <c r="L356" s="134" t="s">
        <v>142</v>
      </c>
      <c r="M356" s="136"/>
      <c r="N356" s="137"/>
    </row>
    <row r="357" hidden="1" outlineLevel="1">
      <c r="A357" s="572" t="s">
        <v>2126</v>
      </c>
      <c r="B357" s="115">
        <v>46185.0</v>
      </c>
      <c r="C357" s="118" t="str">
        <f t="shared" si="39"/>
        <v>Fri</v>
      </c>
      <c r="D357" s="128">
        <f t="shared" si="40"/>
        <v>1</v>
      </c>
      <c r="E357" s="131" t="s">
        <v>142</v>
      </c>
      <c r="F357" s="134" t="s">
        <v>142</v>
      </c>
      <c r="G357" s="134" t="s">
        <v>142</v>
      </c>
      <c r="H357" s="134" t="s">
        <v>142</v>
      </c>
      <c r="I357" s="134" t="s">
        <v>142</v>
      </c>
      <c r="J357" s="134" t="s">
        <v>142</v>
      </c>
      <c r="K357" s="134" t="s">
        <v>142</v>
      </c>
      <c r="L357" s="134" t="s">
        <v>142</v>
      </c>
      <c r="M357" s="136"/>
      <c r="N357" s="137"/>
    </row>
    <row r="358" ht="15.0" hidden="1" customHeight="1" outlineLevel="1">
      <c r="A358" s="572" t="s">
        <v>2128</v>
      </c>
      <c r="B358" s="115">
        <v>46185.0</v>
      </c>
      <c r="C358" s="118" t="str">
        <f t="shared" si="39"/>
        <v>Fri</v>
      </c>
      <c r="D358" s="143">
        <f t="shared" si="40"/>
        <v>1</v>
      </c>
      <c r="E358" s="144" t="s">
        <v>142</v>
      </c>
      <c r="F358" s="134" t="s">
        <v>142</v>
      </c>
      <c r="G358" s="134" t="s">
        <v>142</v>
      </c>
      <c r="H358" s="134" t="s">
        <v>142</v>
      </c>
      <c r="I358" s="134" t="s">
        <v>142</v>
      </c>
      <c r="J358" s="134" t="s">
        <v>142</v>
      </c>
      <c r="K358" s="134" t="s">
        <v>142</v>
      </c>
      <c r="L358" s="134" t="s">
        <v>142</v>
      </c>
      <c r="M358" s="136"/>
      <c r="N358" s="131"/>
    </row>
    <row r="359" hidden="1" outlineLevel="1">
      <c r="B359" s="215"/>
      <c r="C359" s="216" t="s">
        <v>199</v>
      </c>
      <c r="D359" s="217">
        <f>AVERAGE(D344:D358)</f>
        <v>1</v>
      </c>
      <c r="E359" s="472"/>
      <c r="L359" s="216" t="s">
        <v>199</v>
      </c>
      <c r="M359" s="217">
        <f>SUM(M344:M358)/75*0.1</f>
        <v>0</v>
      </c>
    </row>
    <row r="360" hidden="1" collapsed="1">
      <c r="A360" s="85" t="s">
        <v>2131</v>
      </c>
      <c r="B360" s="86"/>
      <c r="C360" s="86"/>
      <c r="D360" s="359"/>
      <c r="E360" s="89"/>
      <c r="F360" s="89"/>
      <c r="G360" s="91"/>
      <c r="H360" s="91"/>
      <c r="I360" s="91"/>
      <c r="J360" s="91"/>
      <c r="K360" s="91"/>
      <c r="L360" s="91"/>
      <c r="M360" s="93"/>
      <c r="N360" s="95"/>
    </row>
    <row r="361" hidden="1" outlineLevel="1">
      <c r="A361" s="96" t="s">
        <v>89</v>
      </c>
      <c r="B361" s="98" t="s">
        <v>90</v>
      </c>
      <c r="C361" s="98" t="s">
        <v>91</v>
      </c>
      <c r="D361" s="101" t="s">
        <v>93</v>
      </c>
      <c r="E361" s="102" t="s">
        <v>94</v>
      </c>
      <c r="F361" s="102" t="s">
        <v>95</v>
      </c>
      <c r="G361" s="105" t="s">
        <v>96</v>
      </c>
      <c r="H361" s="107" t="s">
        <v>97</v>
      </c>
      <c r="I361" s="107" t="s">
        <v>104</v>
      </c>
      <c r="J361" s="105" t="s">
        <v>106</v>
      </c>
      <c r="K361" s="107" t="s">
        <v>109</v>
      </c>
      <c r="L361" s="105" t="s">
        <v>111</v>
      </c>
      <c r="M361" s="98" t="s">
        <v>114</v>
      </c>
      <c r="N361" s="101" t="s">
        <v>116</v>
      </c>
    </row>
    <row r="362" hidden="1" outlineLevel="1">
      <c r="A362" s="590" t="s">
        <v>2133</v>
      </c>
      <c r="B362" s="115"/>
      <c r="C362" s="118" t="str">
        <f t="shared" ref="C362:C376" si="41">IF(B362="", "", TEXT(B362, "ddd"))</f>
        <v/>
      </c>
      <c r="D362" s="143">
        <f t="shared" ref="D362:D376" si="42">IF(E362="Yes",0.05,0)
+IF(F362="Yes",0.1,0)
+IF(G362="Yes",0.15,0)
+IF(H362="Yes",0.15,0)
+IF(I362="Yes",0.05,0)
+IF(J362="Yes",0.05,0)
+IF(K362="Yes",0.15,0)
+IF(L362="Yes",0.3,0)
</f>
        <v>1</v>
      </c>
      <c r="E362" s="144" t="s">
        <v>142</v>
      </c>
      <c r="F362" s="134" t="s">
        <v>142</v>
      </c>
      <c r="G362" s="134" t="s">
        <v>142</v>
      </c>
      <c r="H362" s="134" t="s">
        <v>142</v>
      </c>
      <c r="I362" s="134" t="s">
        <v>142</v>
      </c>
      <c r="J362" s="134" t="s">
        <v>142</v>
      </c>
      <c r="K362" s="134" t="s">
        <v>142</v>
      </c>
      <c r="L362" s="134" t="s">
        <v>142</v>
      </c>
      <c r="M362" s="136"/>
      <c r="N362" s="137"/>
    </row>
    <row r="363" hidden="1" outlineLevel="1">
      <c r="A363" s="590" t="s">
        <v>2133</v>
      </c>
      <c r="B363" s="115"/>
      <c r="C363" s="118" t="str">
        <f t="shared" si="41"/>
        <v/>
      </c>
      <c r="D363" s="128">
        <f t="shared" si="42"/>
        <v>1</v>
      </c>
      <c r="E363" s="131" t="s">
        <v>142</v>
      </c>
      <c r="F363" s="134" t="s">
        <v>142</v>
      </c>
      <c r="G363" s="134" t="s">
        <v>142</v>
      </c>
      <c r="H363" s="134" t="s">
        <v>142</v>
      </c>
      <c r="I363" s="134" t="s">
        <v>142</v>
      </c>
      <c r="J363" s="134" t="s">
        <v>142</v>
      </c>
      <c r="K363" s="134" t="s">
        <v>142</v>
      </c>
      <c r="L363" s="134" t="s">
        <v>142</v>
      </c>
      <c r="M363" s="136"/>
      <c r="N363" s="131"/>
    </row>
    <row r="364" hidden="1" outlineLevel="1">
      <c r="A364" s="590" t="s">
        <v>2133</v>
      </c>
      <c r="B364" s="115"/>
      <c r="C364" s="118" t="str">
        <f t="shared" si="41"/>
        <v/>
      </c>
      <c r="D364" s="143">
        <f t="shared" si="42"/>
        <v>1</v>
      </c>
      <c r="E364" s="144" t="s">
        <v>142</v>
      </c>
      <c r="F364" s="134" t="s">
        <v>142</v>
      </c>
      <c r="G364" s="134" t="s">
        <v>142</v>
      </c>
      <c r="H364" s="134" t="s">
        <v>142</v>
      </c>
      <c r="I364" s="134" t="s">
        <v>142</v>
      </c>
      <c r="J364" s="134" t="s">
        <v>142</v>
      </c>
      <c r="K364" s="134" t="s">
        <v>142</v>
      </c>
      <c r="L364" s="134" t="s">
        <v>142</v>
      </c>
      <c r="M364" s="136"/>
      <c r="N364" s="131"/>
    </row>
    <row r="365" hidden="1" outlineLevel="1">
      <c r="A365" s="590" t="s">
        <v>2133</v>
      </c>
      <c r="B365" s="115"/>
      <c r="C365" s="118" t="str">
        <f t="shared" si="41"/>
        <v/>
      </c>
      <c r="D365" s="128">
        <f t="shared" si="42"/>
        <v>1</v>
      </c>
      <c r="E365" s="131" t="s">
        <v>142</v>
      </c>
      <c r="F365" s="134" t="s">
        <v>142</v>
      </c>
      <c r="G365" s="134" t="s">
        <v>142</v>
      </c>
      <c r="H365" s="134" t="s">
        <v>142</v>
      </c>
      <c r="I365" s="134" t="s">
        <v>142</v>
      </c>
      <c r="J365" s="134" t="s">
        <v>142</v>
      </c>
      <c r="K365" s="134" t="s">
        <v>142</v>
      </c>
      <c r="L365" s="134" t="s">
        <v>142</v>
      </c>
      <c r="M365" s="136"/>
      <c r="N365" s="137"/>
    </row>
    <row r="366" hidden="1" outlineLevel="1">
      <c r="A366" s="590" t="s">
        <v>2133</v>
      </c>
      <c r="B366" s="115"/>
      <c r="C366" s="118" t="str">
        <f t="shared" si="41"/>
        <v/>
      </c>
      <c r="D366" s="143">
        <f t="shared" si="42"/>
        <v>1</v>
      </c>
      <c r="E366" s="144" t="s">
        <v>142</v>
      </c>
      <c r="F366" s="134" t="s">
        <v>142</v>
      </c>
      <c r="G366" s="134" t="s">
        <v>142</v>
      </c>
      <c r="H366" s="134" t="s">
        <v>142</v>
      </c>
      <c r="I366" s="134" t="s">
        <v>142</v>
      </c>
      <c r="J366" s="134" t="s">
        <v>142</v>
      </c>
      <c r="K366" s="134" t="s">
        <v>142</v>
      </c>
      <c r="L366" s="134" t="s">
        <v>142</v>
      </c>
      <c r="M366" s="136"/>
      <c r="N366" s="137"/>
    </row>
    <row r="367" hidden="1" outlineLevel="1">
      <c r="A367" s="590" t="s">
        <v>2133</v>
      </c>
      <c r="B367" s="115"/>
      <c r="C367" s="118" t="str">
        <f t="shared" si="41"/>
        <v/>
      </c>
      <c r="D367" s="128">
        <f t="shared" si="42"/>
        <v>1</v>
      </c>
      <c r="E367" s="131" t="s">
        <v>142</v>
      </c>
      <c r="F367" s="134" t="s">
        <v>142</v>
      </c>
      <c r="G367" s="134" t="s">
        <v>142</v>
      </c>
      <c r="H367" s="134" t="s">
        <v>142</v>
      </c>
      <c r="I367" s="134" t="s">
        <v>142</v>
      </c>
      <c r="J367" s="134" t="s">
        <v>142</v>
      </c>
      <c r="K367" s="134" t="s">
        <v>142</v>
      </c>
      <c r="L367" s="134" t="s">
        <v>142</v>
      </c>
      <c r="M367" s="136"/>
      <c r="N367" s="137"/>
    </row>
    <row r="368" hidden="1" outlineLevel="1">
      <c r="A368" s="590" t="s">
        <v>2133</v>
      </c>
      <c r="B368" s="115"/>
      <c r="C368" s="118" t="str">
        <f t="shared" si="41"/>
        <v/>
      </c>
      <c r="D368" s="143">
        <f t="shared" si="42"/>
        <v>1</v>
      </c>
      <c r="E368" s="144" t="s">
        <v>142</v>
      </c>
      <c r="F368" s="134" t="s">
        <v>142</v>
      </c>
      <c r="G368" s="134" t="s">
        <v>142</v>
      </c>
      <c r="H368" s="134" t="s">
        <v>142</v>
      </c>
      <c r="I368" s="134" t="s">
        <v>142</v>
      </c>
      <c r="J368" s="134" t="s">
        <v>142</v>
      </c>
      <c r="K368" s="134" t="s">
        <v>142</v>
      </c>
      <c r="L368" s="134" t="s">
        <v>142</v>
      </c>
      <c r="M368" s="136"/>
      <c r="N368" s="137"/>
    </row>
    <row r="369" hidden="1" outlineLevel="1">
      <c r="A369" s="590" t="s">
        <v>2133</v>
      </c>
      <c r="B369" s="115"/>
      <c r="C369" s="118" t="str">
        <f t="shared" si="41"/>
        <v/>
      </c>
      <c r="D369" s="128">
        <f t="shared" si="42"/>
        <v>1</v>
      </c>
      <c r="E369" s="131" t="s">
        <v>142</v>
      </c>
      <c r="F369" s="134" t="s">
        <v>142</v>
      </c>
      <c r="G369" s="134" t="s">
        <v>142</v>
      </c>
      <c r="H369" s="134" t="s">
        <v>142</v>
      </c>
      <c r="I369" s="134" t="s">
        <v>142</v>
      </c>
      <c r="J369" s="134" t="s">
        <v>142</v>
      </c>
      <c r="K369" s="134" t="s">
        <v>142</v>
      </c>
      <c r="L369" s="134" t="s">
        <v>142</v>
      </c>
      <c r="M369" s="136"/>
      <c r="N369" s="131"/>
    </row>
    <row r="370" hidden="1" outlineLevel="1">
      <c r="A370" s="590" t="s">
        <v>2133</v>
      </c>
      <c r="B370" s="115"/>
      <c r="C370" s="118" t="str">
        <f t="shared" si="41"/>
        <v/>
      </c>
      <c r="D370" s="143">
        <f t="shared" si="42"/>
        <v>1</v>
      </c>
      <c r="E370" s="144" t="s">
        <v>142</v>
      </c>
      <c r="F370" s="134" t="s">
        <v>142</v>
      </c>
      <c r="G370" s="134" t="s">
        <v>142</v>
      </c>
      <c r="H370" s="134" t="s">
        <v>142</v>
      </c>
      <c r="I370" s="134" t="s">
        <v>142</v>
      </c>
      <c r="J370" s="134" t="s">
        <v>142</v>
      </c>
      <c r="K370" s="134" t="s">
        <v>142</v>
      </c>
      <c r="L370" s="134" t="s">
        <v>142</v>
      </c>
      <c r="M370" s="136"/>
      <c r="N370" s="137"/>
    </row>
    <row r="371" hidden="1" outlineLevel="1">
      <c r="A371" s="590" t="s">
        <v>2133</v>
      </c>
      <c r="B371" s="115"/>
      <c r="C371" s="118" t="str">
        <f t="shared" si="41"/>
        <v/>
      </c>
      <c r="D371" s="128">
        <f t="shared" si="42"/>
        <v>1</v>
      </c>
      <c r="E371" s="131" t="s">
        <v>142</v>
      </c>
      <c r="F371" s="134" t="s">
        <v>142</v>
      </c>
      <c r="G371" s="134" t="s">
        <v>142</v>
      </c>
      <c r="H371" s="134" t="s">
        <v>142</v>
      </c>
      <c r="I371" s="134" t="s">
        <v>142</v>
      </c>
      <c r="J371" s="134" t="s">
        <v>142</v>
      </c>
      <c r="K371" s="134" t="s">
        <v>142</v>
      </c>
      <c r="L371" s="134" t="s">
        <v>142</v>
      </c>
      <c r="M371" s="136"/>
      <c r="N371" s="131"/>
    </row>
    <row r="372" hidden="1" outlineLevel="1">
      <c r="A372" s="590" t="s">
        <v>2133</v>
      </c>
      <c r="B372" s="115"/>
      <c r="C372" s="118" t="str">
        <f t="shared" si="41"/>
        <v/>
      </c>
      <c r="D372" s="143">
        <f t="shared" si="42"/>
        <v>1</v>
      </c>
      <c r="E372" s="144" t="s">
        <v>142</v>
      </c>
      <c r="F372" s="134" t="s">
        <v>142</v>
      </c>
      <c r="G372" s="134" t="s">
        <v>142</v>
      </c>
      <c r="H372" s="134" t="s">
        <v>142</v>
      </c>
      <c r="I372" s="134" t="s">
        <v>142</v>
      </c>
      <c r="J372" s="134" t="s">
        <v>142</v>
      </c>
      <c r="K372" s="134" t="s">
        <v>142</v>
      </c>
      <c r="L372" s="134" t="s">
        <v>142</v>
      </c>
      <c r="M372" s="136"/>
      <c r="N372" s="131"/>
    </row>
    <row r="373" hidden="1" outlineLevel="1">
      <c r="A373" s="590" t="s">
        <v>2133</v>
      </c>
      <c r="B373" s="115"/>
      <c r="C373" s="118" t="str">
        <f t="shared" si="41"/>
        <v/>
      </c>
      <c r="D373" s="128">
        <f t="shared" si="42"/>
        <v>1</v>
      </c>
      <c r="E373" s="131" t="s">
        <v>142</v>
      </c>
      <c r="F373" s="134" t="s">
        <v>142</v>
      </c>
      <c r="G373" s="134" t="s">
        <v>142</v>
      </c>
      <c r="H373" s="134" t="s">
        <v>142</v>
      </c>
      <c r="I373" s="134" t="s">
        <v>142</v>
      </c>
      <c r="J373" s="134" t="s">
        <v>142</v>
      </c>
      <c r="K373" s="134" t="s">
        <v>142</v>
      </c>
      <c r="L373" s="134" t="s">
        <v>142</v>
      </c>
      <c r="M373" s="136"/>
      <c r="N373" s="131"/>
    </row>
    <row r="374" hidden="1" outlineLevel="1">
      <c r="A374" s="590" t="s">
        <v>2133</v>
      </c>
      <c r="B374" s="115"/>
      <c r="C374" s="118" t="str">
        <f t="shared" si="41"/>
        <v/>
      </c>
      <c r="D374" s="143">
        <f t="shared" si="42"/>
        <v>1</v>
      </c>
      <c r="E374" s="144" t="s">
        <v>142</v>
      </c>
      <c r="F374" s="134" t="s">
        <v>142</v>
      </c>
      <c r="G374" s="134" t="s">
        <v>142</v>
      </c>
      <c r="H374" s="134" t="s">
        <v>142</v>
      </c>
      <c r="I374" s="134" t="s">
        <v>142</v>
      </c>
      <c r="J374" s="134" t="s">
        <v>142</v>
      </c>
      <c r="K374" s="134" t="s">
        <v>142</v>
      </c>
      <c r="L374" s="134" t="s">
        <v>142</v>
      </c>
      <c r="M374" s="136"/>
      <c r="N374" s="137"/>
    </row>
    <row r="375" hidden="1" outlineLevel="1">
      <c r="A375" s="590" t="s">
        <v>2133</v>
      </c>
      <c r="B375" s="115"/>
      <c r="C375" s="118" t="str">
        <f t="shared" si="41"/>
        <v/>
      </c>
      <c r="D375" s="128">
        <f t="shared" si="42"/>
        <v>1</v>
      </c>
      <c r="E375" s="131" t="s">
        <v>142</v>
      </c>
      <c r="F375" s="134" t="s">
        <v>142</v>
      </c>
      <c r="G375" s="134" t="s">
        <v>142</v>
      </c>
      <c r="H375" s="134" t="s">
        <v>142</v>
      </c>
      <c r="I375" s="134" t="s">
        <v>142</v>
      </c>
      <c r="J375" s="134" t="s">
        <v>142</v>
      </c>
      <c r="K375" s="134" t="s">
        <v>142</v>
      </c>
      <c r="L375" s="134" t="s">
        <v>142</v>
      </c>
      <c r="M375" s="136"/>
      <c r="N375" s="137"/>
    </row>
    <row r="376" ht="15.0" hidden="1" customHeight="1" outlineLevel="1">
      <c r="A376" s="590" t="s">
        <v>2133</v>
      </c>
      <c r="B376" s="115"/>
      <c r="C376" s="118" t="str">
        <f t="shared" si="41"/>
        <v/>
      </c>
      <c r="D376" s="143">
        <f t="shared" si="42"/>
        <v>1</v>
      </c>
      <c r="E376" s="144" t="s">
        <v>142</v>
      </c>
      <c r="F376" s="134" t="s">
        <v>142</v>
      </c>
      <c r="G376" s="134" t="s">
        <v>142</v>
      </c>
      <c r="H376" s="134" t="s">
        <v>142</v>
      </c>
      <c r="I376" s="134" t="s">
        <v>142</v>
      </c>
      <c r="J376" s="134" t="s">
        <v>142</v>
      </c>
      <c r="K376" s="134" t="s">
        <v>142</v>
      </c>
      <c r="L376" s="134" t="s">
        <v>142</v>
      </c>
      <c r="M376" s="136"/>
      <c r="N376" s="131"/>
    </row>
    <row r="377" hidden="1" outlineLevel="1">
      <c r="B377" s="215"/>
      <c r="C377" s="216" t="s">
        <v>199</v>
      </c>
      <c r="D377" s="217">
        <f>AVERAGE(D362:D376)</f>
        <v>1</v>
      </c>
      <c r="E377" s="472"/>
      <c r="L377" s="216" t="s">
        <v>199</v>
      </c>
      <c r="M377" s="217">
        <f>SUM(M362:M376)/75*0.1</f>
        <v>0</v>
      </c>
    </row>
    <row r="378" hidden="1" collapsed="1">
      <c r="A378" s="85" t="s">
        <v>2144</v>
      </c>
      <c r="B378" s="86"/>
      <c r="C378" s="86"/>
      <c r="D378" s="359"/>
      <c r="E378" s="89"/>
      <c r="F378" s="89"/>
      <c r="G378" s="91"/>
      <c r="H378" s="91"/>
      <c r="I378" s="91"/>
      <c r="J378" s="91"/>
      <c r="K378" s="91"/>
      <c r="L378" s="91"/>
      <c r="M378" s="93"/>
      <c r="N378" s="95"/>
    </row>
    <row r="379" hidden="1" outlineLevel="1">
      <c r="A379" s="96" t="s">
        <v>89</v>
      </c>
      <c r="B379" s="98" t="s">
        <v>90</v>
      </c>
      <c r="C379" s="98" t="s">
        <v>91</v>
      </c>
      <c r="D379" s="101" t="s">
        <v>93</v>
      </c>
      <c r="E379" s="102" t="s">
        <v>94</v>
      </c>
      <c r="F379" s="102" t="s">
        <v>95</v>
      </c>
      <c r="G379" s="105" t="s">
        <v>96</v>
      </c>
      <c r="H379" s="107" t="s">
        <v>97</v>
      </c>
      <c r="I379" s="107" t="s">
        <v>104</v>
      </c>
      <c r="J379" s="105" t="s">
        <v>106</v>
      </c>
      <c r="K379" s="107" t="s">
        <v>109</v>
      </c>
      <c r="L379" s="105" t="s">
        <v>111</v>
      </c>
      <c r="M379" s="98" t="s">
        <v>114</v>
      </c>
      <c r="N379" s="101" t="s">
        <v>116</v>
      </c>
    </row>
    <row r="380" hidden="1" outlineLevel="1">
      <c r="A380" s="572" t="s">
        <v>2146</v>
      </c>
      <c r="B380" s="115">
        <v>46195.0</v>
      </c>
      <c r="C380" s="118" t="str">
        <f t="shared" ref="C380:C394" si="43">IF(B380="", "", TEXT(B380, "ddd"))</f>
        <v>Mon</v>
      </c>
      <c r="D380" s="143">
        <f t="shared" ref="D380:D394" si="44">IF(E380="Yes",0.05,0)
+IF(F380="Yes",0.1,0)
+IF(G380="Yes",0.15,0)
+IF(H380="Yes",0.15,0)
+IF(I380="Yes",0.05,0)
+IF(J380="Yes",0.05,0)
+IF(K380="Yes",0.15,0)
+IF(L380="Yes",0.3,0)
</f>
        <v>1</v>
      </c>
      <c r="E380" s="144" t="s">
        <v>142</v>
      </c>
      <c r="F380" s="134" t="s">
        <v>142</v>
      </c>
      <c r="G380" s="134" t="s">
        <v>142</v>
      </c>
      <c r="H380" s="134" t="s">
        <v>142</v>
      </c>
      <c r="I380" s="134" t="s">
        <v>142</v>
      </c>
      <c r="J380" s="134" t="s">
        <v>142</v>
      </c>
      <c r="K380" s="134" t="s">
        <v>142</v>
      </c>
      <c r="L380" s="134" t="s">
        <v>142</v>
      </c>
      <c r="M380" s="136"/>
      <c r="N380" s="137"/>
    </row>
    <row r="381" hidden="1" outlineLevel="1">
      <c r="A381" s="572" t="s">
        <v>2150</v>
      </c>
      <c r="B381" s="115">
        <v>46195.0</v>
      </c>
      <c r="C381" s="118" t="str">
        <f t="shared" si="43"/>
        <v>Mon</v>
      </c>
      <c r="D381" s="128">
        <f t="shared" si="44"/>
        <v>1</v>
      </c>
      <c r="E381" s="131" t="s">
        <v>142</v>
      </c>
      <c r="F381" s="134" t="s">
        <v>142</v>
      </c>
      <c r="G381" s="134" t="s">
        <v>142</v>
      </c>
      <c r="H381" s="134" t="s">
        <v>142</v>
      </c>
      <c r="I381" s="134" t="s">
        <v>142</v>
      </c>
      <c r="J381" s="134" t="s">
        <v>142</v>
      </c>
      <c r="K381" s="134" t="s">
        <v>142</v>
      </c>
      <c r="L381" s="134" t="s">
        <v>142</v>
      </c>
      <c r="M381" s="136"/>
      <c r="N381" s="131"/>
    </row>
    <row r="382" hidden="1" outlineLevel="1">
      <c r="A382" s="572" t="s">
        <v>2153</v>
      </c>
      <c r="B382" s="115">
        <v>46195.0</v>
      </c>
      <c r="C382" s="118" t="str">
        <f t="shared" si="43"/>
        <v>Mon</v>
      </c>
      <c r="D382" s="143">
        <f t="shared" si="44"/>
        <v>1</v>
      </c>
      <c r="E382" s="144" t="s">
        <v>142</v>
      </c>
      <c r="F382" s="134" t="s">
        <v>142</v>
      </c>
      <c r="G382" s="134" t="s">
        <v>142</v>
      </c>
      <c r="H382" s="134" t="s">
        <v>142</v>
      </c>
      <c r="I382" s="134" t="s">
        <v>142</v>
      </c>
      <c r="J382" s="134" t="s">
        <v>142</v>
      </c>
      <c r="K382" s="134" t="s">
        <v>142</v>
      </c>
      <c r="L382" s="134" t="s">
        <v>142</v>
      </c>
      <c r="M382" s="136"/>
      <c r="N382" s="131"/>
    </row>
    <row r="383" hidden="1" outlineLevel="1">
      <c r="A383" s="590" t="s">
        <v>2155</v>
      </c>
      <c r="B383" s="115">
        <v>46196.0</v>
      </c>
      <c r="C383" s="118" t="str">
        <f t="shared" si="43"/>
        <v>Tue</v>
      </c>
      <c r="D383" s="128">
        <f t="shared" si="44"/>
        <v>1</v>
      </c>
      <c r="E383" s="131" t="s">
        <v>142</v>
      </c>
      <c r="F383" s="134" t="s">
        <v>142</v>
      </c>
      <c r="G383" s="134" t="s">
        <v>142</v>
      </c>
      <c r="H383" s="134" t="s">
        <v>142</v>
      </c>
      <c r="I383" s="134" t="s">
        <v>142</v>
      </c>
      <c r="J383" s="134" t="s">
        <v>142</v>
      </c>
      <c r="K383" s="134" t="s">
        <v>142</v>
      </c>
      <c r="L383" s="134" t="s">
        <v>142</v>
      </c>
      <c r="M383" s="136"/>
      <c r="N383" s="137"/>
    </row>
    <row r="384" hidden="1" outlineLevel="1">
      <c r="A384" s="590" t="s">
        <v>2156</v>
      </c>
      <c r="B384" s="115">
        <v>46196.0</v>
      </c>
      <c r="C384" s="118" t="str">
        <f t="shared" si="43"/>
        <v>Tue</v>
      </c>
      <c r="D384" s="143">
        <f t="shared" si="44"/>
        <v>1</v>
      </c>
      <c r="E384" s="144" t="s">
        <v>142</v>
      </c>
      <c r="F384" s="134" t="s">
        <v>142</v>
      </c>
      <c r="G384" s="134" t="s">
        <v>142</v>
      </c>
      <c r="H384" s="134" t="s">
        <v>142</v>
      </c>
      <c r="I384" s="134" t="s">
        <v>142</v>
      </c>
      <c r="J384" s="134" t="s">
        <v>142</v>
      </c>
      <c r="K384" s="134" t="s">
        <v>142</v>
      </c>
      <c r="L384" s="134" t="s">
        <v>142</v>
      </c>
      <c r="M384" s="136"/>
      <c r="N384" s="137"/>
    </row>
    <row r="385" hidden="1" outlineLevel="1">
      <c r="A385" s="590" t="s">
        <v>2158</v>
      </c>
      <c r="B385" s="115">
        <v>46196.0</v>
      </c>
      <c r="C385" s="118" t="str">
        <f t="shared" si="43"/>
        <v>Tue</v>
      </c>
      <c r="D385" s="128">
        <f t="shared" si="44"/>
        <v>1</v>
      </c>
      <c r="E385" s="131" t="s">
        <v>142</v>
      </c>
      <c r="F385" s="134" t="s">
        <v>142</v>
      </c>
      <c r="G385" s="134" t="s">
        <v>142</v>
      </c>
      <c r="H385" s="134" t="s">
        <v>142</v>
      </c>
      <c r="I385" s="134" t="s">
        <v>142</v>
      </c>
      <c r="J385" s="134" t="s">
        <v>142</v>
      </c>
      <c r="K385" s="134" t="s">
        <v>142</v>
      </c>
      <c r="L385" s="134" t="s">
        <v>142</v>
      </c>
      <c r="M385" s="136"/>
      <c r="N385" s="137"/>
    </row>
    <row r="386" hidden="1" outlineLevel="1">
      <c r="A386" s="591" t="s">
        <v>2162</v>
      </c>
      <c r="B386" s="115">
        <v>46197.0</v>
      </c>
      <c r="C386" s="118" t="str">
        <f t="shared" si="43"/>
        <v>Wed</v>
      </c>
      <c r="D386" s="143">
        <f t="shared" si="44"/>
        <v>1</v>
      </c>
      <c r="E386" s="144" t="s">
        <v>142</v>
      </c>
      <c r="F386" s="134" t="s">
        <v>142</v>
      </c>
      <c r="G386" s="134" t="s">
        <v>142</v>
      </c>
      <c r="H386" s="134" t="s">
        <v>142</v>
      </c>
      <c r="I386" s="134" t="s">
        <v>142</v>
      </c>
      <c r="J386" s="134" t="s">
        <v>142</v>
      </c>
      <c r="K386" s="134" t="s">
        <v>142</v>
      </c>
      <c r="L386" s="134" t="s">
        <v>142</v>
      </c>
      <c r="M386" s="136"/>
      <c r="N386" s="137"/>
    </row>
    <row r="387" hidden="1" outlineLevel="1">
      <c r="A387" s="572" t="s">
        <v>2163</v>
      </c>
      <c r="B387" s="115">
        <v>46197.0</v>
      </c>
      <c r="C387" s="118" t="str">
        <f t="shared" si="43"/>
        <v>Wed</v>
      </c>
      <c r="D387" s="128">
        <f t="shared" si="44"/>
        <v>1</v>
      </c>
      <c r="E387" s="131" t="s">
        <v>142</v>
      </c>
      <c r="F387" s="134" t="s">
        <v>142</v>
      </c>
      <c r="G387" s="134" t="s">
        <v>142</v>
      </c>
      <c r="H387" s="134" t="s">
        <v>142</v>
      </c>
      <c r="I387" s="134" t="s">
        <v>142</v>
      </c>
      <c r="J387" s="134" t="s">
        <v>142</v>
      </c>
      <c r="K387" s="134" t="s">
        <v>142</v>
      </c>
      <c r="L387" s="134" t="s">
        <v>142</v>
      </c>
      <c r="M387" s="136"/>
      <c r="N387" s="131"/>
    </row>
    <row r="388" hidden="1" outlineLevel="1">
      <c r="A388" s="572" t="s">
        <v>2164</v>
      </c>
      <c r="B388" s="115">
        <v>46197.0</v>
      </c>
      <c r="C388" s="118" t="str">
        <f t="shared" si="43"/>
        <v>Wed</v>
      </c>
      <c r="D388" s="143">
        <f t="shared" si="44"/>
        <v>1</v>
      </c>
      <c r="E388" s="144" t="s">
        <v>142</v>
      </c>
      <c r="F388" s="134" t="s">
        <v>142</v>
      </c>
      <c r="G388" s="134" t="s">
        <v>142</v>
      </c>
      <c r="H388" s="134" t="s">
        <v>142</v>
      </c>
      <c r="I388" s="134" t="s">
        <v>142</v>
      </c>
      <c r="J388" s="134" t="s">
        <v>142</v>
      </c>
      <c r="K388" s="134" t="s">
        <v>142</v>
      </c>
      <c r="L388" s="134" t="s">
        <v>142</v>
      </c>
      <c r="M388" s="136"/>
      <c r="N388" s="137"/>
    </row>
    <row r="389" hidden="1" outlineLevel="1">
      <c r="A389" s="572" t="s">
        <v>2165</v>
      </c>
      <c r="B389" s="115">
        <v>46198.0</v>
      </c>
      <c r="C389" s="118" t="str">
        <f t="shared" si="43"/>
        <v>Thu</v>
      </c>
      <c r="D389" s="128">
        <f t="shared" si="44"/>
        <v>1</v>
      </c>
      <c r="E389" s="131" t="s">
        <v>142</v>
      </c>
      <c r="F389" s="134" t="s">
        <v>142</v>
      </c>
      <c r="G389" s="134" t="s">
        <v>142</v>
      </c>
      <c r="H389" s="134" t="s">
        <v>142</v>
      </c>
      <c r="I389" s="134" t="s">
        <v>142</v>
      </c>
      <c r="J389" s="134" t="s">
        <v>142</v>
      </c>
      <c r="K389" s="134" t="s">
        <v>142</v>
      </c>
      <c r="L389" s="134" t="s">
        <v>142</v>
      </c>
      <c r="M389" s="136"/>
      <c r="N389" s="131"/>
    </row>
    <row r="390" hidden="1" outlineLevel="1">
      <c r="A390" s="572" t="s">
        <v>2166</v>
      </c>
      <c r="B390" s="115">
        <v>46198.0</v>
      </c>
      <c r="C390" s="118" t="str">
        <f t="shared" si="43"/>
        <v>Thu</v>
      </c>
      <c r="D390" s="143">
        <f t="shared" si="44"/>
        <v>1</v>
      </c>
      <c r="E390" s="144" t="s">
        <v>142</v>
      </c>
      <c r="F390" s="134" t="s">
        <v>142</v>
      </c>
      <c r="G390" s="134" t="s">
        <v>142</v>
      </c>
      <c r="H390" s="134" t="s">
        <v>142</v>
      </c>
      <c r="I390" s="134" t="s">
        <v>142</v>
      </c>
      <c r="J390" s="134" t="s">
        <v>142</v>
      </c>
      <c r="K390" s="134" t="s">
        <v>142</v>
      </c>
      <c r="L390" s="134" t="s">
        <v>142</v>
      </c>
      <c r="M390" s="136"/>
      <c r="N390" s="131"/>
    </row>
    <row r="391" hidden="1" outlineLevel="1">
      <c r="A391" s="572" t="s">
        <v>2167</v>
      </c>
      <c r="B391" s="115">
        <v>46198.0</v>
      </c>
      <c r="C391" s="118" t="str">
        <f t="shared" si="43"/>
        <v>Thu</v>
      </c>
      <c r="D391" s="128">
        <f t="shared" si="44"/>
        <v>1</v>
      </c>
      <c r="E391" s="131" t="s">
        <v>142</v>
      </c>
      <c r="F391" s="134" t="s">
        <v>142</v>
      </c>
      <c r="G391" s="134" t="s">
        <v>142</v>
      </c>
      <c r="H391" s="134" t="s">
        <v>142</v>
      </c>
      <c r="I391" s="134" t="s">
        <v>142</v>
      </c>
      <c r="J391" s="134" t="s">
        <v>142</v>
      </c>
      <c r="K391" s="134" t="s">
        <v>142</v>
      </c>
      <c r="L391" s="134" t="s">
        <v>142</v>
      </c>
      <c r="M391" s="136"/>
      <c r="N391" s="131"/>
    </row>
    <row r="392" hidden="1" outlineLevel="1">
      <c r="A392" s="591" t="s">
        <v>2168</v>
      </c>
      <c r="B392" s="115">
        <v>46199.0</v>
      </c>
      <c r="C392" s="118" t="str">
        <f t="shared" si="43"/>
        <v>Fri</v>
      </c>
      <c r="D392" s="143">
        <f t="shared" si="44"/>
        <v>1</v>
      </c>
      <c r="E392" s="144" t="s">
        <v>142</v>
      </c>
      <c r="F392" s="134" t="s">
        <v>142</v>
      </c>
      <c r="G392" s="134" t="s">
        <v>142</v>
      </c>
      <c r="H392" s="134" t="s">
        <v>142</v>
      </c>
      <c r="I392" s="134" t="s">
        <v>142</v>
      </c>
      <c r="J392" s="134" t="s">
        <v>142</v>
      </c>
      <c r="K392" s="134" t="s">
        <v>142</v>
      </c>
      <c r="L392" s="134" t="s">
        <v>142</v>
      </c>
      <c r="M392" s="136"/>
      <c r="N392" s="137"/>
    </row>
    <row r="393" hidden="1" outlineLevel="1">
      <c r="A393" s="572" t="s">
        <v>2169</v>
      </c>
      <c r="B393" s="115">
        <v>46199.0</v>
      </c>
      <c r="C393" s="118" t="str">
        <f t="shared" si="43"/>
        <v>Fri</v>
      </c>
      <c r="D393" s="128">
        <f t="shared" si="44"/>
        <v>1</v>
      </c>
      <c r="E393" s="131" t="s">
        <v>142</v>
      </c>
      <c r="F393" s="134" t="s">
        <v>142</v>
      </c>
      <c r="G393" s="134" t="s">
        <v>142</v>
      </c>
      <c r="H393" s="134" t="s">
        <v>142</v>
      </c>
      <c r="I393" s="134" t="s">
        <v>142</v>
      </c>
      <c r="J393" s="134" t="s">
        <v>142</v>
      </c>
      <c r="K393" s="134" t="s">
        <v>142</v>
      </c>
      <c r="L393" s="134" t="s">
        <v>142</v>
      </c>
      <c r="M393" s="136"/>
      <c r="N393" s="137"/>
    </row>
    <row r="394" ht="15.0" hidden="1" customHeight="1" outlineLevel="1">
      <c r="A394" s="572" t="s">
        <v>2170</v>
      </c>
      <c r="B394" s="115">
        <v>46199.0</v>
      </c>
      <c r="C394" s="118" t="str">
        <f t="shared" si="43"/>
        <v>Fri</v>
      </c>
      <c r="D394" s="143">
        <f t="shared" si="44"/>
        <v>1</v>
      </c>
      <c r="E394" s="144" t="s">
        <v>142</v>
      </c>
      <c r="F394" s="134" t="s">
        <v>142</v>
      </c>
      <c r="G394" s="134" t="s">
        <v>142</v>
      </c>
      <c r="H394" s="134" t="s">
        <v>142</v>
      </c>
      <c r="I394" s="134" t="s">
        <v>142</v>
      </c>
      <c r="J394" s="134" t="s">
        <v>142</v>
      </c>
      <c r="K394" s="134" t="s">
        <v>142</v>
      </c>
      <c r="L394" s="134" t="s">
        <v>142</v>
      </c>
      <c r="M394" s="136"/>
      <c r="N394" s="131"/>
    </row>
    <row r="395" hidden="1" outlineLevel="1">
      <c r="B395" s="215"/>
      <c r="C395" s="216" t="s">
        <v>199</v>
      </c>
      <c r="D395" s="217">
        <f>AVERAGE(D380:D394)</f>
        <v>1</v>
      </c>
      <c r="E395" s="472"/>
      <c r="L395" s="216" t="s">
        <v>199</v>
      </c>
      <c r="M395" s="217">
        <f>SUM(M380:M394)/75*0.1</f>
        <v>0</v>
      </c>
    </row>
    <row r="396" hidden="1" collapsed="1">
      <c r="A396" s="85" t="s">
        <v>2171</v>
      </c>
      <c r="B396" s="86"/>
      <c r="C396" s="86"/>
      <c r="D396" s="359"/>
      <c r="E396" s="89"/>
      <c r="F396" s="89"/>
      <c r="G396" s="91"/>
      <c r="H396" s="91"/>
      <c r="I396" s="91"/>
      <c r="J396" s="91"/>
      <c r="K396" s="91"/>
      <c r="L396" s="91"/>
      <c r="M396" s="93"/>
      <c r="N396" s="95"/>
    </row>
    <row r="397" hidden="1" outlineLevel="1">
      <c r="A397" s="96" t="s">
        <v>89</v>
      </c>
      <c r="B397" s="98" t="s">
        <v>90</v>
      </c>
      <c r="C397" s="98" t="s">
        <v>91</v>
      </c>
      <c r="D397" s="101" t="s">
        <v>93</v>
      </c>
      <c r="E397" s="102" t="s">
        <v>94</v>
      </c>
      <c r="F397" s="102" t="s">
        <v>95</v>
      </c>
      <c r="G397" s="105" t="s">
        <v>96</v>
      </c>
      <c r="H397" s="107" t="s">
        <v>97</v>
      </c>
      <c r="I397" s="107" t="s">
        <v>104</v>
      </c>
      <c r="J397" s="105" t="s">
        <v>106</v>
      </c>
      <c r="K397" s="107" t="s">
        <v>109</v>
      </c>
      <c r="L397" s="105" t="s">
        <v>111</v>
      </c>
      <c r="M397" s="98" t="s">
        <v>114</v>
      </c>
      <c r="N397" s="101" t="s">
        <v>116</v>
      </c>
    </row>
    <row r="398" hidden="1" outlineLevel="1">
      <c r="A398" s="574" t="s">
        <v>2172</v>
      </c>
      <c r="B398" s="115">
        <v>46202.0</v>
      </c>
      <c r="C398" s="118" t="str">
        <f t="shared" ref="C398:C412" si="45">IF(B398="", "", TEXT(B398, "ddd"))</f>
        <v>Mon</v>
      </c>
      <c r="D398" s="143">
        <f t="shared" ref="D398:D412" si="46">IF(E398="Yes",0.05,0)
+IF(F398="Yes",0.1,0)
+IF(G398="Yes",0.15,0)
+IF(H398="Yes",0.15,0)
+IF(I398="Yes",0.05,0)
+IF(J398="Yes",0.05,0)
+IF(K398="Yes",0.15,0)
+IF(L398="Yes",0.3,0)
</f>
        <v>1</v>
      </c>
      <c r="E398" s="144" t="s">
        <v>142</v>
      </c>
      <c r="F398" s="134" t="s">
        <v>142</v>
      </c>
      <c r="G398" s="134" t="s">
        <v>142</v>
      </c>
      <c r="H398" s="134" t="s">
        <v>142</v>
      </c>
      <c r="I398" s="134" t="s">
        <v>142</v>
      </c>
      <c r="J398" s="134" t="s">
        <v>142</v>
      </c>
      <c r="K398" s="134" t="s">
        <v>142</v>
      </c>
      <c r="L398" s="134" t="s">
        <v>142</v>
      </c>
      <c r="M398" s="136"/>
      <c r="N398" s="137"/>
    </row>
    <row r="399" hidden="1" outlineLevel="1">
      <c r="A399" s="574" t="s">
        <v>2175</v>
      </c>
      <c r="B399" s="115">
        <v>46202.0</v>
      </c>
      <c r="C399" s="118" t="str">
        <f t="shared" si="45"/>
        <v>Mon</v>
      </c>
      <c r="D399" s="128">
        <f t="shared" si="46"/>
        <v>1</v>
      </c>
      <c r="E399" s="131" t="s">
        <v>142</v>
      </c>
      <c r="F399" s="134" t="s">
        <v>142</v>
      </c>
      <c r="G399" s="134" t="s">
        <v>142</v>
      </c>
      <c r="H399" s="134" t="s">
        <v>142</v>
      </c>
      <c r="I399" s="134" t="s">
        <v>142</v>
      </c>
      <c r="J399" s="134" t="s">
        <v>142</v>
      </c>
      <c r="K399" s="134" t="s">
        <v>142</v>
      </c>
      <c r="L399" s="134" t="s">
        <v>142</v>
      </c>
      <c r="M399" s="136"/>
      <c r="N399" s="131"/>
    </row>
    <row r="400" hidden="1" outlineLevel="1">
      <c r="A400" s="574" t="s">
        <v>2178</v>
      </c>
      <c r="B400" s="115">
        <v>46202.0</v>
      </c>
      <c r="C400" s="118" t="str">
        <f t="shared" si="45"/>
        <v>Mon</v>
      </c>
      <c r="D400" s="143">
        <f t="shared" si="46"/>
        <v>1</v>
      </c>
      <c r="E400" s="144" t="s">
        <v>142</v>
      </c>
      <c r="F400" s="134" t="s">
        <v>142</v>
      </c>
      <c r="G400" s="134" t="s">
        <v>142</v>
      </c>
      <c r="H400" s="134" t="s">
        <v>142</v>
      </c>
      <c r="I400" s="134" t="s">
        <v>142</v>
      </c>
      <c r="J400" s="134" t="s">
        <v>142</v>
      </c>
      <c r="K400" s="134" t="s">
        <v>142</v>
      </c>
      <c r="L400" s="134" t="s">
        <v>142</v>
      </c>
      <c r="M400" s="136"/>
      <c r="N400" s="131"/>
    </row>
    <row r="401" hidden="1" outlineLevel="1">
      <c r="A401" s="574" t="s">
        <v>2180</v>
      </c>
      <c r="B401" s="115">
        <v>46203.0</v>
      </c>
      <c r="C401" s="118" t="str">
        <f t="shared" si="45"/>
        <v>Tue</v>
      </c>
      <c r="D401" s="128">
        <f t="shared" si="46"/>
        <v>1</v>
      </c>
      <c r="E401" s="131" t="s">
        <v>142</v>
      </c>
      <c r="F401" s="134" t="s">
        <v>142</v>
      </c>
      <c r="G401" s="134" t="s">
        <v>142</v>
      </c>
      <c r="H401" s="134" t="s">
        <v>142</v>
      </c>
      <c r="I401" s="134" t="s">
        <v>142</v>
      </c>
      <c r="J401" s="134" t="s">
        <v>142</v>
      </c>
      <c r="K401" s="134" t="s">
        <v>142</v>
      </c>
      <c r="L401" s="134" t="s">
        <v>142</v>
      </c>
      <c r="M401" s="136"/>
      <c r="N401" s="137"/>
    </row>
    <row r="402" hidden="1" outlineLevel="1">
      <c r="A402" s="574" t="s">
        <v>2183</v>
      </c>
      <c r="B402" s="115">
        <v>46203.0</v>
      </c>
      <c r="C402" s="118" t="str">
        <f t="shared" si="45"/>
        <v>Tue</v>
      </c>
      <c r="D402" s="143">
        <f t="shared" si="46"/>
        <v>1</v>
      </c>
      <c r="E402" s="144" t="s">
        <v>142</v>
      </c>
      <c r="F402" s="134" t="s">
        <v>142</v>
      </c>
      <c r="G402" s="134" t="s">
        <v>142</v>
      </c>
      <c r="H402" s="134" t="s">
        <v>142</v>
      </c>
      <c r="I402" s="134" t="s">
        <v>142</v>
      </c>
      <c r="J402" s="134" t="s">
        <v>142</v>
      </c>
      <c r="K402" s="134" t="s">
        <v>142</v>
      </c>
      <c r="L402" s="134" t="s">
        <v>142</v>
      </c>
      <c r="M402" s="136"/>
      <c r="N402" s="137"/>
    </row>
    <row r="403" hidden="1" outlineLevel="1">
      <c r="A403" s="574" t="s">
        <v>2185</v>
      </c>
      <c r="B403" s="115">
        <v>46203.0</v>
      </c>
      <c r="C403" s="118" t="str">
        <f t="shared" si="45"/>
        <v>Tue</v>
      </c>
      <c r="D403" s="128">
        <f t="shared" si="46"/>
        <v>1</v>
      </c>
      <c r="E403" s="131" t="s">
        <v>142</v>
      </c>
      <c r="F403" s="134" t="s">
        <v>142</v>
      </c>
      <c r="G403" s="134" t="s">
        <v>142</v>
      </c>
      <c r="H403" s="134" t="s">
        <v>142</v>
      </c>
      <c r="I403" s="134" t="s">
        <v>142</v>
      </c>
      <c r="J403" s="134" t="s">
        <v>142</v>
      </c>
      <c r="K403" s="134" t="s">
        <v>142</v>
      </c>
      <c r="L403" s="134" t="s">
        <v>142</v>
      </c>
      <c r="M403" s="136"/>
      <c r="N403" s="137"/>
    </row>
    <row r="404" hidden="1" outlineLevel="1">
      <c r="A404" s="574" t="s">
        <v>2187</v>
      </c>
      <c r="B404" s="115">
        <v>46204.0</v>
      </c>
      <c r="C404" s="118" t="str">
        <f t="shared" si="45"/>
        <v>Wed</v>
      </c>
      <c r="D404" s="143">
        <f t="shared" si="46"/>
        <v>1</v>
      </c>
      <c r="E404" s="144" t="s">
        <v>142</v>
      </c>
      <c r="F404" s="134" t="s">
        <v>142</v>
      </c>
      <c r="G404" s="134" t="s">
        <v>142</v>
      </c>
      <c r="H404" s="134" t="s">
        <v>142</v>
      </c>
      <c r="I404" s="134" t="s">
        <v>142</v>
      </c>
      <c r="J404" s="134" t="s">
        <v>142</v>
      </c>
      <c r="K404" s="134" t="s">
        <v>142</v>
      </c>
      <c r="L404" s="134" t="s">
        <v>142</v>
      </c>
      <c r="M404" s="136"/>
      <c r="N404" s="137"/>
    </row>
    <row r="405" hidden="1" outlineLevel="1">
      <c r="A405" s="574" t="s">
        <v>2189</v>
      </c>
      <c r="B405" s="115">
        <v>46204.0</v>
      </c>
      <c r="C405" s="118" t="str">
        <f t="shared" si="45"/>
        <v>Wed</v>
      </c>
      <c r="D405" s="128">
        <f t="shared" si="46"/>
        <v>1</v>
      </c>
      <c r="E405" s="131" t="s">
        <v>142</v>
      </c>
      <c r="F405" s="134" t="s">
        <v>142</v>
      </c>
      <c r="G405" s="134" t="s">
        <v>142</v>
      </c>
      <c r="H405" s="134" t="s">
        <v>142</v>
      </c>
      <c r="I405" s="134" t="s">
        <v>142</v>
      </c>
      <c r="J405" s="134" t="s">
        <v>142</v>
      </c>
      <c r="K405" s="134" t="s">
        <v>142</v>
      </c>
      <c r="L405" s="134" t="s">
        <v>142</v>
      </c>
      <c r="M405" s="136"/>
      <c r="N405" s="131"/>
    </row>
    <row r="406" hidden="1" outlineLevel="1">
      <c r="A406" s="574" t="s">
        <v>2191</v>
      </c>
      <c r="B406" s="115">
        <v>46204.0</v>
      </c>
      <c r="C406" s="118" t="str">
        <f t="shared" si="45"/>
        <v>Wed</v>
      </c>
      <c r="D406" s="143">
        <f t="shared" si="46"/>
        <v>1</v>
      </c>
      <c r="E406" s="144" t="s">
        <v>142</v>
      </c>
      <c r="F406" s="134" t="s">
        <v>142</v>
      </c>
      <c r="G406" s="134" t="s">
        <v>142</v>
      </c>
      <c r="H406" s="134" t="s">
        <v>142</v>
      </c>
      <c r="I406" s="134" t="s">
        <v>142</v>
      </c>
      <c r="J406" s="134" t="s">
        <v>142</v>
      </c>
      <c r="K406" s="134" t="s">
        <v>142</v>
      </c>
      <c r="L406" s="134" t="s">
        <v>142</v>
      </c>
      <c r="M406" s="136"/>
      <c r="N406" s="137"/>
    </row>
    <row r="407" hidden="1" outlineLevel="1">
      <c r="A407" s="574" t="s">
        <v>2193</v>
      </c>
      <c r="B407" s="115">
        <v>46205.0</v>
      </c>
      <c r="C407" s="118" t="str">
        <f t="shared" si="45"/>
        <v>Thu</v>
      </c>
      <c r="D407" s="128">
        <f t="shared" si="46"/>
        <v>1</v>
      </c>
      <c r="E407" s="131" t="s">
        <v>142</v>
      </c>
      <c r="F407" s="134" t="s">
        <v>142</v>
      </c>
      <c r="G407" s="134" t="s">
        <v>142</v>
      </c>
      <c r="H407" s="134" t="s">
        <v>142</v>
      </c>
      <c r="I407" s="134" t="s">
        <v>142</v>
      </c>
      <c r="J407" s="134" t="s">
        <v>142</v>
      </c>
      <c r="K407" s="134" t="s">
        <v>142</v>
      </c>
      <c r="L407" s="134" t="s">
        <v>142</v>
      </c>
      <c r="M407" s="136"/>
      <c r="N407" s="131"/>
    </row>
    <row r="408" hidden="1" outlineLevel="1">
      <c r="A408" s="574" t="s">
        <v>2196</v>
      </c>
      <c r="B408" s="115">
        <v>46205.0</v>
      </c>
      <c r="C408" s="118" t="str">
        <f t="shared" si="45"/>
        <v>Thu</v>
      </c>
      <c r="D408" s="143">
        <f t="shared" si="46"/>
        <v>1</v>
      </c>
      <c r="E408" s="144" t="s">
        <v>142</v>
      </c>
      <c r="F408" s="134" t="s">
        <v>142</v>
      </c>
      <c r="G408" s="134" t="s">
        <v>142</v>
      </c>
      <c r="H408" s="134" t="s">
        <v>142</v>
      </c>
      <c r="I408" s="134" t="s">
        <v>142</v>
      </c>
      <c r="J408" s="134" t="s">
        <v>142</v>
      </c>
      <c r="K408" s="134" t="s">
        <v>142</v>
      </c>
      <c r="L408" s="134" t="s">
        <v>142</v>
      </c>
      <c r="M408" s="136"/>
      <c r="N408" s="131"/>
    </row>
    <row r="409" hidden="1" outlineLevel="1">
      <c r="A409" s="574" t="s">
        <v>2198</v>
      </c>
      <c r="B409" s="115">
        <v>46205.0</v>
      </c>
      <c r="C409" s="118" t="str">
        <f t="shared" si="45"/>
        <v>Thu</v>
      </c>
      <c r="D409" s="128">
        <f t="shared" si="46"/>
        <v>1</v>
      </c>
      <c r="E409" s="131" t="s">
        <v>142</v>
      </c>
      <c r="F409" s="134" t="s">
        <v>142</v>
      </c>
      <c r="G409" s="134" t="s">
        <v>142</v>
      </c>
      <c r="H409" s="134" t="s">
        <v>142</v>
      </c>
      <c r="I409" s="134" t="s">
        <v>142</v>
      </c>
      <c r="J409" s="134" t="s">
        <v>142</v>
      </c>
      <c r="K409" s="134" t="s">
        <v>142</v>
      </c>
      <c r="L409" s="134" t="s">
        <v>142</v>
      </c>
      <c r="M409" s="136"/>
      <c r="N409" s="131"/>
    </row>
    <row r="410" hidden="1" outlineLevel="1">
      <c r="A410" s="422" t="s">
        <v>944</v>
      </c>
      <c r="B410" s="115">
        <v>46206.0</v>
      </c>
      <c r="C410" s="118" t="str">
        <f t="shared" si="45"/>
        <v>Fri</v>
      </c>
      <c r="D410" s="143">
        <f t="shared" si="46"/>
        <v>1</v>
      </c>
      <c r="E410" s="144" t="s">
        <v>142</v>
      </c>
      <c r="F410" s="134" t="s">
        <v>142</v>
      </c>
      <c r="G410" s="134" t="s">
        <v>142</v>
      </c>
      <c r="H410" s="134" t="s">
        <v>142</v>
      </c>
      <c r="I410" s="134" t="s">
        <v>142</v>
      </c>
      <c r="J410" s="134" t="s">
        <v>142</v>
      </c>
      <c r="K410" s="134" t="s">
        <v>142</v>
      </c>
      <c r="L410" s="134" t="s">
        <v>142</v>
      </c>
      <c r="M410" s="136"/>
      <c r="N410" s="137"/>
    </row>
    <row r="411" hidden="1" outlineLevel="1">
      <c r="A411" s="422" t="s">
        <v>944</v>
      </c>
      <c r="B411" s="115">
        <v>46206.0</v>
      </c>
      <c r="C411" s="118" t="str">
        <f t="shared" si="45"/>
        <v>Fri</v>
      </c>
      <c r="D411" s="128">
        <f t="shared" si="46"/>
        <v>1</v>
      </c>
      <c r="E411" s="131" t="s">
        <v>142</v>
      </c>
      <c r="F411" s="134" t="s">
        <v>142</v>
      </c>
      <c r="G411" s="134" t="s">
        <v>142</v>
      </c>
      <c r="H411" s="134" t="s">
        <v>142</v>
      </c>
      <c r="I411" s="134" t="s">
        <v>142</v>
      </c>
      <c r="J411" s="134" t="s">
        <v>142</v>
      </c>
      <c r="K411" s="134" t="s">
        <v>142</v>
      </c>
      <c r="L411" s="134" t="s">
        <v>142</v>
      </c>
      <c r="M411" s="136"/>
      <c r="N411" s="137"/>
    </row>
    <row r="412" ht="15.0" hidden="1" customHeight="1" outlineLevel="1">
      <c r="A412" s="422" t="s">
        <v>944</v>
      </c>
      <c r="B412" s="115">
        <v>46206.0</v>
      </c>
      <c r="C412" s="118" t="str">
        <f t="shared" si="45"/>
        <v>Fri</v>
      </c>
      <c r="D412" s="143">
        <f t="shared" si="46"/>
        <v>1</v>
      </c>
      <c r="E412" s="144" t="s">
        <v>142</v>
      </c>
      <c r="F412" s="134" t="s">
        <v>142</v>
      </c>
      <c r="G412" s="134" t="s">
        <v>142</v>
      </c>
      <c r="H412" s="134" t="s">
        <v>142</v>
      </c>
      <c r="I412" s="134" t="s">
        <v>142</v>
      </c>
      <c r="J412" s="134" t="s">
        <v>142</v>
      </c>
      <c r="K412" s="134" t="s">
        <v>142</v>
      </c>
      <c r="L412" s="134" t="s">
        <v>142</v>
      </c>
      <c r="M412" s="136"/>
      <c r="N412" s="131"/>
    </row>
    <row r="413" hidden="1" outlineLevel="1">
      <c r="B413" s="215"/>
      <c r="C413" s="216" t="s">
        <v>199</v>
      </c>
      <c r="D413" s="217">
        <f>AVERAGE(D398:D412)</f>
        <v>1</v>
      </c>
      <c r="E413" s="472"/>
      <c r="L413" s="216" t="s">
        <v>199</v>
      </c>
      <c r="M413" s="217">
        <f>SUM(M398:M412)/75*0.1</f>
        <v>0</v>
      </c>
    </row>
    <row r="414" hidden="1" collapsed="1">
      <c r="A414" s="85" t="s">
        <v>87</v>
      </c>
      <c r="B414" s="86"/>
      <c r="C414" s="86"/>
      <c r="D414" s="359"/>
      <c r="E414" s="89"/>
      <c r="F414" s="89"/>
      <c r="G414" s="91"/>
      <c r="H414" s="91"/>
      <c r="I414" s="91"/>
      <c r="J414" s="91"/>
      <c r="K414" s="91"/>
      <c r="L414" s="91"/>
      <c r="M414" s="93"/>
      <c r="N414" s="95"/>
    </row>
    <row r="415" hidden="1" outlineLevel="1">
      <c r="A415" s="96" t="s">
        <v>89</v>
      </c>
      <c r="B415" s="98" t="s">
        <v>90</v>
      </c>
      <c r="C415" s="98" t="s">
        <v>91</v>
      </c>
      <c r="D415" s="101" t="s">
        <v>93</v>
      </c>
      <c r="E415" s="102" t="s">
        <v>94</v>
      </c>
      <c r="F415" s="102" t="s">
        <v>95</v>
      </c>
      <c r="G415" s="105" t="s">
        <v>96</v>
      </c>
      <c r="H415" s="107" t="s">
        <v>97</v>
      </c>
      <c r="I415" s="107" t="s">
        <v>104</v>
      </c>
      <c r="J415" s="105" t="s">
        <v>106</v>
      </c>
      <c r="K415" s="107" t="s">
        <v>109</v>
      </c>
      <c r="L415" s="105" t="s">
        <v>111</v>
      </c>
      <c r="M415" s="98" t="s">
        <v>114</v>
      </c>
      <c r="N415" s="101" t="s">
        <v>116</v>
      </c>
    </row>
    <row r="416" hidden="1" outlineLevel="1">
      <c r="A416" s="574" t="s">
        <v>2200</v>
      </c>
      <c r="B416" s="115">
        <v>46209.0</v>
      </c>
      <c r="C416" s="118" t="str">
        <f t="shared" ref="C416:C430" si="47">IF(B416="", "", TEXT(B416, "ddd"))</f>
        <v>Mon</v>
      </c>
      <c r="D416" s="143">
        <f t="shared" ref="D416:D430" si="48">IF(E416="Yes",0.05,0)
+IF(F416="Yes",0.1,0)
+IF(G416="Yes",0.15,0)
+IF(H416="Yes",0.15,0)
+IF(I416="Yes",0.05,0)
+IF(J416="Yes",0.05,0)
+IF(K416="Yes",0.15,0)
+IF(L416="Yes",0.3,0)
</f>
        <v>1</v>
      </c>
      <c r="E416" s="144" t="s">
        <v>142</v>
      </c>
      <c r="F416" s="134" t="s">
        <v>142</v>
      </c>
      <c r="G416" s="134" t="s">
        <v>142</v>
      </c>
      <c r="H416" s="134" t="s">
        <v>142</v>
      </c>
      <c r="I416" s="134" t="s">
        <v>142</v>
      </c>
      <c r="J416" s="134" t="s">
        <v>142</v>
      </c>
      <c r="K416" s="134" t="s">
        <v>142</v>
      </c>
      <c r="L416" s="134" t="s">
        <v>142</v>
      </c>
      <c r="M416" s="136"/>
      <c r="N416" s="137"/>
    </row>
    <row r="417" hidden="1" outlineLevel="1">
      <c r="A417" s="574" t="s">
        <v>2204</v>
      </c>
      <c r="B417" s="115">
        <v>46209.0</v>
      </c>
      <c r="C417" s="118" t="str">
        <f t="shared" si="47"/>
        <v>Mon</v>
      </c>
      <c r="D417" s="128">
        <f t="shared" si="48"/>
        <v>1</v>
      </c>
      <c r="E417" s="131" t="s">
        <v>142</v>
      </c>
      <c r="F417" s="134" t="s">
        <v>142</v>
      </c>
      <c r="G417" s="134" t="s">
        <v>142</v>
      </c>
      <c r="H417" s="134" t="s">
        <v>142</v>
      </c>
      <c r="I417" s="134" t="s">
        <v>142</v>
      </c>
      <c r="J417" s="134" t="s">
        <v>142</v>
      </c>
      <c r="K417" s="134" t="s">
        <v>142</v>
      </c>
      <c r="L417" s="134" t="s">
        <v>142</v>
      </c>
      <c r="M417" s="136"/>
      <c r="N417" s="131"/>
    </row>
    <row r="418" hidden="1" outlineLevel="1">
      <c r="A418" s="574" t="s">
        <v>2206</v>
      </c>
      <c r="B418" s="115">
        <v>46209.0</v>
      </c>
      <c r="C418" s="118" t="str">
        <f t="shared" si="47"/>
        <v>Mon</v>
      </c>
      <c r="D418" s="143">
        <f t="shared" si="48"/>
        <v>1</v>
      </c>
      <c r="E418" s="144" t="s">
        <v>142</v>
      </c>
      <c r="F418" s="134" t="s">
        <v>142</v>
      </c>
      <c r="G418" s="134" t="s">
        <v>142</v>
      </c>
      <c r="H418" s="134" t="s">
        <v>142</v>
      </c>
      <c r="I418" s="134" t="s">
        <v>142</v>
      </c>
      <c r="J418" s="134" t="s">
        <v>142</v>
      </c>
      <c r="K418" s="134" t="s">
        <v>142</v>
      </c>
      <c r="L418" s="134" t="s">
        <v>142</v>
      </c>
      <c r="M418" s="136"/>
      <c r="N418" s="131"/>
    </row>
    <row r="419" hidden="1" outlineLevel="1">
      <c r="A419" s="574" t="s">
        <v>2208</v>
      </c>
      <c r="B419" s="115">
        <v>46210.0</v>
      </c>
      <c r="C419" s="118" t="str">
        <f t="shared" si="47"/>
        <v>Tue</v>
      </c>
      <c r="D419" s="128">
        <f t="shared" si="48"/>
        <v>1</v>
      </c>
      <c r="E419" s="131" t="s">
        <v>142</v>
      </c>
      <c r="F419" s="134" t="s">
        <v>142</v>
      </c>
      <c r="G419" s="134" t="s">
        <v>142</v>
      </c>
      <c r="H419" s="134" t="s">
        <v>142</v>
      </c>
      <c r="I419" s="134" t="s">
        <v>142</v>
      </c>
      <c r="J419" s="134" t="s">
        <v>142</v>
      </c>
      <c r="K419" s="134" t="s">
        <v>142</v>
      </c>
      <c r="L419" s="134" t="s">
        <v>142</v>
      </c>
      <c r="M419" s="136"/>
      <c r="N419" s="137"/>
    </row>
    <row r="420" hidden="1" outlineLevel="1">
      <c r="A420" s="353" t="s">
        <v>2210</v>
      </c>
      <c r="B420" s="115">
        <v>46210.0</v>
      </c>
      <c r="C420" s="118" t="str">
        <f t="shared" si="47"/>
        <v>Tue</v>
      </c>
      <c r="D420" s="143">
        <f t="shared" si="48"/>
        <v>1</v>
      </c>
      <c r="E420" s="144" t="s">
        <v>142</v>
      </c>
      <c r="F420" s="134" t="s">
        <v>142</v>
      </c>
      <c r="G420" s="134" t="s">
        <v>142</v>
      </c>
      <c r="H420" s="134" t="s">
        <v>142</v>
      </c>
      <c r="I420" s="134" t="s">
        <v>142</v>
      </c>
      <c r="J420" s="134" t="s">
        <v>142</v>
      </c>
      <c r="K420" s="134" t="s">
        <v>142</v>
      </c>
      <c r="L420" s="134" t="s">
        <v>142</v>
      </c>
      <c r="M420" s="136"/>
      <c r="N420" s="137"/>
    </row>
    <row r="421" hidden="1" outlineLevel="1">
      <c r="A421" s="574" t="s">
        <v>2213</v>
      </c>
      <c r="B421" s="115">
        <v>46210.0</v>
      </c>
      <c r="C421" s="118" t="str">
        <f t="shared" si="47"/>
        <v>Tue</v>
      </c>
      <c r="D421" s="128">
        <f t="shared" si="48"/>
        <v>1</v>
      </c>
      <c r="E421" s="131" t="s">
        <v>142</v>
      </c>
      <c r="F421" s="134" t="s">
        <v>142</v>
      </c>
      <c r="G421" s="134" t="s">
        <v>142</v>
      </c>
      <c r="H421" s="134" t="s">
        <v>142</v>
      </c>
      <c r="I421" s="134" t="s">
        <v>142</v>
      </c>
      <c r="J421" s="134" t="s">
        <v>142</v>
      </c>
      <c r="K421" s="134" t="s">
        <v>142</v>
      </c>
      <c r="L421" s="134" t="s">
        <v>142</v>
      </c>
      <c r="M421" s="136"/>
      <c r="N421" s="137"/>
    </row>
    <row r="422" hidden="1" outlineLevel="1">
      <c r="A422" s="574" t="s">
        <v>2215</v>
      </c>
      <c r="B422" s="115">
        <v>46211.0</v>
      </c>
      <c r="C422" s="118" t="str">
        <f t="shared" si="47"/>
        <v>Wed</v>
      </c>
      <c r="D422" s="143">
        <f t="shared" si="48"/>
        <v>1</v>
      </c>
      <c r="E422" s="144" t="s">
        <v>142</v>
      </c>
      <c r="F422" s="134" t="s">
        <v>142</v>
      </c>
      <c r="G422" s="134" t="s">
        <v>142</v>
      </c>
      <c r="H422" s="134" t="s">
        <v>142</v>
      </c>
      <c r="I422" s="134" t="s">
        <v>142</v>
      </c>
      <c r="J422" s="134" t="s">
        <v>142</v>
      </c>
      <c r="K422" s="134" t="s">
        <v>142</v>
      </c>
      <c r="L422" s="134" t="s">
        <v>142</v>
      </c>
      <c r="M422" s="136"/>
      <c r="N422" s="137"/>
    </row>
    <row r="423" hidden="1" outlineLevel="1">
      <c r="A423" s="574" t="s">
        <v>2217</v>
      </c>
      <c r="B423" s="115">
        <v>46211.0</v>
      </c>
      <c r="C423" s="118" t="str">
        <f t="shared" si="47"/>
        <v>Wed</v>
      </c>
      <c r="D423" s="128">
        <f t="shared" si="48"/>
        <v>1</v>
      </c>
      <c r="E423" s="131" t="s">
        <v>142</v>
      </c>
      <c r="F423" s="134" t="s">
        <v>142</v>
      </c>
      <c r="G423" s="134" t="s">
        <v>142</v>
      </c>
      <c r="H423" s="134" t="s">
        <v>142</v>
      </c>
      <c r="I423" s="134" t="s">
        <v>142</v>
      </c>
      <c r="J423" s="134" t="s">
        <v>142</v>
      </c>
      <c r="K423" s="134" t="s">
        <v>142</v>
      </c>
      <c r="L423" s="134" t="s">
        <v>142</v>
      </c>
      <c r="M423" s="136"/>
      <c r="N423" s="131"/>
    </row>
    <row r="424" hidden="1" outlineLevel="1">
      <c r="A424" s="574" t="s">
        <v>2219</v>
      </c>
      <c r="B424" s="115">
        <v>46211.0</v>
      </c>
      <c r="C424" s="118" t="str">
        <f t="shared" si="47"/>
        <v>Wed</v>
      </c>
      <c r="D424" s="143">
        <f t="shared" si="48"/>
        <v>1</v>
      </c>
      <c r="E424" s="144" t="s">
        <v>142</v>
      </c>
      <c r="F424" s="134" t="s">
        <v>142</v>
      </c>
      <c r="G424" s="134" t="s">
        <v>142</v>
      </c>
      <c r="H424" s="134" t="s">
        <v>142</v>
      </c>
      <c r="I424" s="134" t="s">
        <v>142</v>
      </c>
      <c r="J424" s="134" t="s">
        <v>142</v>
      </c>
      <c r="K424" s="134" t="s">
        <v>142</v>
      </c>
      <c r="L424" s="134" t="s">
        <v>142</v>
      </c>
      <c r="M424" s="136"/>
      <c r="N424" s="137"/>
    </row>
    <row r="425" hidden="1" outlineLevel="1">
      <c r="A425" s="574" t="s">
        <v>2221</v>
      </c>
      <c r="B425" s="115">
        <v>46212.0</v>
      </c>
      <c r="C425" s="118" t="str">
        <f t="shared" si="47"/>
        <v>Thu</v>
      </c>
      <c r="D425" s="128">
        <f t="shared" si="48"/>
        <v>1</v>
      </c>
      <c r="E425" s="131" t="s">
        <v>142</v>
      </c>
      <c r="F425" s="134" t="s">
        <v>142</v>
      </c>
      <c r="G425" s="134" t="s">
        <v>142</v>
      </c>
      <c r="H425" s="134" t="s">
        <v>142</v>
      </c>
      <c r="I425" s="134" t="s">
        <v>142</v>
      </c>
      <c r="J425" s="134" t="s">
        <v>142</v>
      </c>
      <c r="K425" s="134" t="s">
        <v>142</v>
      </c>
      <c r="L425" s="134" t="s">
        <v>142</v>
      </c>
      <c r="M425" s="136"/>
      <c r="N425" s="131"/>
    </row>
    <row r="426" hidden="1" outlineLevel="1">
      <c r="A426" s="574" t="s">
        <v>2223</v>
      </c>
      <c r="B426" s="115">
        <v>46212.0</v>
      </c>
      <c r="C426" s="118" t="str">
        <f t="shared" si="47"/>
        <v>Thu</v>
      </c>
      <c r="D426" s="143">
        <f t="shared" si="48"/>
        <v>1</v>
      </c>
      <c r="E426" s="144" t="s">
        <v>142</v>
      </c>
      <c r="F426" s="134" t="s">
        <v>142</v>
      </c>
      <c r="G426" s="134" t="s">
        <v>142</v>
      </c>
      <c r="H426" s="134" t="s">
        <v>142</v>
      </c>
      <c r="I426" s="134" t="s">
        <v>142</v>
      </c>
      <c r="J426" s="134" t="s">
        <v>142</v>
      </c>
      <c r="K426" s="134" t="s">
        <v>142</v>
      </c>
      <c r="L426" s="134" t="s">
        <v>142</v>
      </c>
      <c r="M426" s="136"/>
      <c r="N426" s="131"/>
    </row>
    <row r="427" hidden="1" outlineLevel="1">
      <c r="A427" s="574" t="s">
        <v>2225</v>
      </c>
      <c r="B427" s="115">
        <v>46212.0</v>
      </c>
      <c r="C427" s="118" t="str">
        <f t="shared" si="47"/>
        <v>Thu</v>
      </c>
      <c r="D427" s="128">
        <f t="shared" si="48"/>
        <v>1</v>
      </c>
      <c r="E427" s="131" t="s">
        <v>142</v>
      </c>
      <c r="F427" s="134" t="s">
        <v>142</v>
      </c>
      <c r="G427" s="134" t="s">
        <v>142</v>
      </c>
      <c r="H427" s="134" t="s">
        <v>142</v>
      </c>
      <c r="I427" s="134" t="s">
        <v>142</v>
      </c>
      <c r="J427" s="134" t="s">
        <v>142</v>
      </c>
      <c r="K427" s="134" t="s">
        <v>142</v>
      </c>
      <c r="L427" s="134" t="s">
        <v>142</v>
      </c>
      <c r="M427" s="136"/>
      <c r="N427" s="131"/>
    </row>
    <row r="428" hidden="1" outlineLevel="1">
      <c r="A428" s="113"/>
      <c r="B428" s="115">
        <v>46213.0</v>
      </c>
      <c r="C428" s="118" t="str">
        <f t="shared" si="47"/>
        <v>Fri</v>
      </c>
      <c r="D428" s="143">
        <f t="shared" si="48"/>
        <v>1</v>
      </c>
      <c r="E428" s="144" t="s">
        <v>142</v>
      </c>
      <c r="F428" s="134" t="s">
        <v>142</v>
      </c>
      <c r="G428" s="134" t="s">
        <v>142</v>
      </c>
      <c r="H428" s="134" t="s">
        <v>142</v>
      </c>
      <c r="I428" s="134" t="s">
        <v>142</v>
      </c>
      <c r="J428" s="134" t="s">
        <v>142</v>
      </c>
      <c r="K428" s="134" t="s">
        <v>142</v>
      </c>
      <c r="L428" s="134" t="s">
        <v>142</v>
      </c>
      <c r="M428" s="136"/>
      <c r="N428" s="137"/>
    </row>
    <row r="429" hidden="1" outlineLevel="1">
      <c r="A429" s="113"/>
      <c r="B429" s="115">
        <v>46213.0</v>
      </c>
      <c r="C429" s="118" t="str">
        <f t="shared" si="47"/>
        <v>Fri</v>
      </c>
      <c r="D429" s="128">
        <f t="shared" si="48"/>
        <v>1</v>
      </c>
      <c r="E429" s="131" t="s">
        <v>142</v>
      </c>
      <c r="F429" s="134" t="s">
        <v>142</v>
      </c>
      <c r="G429" s="134" t="s">
        <v>142</v>
      </c>
      <c r="H429" s="134" t="s">
        <v>142</v>
      </c>
      <c r="I429" s="134" t="s">
        <v>142</v>
      </c>
      <c r="J429" s="134" t="s">
        <v>142</v>
      </c>
      <c r="K429" s="134" t="s">
        <v>142</v>
      </c>
      <c r="L429" s="134" t="s">
        <v>142</v>
      </c>
      <c r="M429" s="136"/>
      <c r="N429" s="137"/>
    </row>
    <row r="430" ht="15.0" hidden="1" customHeight="1" outlineLevel="1">
      <c r="A430" s="113"/>
      <c r="B430" s="115">
        <v>46213.0</v>
      </c>
      <c r="C430" s="118" t="str">
        <f t="shared" si="47"/>
        <v>Fri</v>
      </c>
      <c r="D430" s="143">
        <f t="shared" si="48"/>
        <v>1</v>
      </c>
      <c r="E430" s="144" t="s">
        <v>142</v>
      </c>
      <c r="F430" s="134" t="s">
        <v>142</v>
      </c>
      <c r="G430" s="134" t="s">
        <v>142</v>
      </c>
      <c r="H430" s="134" t="s">
        <v>142</v>
      </c>
      <c r="I430" s="134" t="s">
        <v>142</v>
      </c>
      <c r="J430" s="134" t="s">
        <v>142</v>
      </c>
      <c r="K430" s="134" t="s">
        <v>142</v>
      </c>
      <c r="L430" s="134" t="s">
        <v>142</v>
      </c>
      <c r="M430" s="136"/>
      <c r="N430" s="131"/>
    </row>
    <row r="431" hidden="1" outlineLevel="1">
      <c r="B431" s="215"/>
      <c r="C431" s="216" t="s">
        <v>199</v>
      </c>
      <c r="D431" s="217">
        <f>AVERAGE(D416:D430)</f>
        <v>1</v>
      </c>
      <c r="E431" s="472"/>
      <c r="L431" s="216" t="s">
        <v>199</v>
      </c>
      <c r="M431" s="217">
        <f>SUM(M416:M430)/75*0.1</f>
        <v>0</v>
      </c>
    </row>
    <row r="432" hidden="1" collapsed="1">
      <c r="A432" s="85" t="s">
        <v>210</v>
      </c>
      <c r="B432" s="86"/>
      <c r="C432" s="86"/>
      <c r="D432" s="359"/>
      <c r="E432" s="89"/>
      <c r="F432" s="89"/>
      <c r="G432" s="91"/>
      <c r="H432" s="91"/>
      <c r="I432" s="91"/>
      <c r="J432" s="91"/>
      <c r="K432" s="91"/>
      <c r="L432" s="91"/>
      <c r="M432" s="93"/>
      <c r="N432" s="95"/>
    </row>
    <row r="433" hidden="1" outlineLevel="1">
      <c r="A433" s="96" t="s">
        <v>89</v>
      </c>
      <c r="B433" s="98" t="s">
        <v>90</v>
      </c>
      <c r="C433" s="98" t="s">
        <v>91</v>
      </c>
      <c r="D433" s="101" t="s">
        <v>93</v>
      </c>
      <c r="E433" s="102" t="s">
        <v>94</v>
      </c>
      <c r="F433" s="102" t="s">
        <v>95</v>
      </c>
      <c r="G433" s="105" t="s">
        <v>96</v>
      </c>
      <c r="H433" s="107" t="s">
        <v>97</v>
      </c>
      <c r="I433" s="107" t="s">
        <v>104</v>
      </c>
      <c r="J433" s="105" t="s">
        <v>106</v>
      </c>
      <c r="K433" s="107" t="s">
        <v>109</v>
      </c>
      <c r="L433" s="105" t="s">
        <v>111</v>
      </c>
      <c r="M433" s="98" t="s">
        <v>114</v>
      </c>
      <c r="N433" s="101" t="s">
        <v>116</v>
      </c>
    </row>
    <row r="434" hidden="1" outlineLevel="1">
      <c r="A434" s="572" t="s">
        <v>2228</v>
      </c>
      <c r="B434" s="115">
        <v>46217.0</v>
      </c>
      <c r="C434" s="118" t="str">
        <f t="shared" ref="C434:C448" si="49">IF(B434="", "", TEXT(B434, "ddd"))</f>
        <v>Tue</v>
      </c>
      <c r="D434" s="143">
        <f t="shared" ref="D434:D448" si="50">IF(E434="Yes",0.05,0)
+IF(F434="Yes",0.1,0)
+IF(G434="Yes",0.15,0)
+IF(H434="Yes",0.15,0)
+IF(I434="Yes",0.05,0)
+IF(J434="Yes",0.05,0)
+IF(K434="Yes",0.15,0)
+IF(L434="Yes",0.3,0)
</f>
        <v>1</v>
      </c>
      <c r="E434" s="144" t="s">
        <v>142</v>
      </c>
      <c r="F434" s="134" t="s">
        <v>142</v>
      </c>
      <c r="G434" s="134" t="s">
        <v>142</v>
      </c>
      <c r="H434" s="134" t="s">
        <v>142</v>
      </c>
      <c r="I434" s="134" t="s">
        <v>142</v>
      </c>
      <c r="J434" s="134" t="s">
        <v>142</v>
      </c>
      <c r="K434" s="134" t="s">
        <v>142</v>
      </c>
      <c r="L434" s="134" t="s">
        <v>142</v>
      </c>
      <c r="M434" s="136"/>
      <c r="N434" s="137"/>
    </row>
    <row r="435" hidden="1" outlineLevel="1">
      <c r="A435" s="572" t="s">
        <v>2231</v>
      </c>
      <c r="B435" s="115">
        <v>46217.0</v>
      </c>
      <c r="C435" s="118" t="str">
        <f t="shared" si="49"/>
        <v>Tue</v>
      </c>
      <c r="D435" s="128">
        <f t="shared" si="50"/>
        <v>1</v>
      </c>
      <c r="E435" s="131" t="s">
        <v>142</v>
      </c>
      <c r="F435" s="134" t="s">
        <v>142</v>
      </c>
      <c r="G435" s="134" t="s">
        <v>142</v>
      </c>
      <c r="H435" s="134" t="s">
        <v>142</v>
      </c>
      <c r="I435" s="134" t="s">
        <v>142</v>
      </c>
      <c r="J435" s="134" t="s">
        <v>142</v>
      </c>
      <c r="K435" s="134" t="s">
        <v>142</v>
      </c>
      <c r="L435" s="134" t="s">
        <v>142</v>
      </c>
      <c r="M435" s="136"/>
      <c r="N435" s="131"/>
    </row>
    <row r="436" hidden="1" outlineLevel="1">
      <c r="A436" s="572" t="s">
        <v>2234</v>
      </c>
      <c r="B436" s="115">
        <v>46217.0</v>
      </c>
      <c r="C436" s="118" t="str">
        <f t="shared" si="49"/>
        <v>Tue</v>
      </c>
      <c r="D436" s="143">
        <f t="shared" si="50"/>
        <v>1</v>
      </c>
      <c r="E436" s="144" t="s">
        <v>142</v>
      </c>
      <c r="F436" s="134" t="s">
        <v>142</v>
      </c>
      <c r="G436" s="134" t="s">
        <v>142</v>
      </c>
      <c r="H436" s="134" t="s">
        <v>142</v>
      </c>
      <c r="I436" s="134" t="s">
        <v>142</v>
      </c>
      <c r="J436" s="134" t="s">
        <v>142</v>
      </c>
      <c r="K436" s="134" t="s">
        <v>142</v>
      </c>
      <c r="L436" s="134" t="s">
        <v>142</v>
      </c>
      <c r="M436" s="136"/>
      <c r="N436" s="131"/>
    </row>
    <row r="437" hidden="1" outlineLevel="1">
      <c r="A437" s="572" t="s">
        <v>2236</v>
      </c>
      <c r="B437" s="115">
        <v>46218.0</v>
      </c>
      <c r="C437" s="118" t="str">
        <f t="shared" si="49"/>
        <v>Wed</v>
      </c>
      <c r="D437" s="128">
        <f t="shared" si="50"/>
        <v>1</v>
      </c>
      <c r="E437" s="131" t="s">
        <v>142</v>
      </c>
      <c r="F437" s="134" t="s">
        <v>142</v>
      </c>
      <c r="G437" s="134" t="s">
        <v>142</v>
      </c>
      <c r="H437" s="134" t="s">
        <v>142</v>
      </c>
      <c r="I437" s="134" t="s">
        <v>142</v>
      </c>
      <c r="J437" s="134" t="s">
        <v>142</v>
      </c>
      <c r="K437" s="134" t="s">
        <v>142</v>
      </c>
      <c r="L437" s="134" t="s">
        <v>142</v>
      </c>
      <c r="M437" s="136"/>
      <c r="N437" s="137"/>
    </row>
    <row r="438" hidden="1" outlineLevel="1">
      <c r="A438" s="572" t="s">
        <v>2237</v>
      </c>
      <c r="B438" s="115">
        <v>46218.0</v>
      </c>
      <c r="C438" s="118" t="str">
        <f t="shared" si="49"/>
        <v>Wed</v>
      </c>
      <c r="D438" s="143">
        <f t="shared" si="50"/>
        <v>1</v>
      </c>
      <c r="E438" s="144" t="s">
        <v>142</v>
      </c>
      <c r="F438" s="134" t="s">
        <v>142</v>
      </c>
      <c r="G438" s="134" t="s">
        <v>142</v>
      </c>
      <c r="H438" s="134" t="s">
        <v>142</v>
      </c>
      <c r="I438" s="134" t="s">
        <v>142</v>
      </c>
      <c r="J438" s="134" t="s">
        <v>142</v>
      </c>
      <c r="K438" s="134" t="s">
        <v>142</v>
      </c>
      <c r="L438" s="134" t="s">
        <v>142</v>
      </c>
      <c r="M438" s="136"/>
      <c r="N438" s="137"/>
    </row>
    <row r="439" hidden="1" outlineLevel="1">
      <c r="A439" s="572" t="s">
        <v>2239</v>
      </c>
      <c r="B439" s="115">
        <v>46218.0</v>
      </c>
      <c r="C439" s="118" t="str">
        <f t="shared" si="49"/>
        <v>Wed</v>
      </c>
      <c r="D439" s="128">
        <f t="shared" si="50"/>
        <v>1</v>
      </c>
      <c r="E439" s="131" t="s">
        <v>142</v>
      </c>
      <c r="F439" s="134" t="s">
        <v>142</v>
      </c>
      <c r="G439" s="134" t="s">
        <v>142</v>
      </c>
      <c r="H439" s="134" t="s">
        <v>142</v>
      </c>
      <c r="I439" s="134" t="s">
        <v>142</v>
      </c>
      <c r="J439" s="134" t="s">
        <v>142</v>
      </c>
      <c r="K439" s="134" t="s">
        <v>142</v>
      </c>
      <c r="L439" s="134" t="s">
        <v>142</v>
      </c>
      <c r="M439" s="136"/>
      <c r="N439" s="137"/>
    </row>
    <row r="440" hidden="1" outlineLevel="1">
      <c r="A440" s="572" t="s">
        <v>2242</v>
      </c>
      <c r="B440" s="115">
        <v>46219.0</v>
      </c>
      <c r="C440" s="118" t="str">
        <f t="shared" si="49"/>
        <v>Thu</v>
      </c>
      <c r="D440" s="143">
        <f t="shared" si="50"/>
        <v>1</v>
      </c>
      <c r="E440" s="144" t="s">
        <v>142</v>
      </c>
      <c r="F440" s="134" t="s">
        <v>142</v>
      </c>
      <c r="G440" s="134" t="s">
        <v>142</v>
      </c>
      <c r="H440" s="134" t="s">
        <v>142</v>
      </c>
      <c r="I440" s="134" t="s">
        <v>142</v>
      </c>
      <c r="J440" s="134" t="s">
        <v>142</v>
      </c>
      <c r="K440" s="134" t="s">
        <v>142</v>
      </c>
      <c r="L440" s="134" t="s">
        <v>142</v>
      </c>
      <c r="M440" s="136"/>
      <c r="N440" s="137"/>
    </row>
    <row r="441" hidden="1" outlineLevel="1">
      <c r="A441" s="572" t="s">
        <v>2244</v>
      </c>
      <c r="B441" s="115">
        <v>46219.0</v>
      </c>
      <c r="C441" s="118" t="str">
        <f t="shared" si="49"/>
        <v>Thu</v>
      </c>
      <c r="D441" s="128">
        <f t="shared" si="50"/>
        <v>1</v>
      </c>
      <c r="E441" s="131" t="s">
        <v>142</v>
      </c>
      <c r="F441" s="134" t="s">
        <v>142</v>
      </c>
      <c r="G441" s="134" t="s">
        <v>142</v>
      </c>
      <c r="H441" s="134" t="s">
        <v>142</v>
      </c>
      <c r="I441" s="134" t="s">
        <v>142</v>
      </c>
      <c r="J441" s="134" t="s">
        <v>142</v>
      </c>
      <c r="K441" s="134" t="s">
        <v>142</v>
      </c>
      <c r="L441" s="134" t="s">
        <v>142</v>
      </c>
      <c r="M441" s="136"/>
      <c r="N441" s="131"/>
    </row>
    <row r="442" hidden="1" outlineLevel="1">
      <c r="A442" s="572" t="s">
        <v>2246</v>
      </c>
      <c r="B442" s="115">
        <v>46219.0</v>
      </c>
      <c r="C442" s="118" t="str">
        <f t="shared" si="49"/>
        <v>Thu</v>
      </c>
      <c r="D442" s="143">
        <f t="shared" si="50"/>
        <v>1</v>
      </c>
      <c r="E442" s="144" t="s">
        <v>142</v>
      </c>
      <c r="F442" s="134" t="s">
        <v>142</v>
      </c>
      <c r="G442" s="134" t="s">
        <v>142</v>
      </c>
      <c r="H442" s="134" t="s">
        <v>142</v>
      </c>
      <c r="I442" s="134" t="s">
        <v>142</v>
      </c>
      <c r="J442" s="134" t="s">
        <v>142</v>
      </c>
      <c r="K442" s="134" t="s">
        <v>142</v>
      </c>
      <c r="L442" s="134" t="s">
        <v>142</v>
      </c>
      <c r="M442" s="136"/>
      <c r="N442" s="137"/>
    </row>
    <row r="443" hidden="1" outlineLevel="1">
      <c r="A443" s="113"/>
      <c r="B443" s="115"/>
      <c r="C443" s="118" t="str">
        <f t="shared" si="49"/>
        <v/>
      </c>
      <c r="D443" s="128">
        <f t="shared" si="50"/>
        <v>0</v>
      </c>
      <c r="E443" s="131"/>
      <c r="F443" s="134"/>
      <c r="G443" s="134"/>
      <c r="H443" s="134"/>
      <c r="I443" s="134"/>
      <c r="J443" s="134"/>
      <c r="K443" s="134"/>
      <c r="L443" s="134"/>
      <c r="M443" s="136"/>
      <c r="N443" s="131"/>
    </row>
    <row r="444" hidden="1" outlineLevel="1">
      <c r="A444" s="113"/>
      <c r="B444" s="115"/>
      <c r="C444" s="118" t="str">
        <f t="shared" si="49"/>
        <v/>
      </c>
      <c r="D444" s="143">
        <f t="shared" si="50"/>
        <v>0</v>
      </c>
      <c r="E444" s="144"/>
      <c r="F444" s="134"/>
      <c r="G444" s="134"/>
      <c r="H444" s="134"/>
      <c r="I444" s="134"/>
      <c r="J444" s="134"/>
      <c r="K444" s="134"/>
      <c r="L444" s="134"/>
      <c r="M444" s="136"/>
      <c r="N444" s="131"/>
    </row>
    <row r="445" hidden="1" outlineLevel="1">
      <c r="A445" s="113"/>
      <c r="B445" s="115"/>
      <c r="C445" s="118" t="str">
        <f t="shared" si="49"/>
        <v/>
      </c>
      <c r="D445" s="128">
        <f t="shared" si="50"/>
        <v>0</v>
      </c>
      <c r="E445" s="131"/>
      <c r="F445" s="134"/>
      <c r="G445" s="134"/>
      <c r="H445" s="134"/>
      <c r="I445" s="134"/>
      <c r="J445" s="134"/>
      <c r="K445" s="134"/>
      <c r="L445" s="134"/>
      <c r="M445" s="136"/>
      <c r="N445" s="131"/>
    </row>
    <row r="446" hidden="1" outlineLevel="1">
      <c r="A446" s="113"/>
      <c r="B446" s="115"/>
      <c r="C446" s="118" t="str">
        <f t="shared" si="49"/>
        <v/>
      </c>
      <c r="D446" s="143">
        <f t="shared" si="50"/>
        <v>0</v>
      </c>
      <c r="E446" s="144"/>
      <c r="F446" s="134"/>
      <c r="G446" s="134"/>
      <c r="H446" s="134"/>
      <c r="I446" s="134"/>
      <c r="J446" s="134"/>
      <c r="K446" s="134"/>
      <c r="L446" s="134"/>
      <c r="M446" s="136"/>
      <c r="N446" s="137"/>
    </row>
    <row r="447" hidden="1" outlineLevel="1">
      <c r="A447" s="113"/>
      <c r="B447" s="115"/>
      <c r="C447" s="118" t="str">
        <f t="shared" si="49"/>
        <v/>
      </c>
      <c r="D447" s="128">
        <f t="shared" si="50"/>
        <v>0</v>
      </c>
      <c r="E447" s="131"/>
      <c r="F447" s="134"/>
      <c r="G447" s="134"/>
      <c r="H447" s="134"/>
      <c r="I447" s="134"/>
      <c r="J447" s="134"/>
      <c r="K447" s="134"/>
      <c r="L447" s="134"/>
      <c r="M447" s="136"/>
      <c r="N447" s="137"/>
    </row>
    <row r="448" ht="15.0" hidden="1" customHeight="1" outlineLevel="1">
      <c r="A448" s="113"/>
      <c r="B448" s="115"/>
      <c r="C448" s="118" t="str">
        <f t="shared" si="49"/>
        <v/>
      </c>
      <c r="D448" s="143">
        <f t="shared" si="50"/>
        <v>0</v>
      </c>
      <c r="E448" s="144"/>
      <c r="F448" s="134"/>
      <c r="G448" s="134"/>
      <c r="H448" s="134"/>
      <c r="I448" s="134"/>
      <c r="J448" s="134"/>
      <c r="K448" s="134"/>
      <c r="L448" s="134"/>
      <c r="M448" s="136"/>
      <c r="N448" s="131"/>
    </row>
    <row r="449" hidden="1" outlineLevel="1">
      <c r="B449" s="215"/>
      <c r="C449" s="216" t="s">
        <v>199</v>
      </c>
      <c r="D449" s="217">
        <f>AVERAGE(D434:D448)</f>
        <v>0.6</v>
      </c>
      <c r="E449" s="472"/>
      <c r="L449" s="216" t="s">
        <v>199</v>
      </c>
      <c r="M449" s="217">
        <f>SUM(M434:M448)/75*0.1</f>
        <v>0</v>
      </c>
    </row>
    <row r="450" hidden="1" collapsed="1">
      <c r="A450" s="85" t="s">
        <v>246</v>
      </c>
      <c r="B450" s="86"/>
      <c r="C450" s="86"/>
      <c r="D450" s="359"/>
      <c r="E450" s="89"/>
      <c r="F450" s="89"/>
      <c r="G450" s="91"/>
      <c r="H450" s="91"/>
      <c r="I450" s="91"/>
      <c r="J450" s="91"/>
      <c r="K450" s="91"/>
      <c r="L450" s="91"/>
      <c r="M450" s="93"/>
      <c r="N450" s="95"/>
    </row>
    <row r="451" hidden="1" outlineLevel="1">
      <c r="A451" s="96" t="s">
        <v>89</v>
      </c>
      <c r="B451" s="98" t="s">
        <v>90</v>
      </c>
      <c r="C451" s="98" t="s">
        <v>91</v>
      </c>
      <c r="D451" s="101" t="s">
        <v>93</v>
      </c>
      <c r="E451" s="102" t="s">
        <v>94</v>
      </c>
      <c r="F451" s="102" t="s">
        <v>95</v>
      </c>
      <c r="G451" s="105" t="s">
        <v>96</v>
      </c>
      <c r="H451" s="107" t="s">
        <v>97</v>
      </c>
      <c r="I451" s="107" t="s">
        <v>104</v>
      </c>
      <c r="J451" s="105" t="s">
        <v>106</v>
      </c>
      <c r="K451" s="107" t="s">
        <v>109</v>
      </c>
      <c r="L451" s="105" t="s">
        <v>111</v>
      </c>
      <c r="M451" s="98" t="s">
        <v>114</v>
      </c>
      <c r="N451" s="101" t="s">
        <v>116</v>
      </c>
    </row>
    <row r="452" hidden="1" outlineLevel="1">
      <c r="A452" s="113" t="s">
        <v>2249</v>
      </c>
      <c r="B452" s="115">
        <v>46223.0</v>
      </c>
      <c r="C452" s="118" t="str">
        <f t="shared" ref="C452:C466" si="51">IF(B452="", "", TEXT(B452, "ddd"))</f>
        <v>Mon</v>
      </c>
      <c r="D452" s="143">
        <f t="shared" ref="D452:D466" si="52">IF(E452="Yes",0.05,0)
+IF(F452="Yes",0.1,0)
+IF(G452="Yes",0.15,0)
+IF(H452="Yes",0.15,0)
+IF(I452="Yes",0.05,0)
+IF(J452="Yes",0.05,0)
+IF(K452="Yes",0.15,0)
+IF(L452="Yes",0.3,0)
</f>
        <v>1</v>
      </c>
      <c r="E452" s="144" t="s">
        <v>142</v>
      </c>
      <c r="F452" s="134" t="s">
        <v>142</v>
      </c>
      <c r="G452" s="134" t="s">
        <v>142</v>
      </c>
      <c r="H452" s="134" t="s">
        <v>142</v>
      </c>
      <c r="I452" s="134" t="s">
        <v>142</v>
      </c>
      <c r="J452" s="134" t="s">
        <v>142</v>
      </c>
      <c r="K452" s="134" t="s">
        <v>142</v>
      </c>
      <c r="L452" s="134" t="s">
        <v>142</v>
      </c>
      <c r="M452" s="136"/>
      <c r="N452" s="137"/>
    </row>
    <row r="453" hidden="1" outlineLevel="1">
      <c r="A453" s="113" t="s">
        <v>2260</v>
      </c>
      <c r="B453" s="115">
        <v>46223.0</v>
      </c>
      <c r="C453" s="118" t="str">
        <f t="shared" si="51"/>
        <v>Mon</v>
      </c>
      <c r="D453" s="128">
        <f t="shared" si="52"/>
        <v>1</v>
      </c>
      <c r="E453" s="131" t="s">
        <v>142</v>
      </c>
      <c r="F453" s="134" t="s">
        <v>142</v>
      </c>
      <c r="G453" s="134" t="s">
        <v>142</v>
      </c>
      <c r="H453" s="134" t="s">
        <v>142</v>
      </c>
      <c r="I453" s="134" t="s">
        <v>142</v>
      </c>
      <c r="J453" s="134" t="s">
        <v>142</v>
      </c>
      <c r="K453" s="134" t="s">
        <v>142</v>
      </c>
      <c r="L453" s="134" t="s">
        <v>142</v>
      </c>
      <c r="M453" s="136"/>
      <c r="N453" s="131"/>
    </row>
    <row r="454" hidden="1" outlineLevel="1">
      <c r="A454" s="113" t="s">
        <v>2262</v>
      </c>
      <c r="B454" s="115">
        <v>46223.0</v>
      </c>
      <c r="C454" s="118" t="str">
        <f t="shared" si="51"/>
        <v>Mon</v>
      </c>
      <c r="D454" s="143">
        <f t="shared" si="52"/>
        <v>1</v>
      </c>
      <c r="E454" s="144" t="s">
        <v>142</v>
      </c>
      <c r="F454" s="134" t="s">
        <v>142</v>
      </c>
      <c r="G454" s="134" t="s">
        <v>142</v>
      </c>
      <c r="H454" s="134" t="s">
        <v>142</v>
      </c>
      <c r="I454" s="134" t="s">
        <v>142</v>
      </c>
      <c r="J454" s="134" t="s">
        <v>142</v>
      </c>
      <c r="K454" s="134" t="s">
        <v>142</v>
      </c>
      <c r="L454" s="134" t="s">
        <v>142</v>
      </c>
      <c r="M454" s="136"/>
      <c r="N454" s="131"/>
    </row>
    <row r="455" hidden="1" outlineLevel="1">
      <c r="A455" s="113" t="s">
        <v>2269</v>
      </c>
      <c r="B455" s="115">
        <v>46224.0</v>
      </c>
      <c r="C455" s="118" t="str">
        <f t="shared" si="51"/>
        <v>Tue</v>
      </c>
      <c r="D455" s="128">
        <f t="shared" si="52"/>
        <v>1</v>
      </c>
      <c r="E455" s="131" t="s">
        <v>142</v>
      </c>
      <c r="F455" s="134" t="s">
        <v>142</v>
      </c>
      <c r="G455" s="134" t="s">
        <v>142</v>
      </c>
      <c r="H455" s="134" t="s">
        <v>142</v>
      </c>
      <c r="I455" s="134" t="s">
        <v>142</v>
      </c>
      <c r="J455" s="134" t="s">
        <v>142</v>
      </c>
      <c r="K455" s="134" t="s">
        <v>142</v>
      </c>
      <c r="L455" s="134" t="s">
        <v>142</v>
      </c>
      <c r="M455" s="136"/>
      <c r="N455" s="137"/>
    </row>
    <row r="456" hidden="1" outlineLevel="1">
      <c r="A456" s="113" t="s">
        <v>2274</v>
      </c>
      <c r="B456" s="115">
        <v>46224.0</v>
      </c>
      <c r="C456" s="118" t="str">
        <f t="shared" si="51"/>
        <v>Tue</v>
      </c>
      <c r="D456" s="143">
        <f t="shared" si="52"/>
        <v>1</v>
      </c>
      <c r="E456" s="144" t="s">
        <v>142</v>
      </c>
      <c r="F456" s="134" t="s">
        <v>142</v>
      </c>
      <c r="G456" s="134" t="s">
        <v>142</v>
      </c>
      <c r="H456" s="134" t="s">
        <v>142</v>
      </c>
      <c r="I456" s="134" t="s">
        <v>142</v>
      </c>
      <c r="J456" s="134" t="s">
        <v>142</v>
      </c>
      <c r="K456" s="134" t="s">
        <v>142</v>
      </c>
      <c r="L456" s="134" t="s">
        <v>142</v>
      </c>
      <c r="M456" s="136"/>
      <c r="N456" s="137"/>
    </row>
    <row r="457" hidden="1" outlineLevel="1">
      <c r="A457" s="113" t="s">
        <v>2278</v>
      </c>
      <c r="B457" s="115">
        <v>46224.0</v>
      </c>
      <c r="C457" s="118" t="str">
        <f t="shared" si="51"/>
        <v>Tue</v>
      </c>
      <c r="D457" s="128">
        <f t="shared" si="52"/>
        <v>1</v>
      </c>
      <c r="E457" s="131" t="s">
        <v>142</v>
      </c>
      <c r="F457" s="134" t="s">
        <v>142</v>
      </c>
      <c r="G457" s="134" t="s">
        <v>142</v>
      </c>
      <c r="H457" s="134" t="s">
        <v>142</v>
      </c>
      <c r="I457" s="134" t="s">
        <v>142</v>
      </c>
      <c r="J457" s="134" t="s">
        <v>142</v>
      </c>
      <c r="K457" s="134" t="s">
        <v>142</v>
      </c>
      <c r="L457" s="134" t="s">
        <v>142</v>
      </c>
      <c r="M457" s="136"/>
      <c r="N457" s="137"/>
    </row>
    <row r="458" hidden="1" outlineLevel="1">
      <c r="A458" s="113" t="s">
        <v>2280</v>
      </c>
      <c r="B458" s="115">
        <v>46225.0</v>
      </c>
      <c r="C458" s="118" t="str">
        <f t="shared" si="51"/>
        <v>Wed</v>
      </c>
      <c r="D458" s="143">
        <f t="shared" si="52"/>
        <v>1</v>
      </c>
      <c r="E458" s="144" t="s">
        <v>142</v>
      </c>
      <c r="F458" s="134" t="s">
        <v>142</v>
      </c>
      <c r="G458" s="134" t="s">
        <v>142</v>
      </c>
      <c r="H458" s="134" t="s">
        <v>142</v>
      </c>
      <c r="I458" s="134" t="s">
        <v>142</v>
      </c>
      <c r="J458" s="134" t="s">
        <v>142</v>
      </c>
      <c r="K458" s="134" t="s">
        <v>142</v>
      </c>
      <c r="L458" s="134" t="s">
        <v>142</v>
      </c>
      <c r="M458" s="136"/>
      <c r="N458" s="137"/>
    </row>
    <row r="459" hidden="1" outlineLevel="1">
      <c r="A459" s="113" t="s">
        <v>2283</v>
      </c>
      <c r="B459" s="115">
        <v>46225.0</v>
      </c>
      <c r="C459" s="118" t="str">
        <f t="shared" si="51"/>
        <v>Wed</v>
      </c>
      <c r="D459" s="128">
        <f t="shared" si="52"/>
        <v>1</v>
      </c>
      <c r="E459" s="131" t="s">
        <v>142</v>
      </c>
      <c r="F459" s="134" t="s">
        <v>142</v>
      </c>
      <c r="G459" s="134" t="s">
        <v>142</v>
      </c>
      <c r="H459" s="134" t="s">
        <v>142</v>
      </c>
      <c r="I459" s="134" t="s">
        <v>142</v>
      </c>
      <c r="J459" s="134" t="s">
        <v>142</v>
      </c>
      <c r="K459" s="134" t="s">
        <v>142</v>
      </c>
      <c r="L459" s="134" t="s">
        <v>142</v>
      </c>
      <c r="M459" s="136"/>
      <c r="N459" s="131"/>
    </row>
    <row r="460" hidden="1" outlineLevel="1">
      <c r="A460" s="113" t="s">
        <v>2285</v>
      </c>
      <c r="B460" s="115">
        <v>46225.0</v>
      </c>
      <c r="C460" s="118" t="str">
        <f t="shared" si="51"/>
        <v>Wed</v>
      </c>
      <c r="D460" s="143">
        <f t="shared" si="52"/>
        <v>1</v>
      </c>
      <c r="E460" s="144" t="s">
        <v>142</v>
      </c>
      <c r="F460" s="134" t="s">
        <v>142</v>
      </c>
      <c r="G460" s="134" t="s">
        <v>142</v>
      </c>
      <c r="H460" s="134" t="s">
        <v>142</v>
      </c>
      <c r="I460" s="134" t="s">
        <v>142</v>
      </c>
      <c r="J460" s="134" t="s">
        <v>142</v>
      </c>
      <c r="K460" s="134" t="s">
        <v>142</v>
      </c>
      <c r="L460" s="134" t="s">
        <v>142</v>
      </c>
      <c r="M460" s="136"/>
      <c r="N460" s="137"/>
    </row>
    <row r="461" hidden="1" outlineLevel="1">
      <c r="A461" s="113" t="s">
        <v>2286</v>
      </c>
      <c r="B461" s="115">
        <v>46226.0</v>
      </c>
      <c r="C461" s="118" t="str">
        <f t="shared" si="51"/>
        <v>Thu</v>
      </c>
      <c r="D461" s="128">
        <f t="shared" si="52"/>
        <v>1</v>
      </c>
      <c r="E461" s="131" t="s">
        <v>142</v>
      </c>
      <c r="F461" s="134" t="s">
        <v>142</v>
      </c>
      <c r="G461" s="134" t="s">
        <v>142</v>
      </c>
      <c r="H461" s="134" t="s">
        <v>142</v>
      </c>
      <c r="I461" s="134" t="s">
        <v>142</v>
      </c>
      <c r="J461" s="134" t="s">
        <v>142</v>
      </c>
      <c r="K461" s="134" t="s">
        <v>142</v>
      </c>
      <c r="L461" s="134" t="s">
        <v>142</v>
      </c>
      <c r="M461" s="136"/>
      <c r="N461" s="131"/>
    </row>
    <row r="462" hidden="1" outlineLevel="1">
      <c r="A462" s="113" t="s">
        <v>2289</v>
      </c>
      <c r="B462" s="115">
        <v>46226.0</v>
      </c>
      <c r="C462" s="118" t="str">
        <f t="shared" si="51"/>
        <v>Thu</v>
      </c>
      <c r="D462" s="143">
        <f t="shared" si="52"/>
        <v>1</v>
      </c>
      <c r="E462" s="144" t="s">
        <v>142</v>
      </c>
      <c r="F462" s="134" t="s">
        <v>142</v>
      </c>
      <c r="G462" s="134" t="s">
        <v>142</v>
      </c>
      <c r="H462" s="134" t="s">
        <v>142</v>
      </c>
      <c r="I462" s="134" t="s">
        <v>142</v>
      </c>
      <c r="J462" s="134" t="s">
        <v>142</v>
      </c>
      <c r="K462" s="134" t="s">
        <v>142</v>
      </c>
      <c r="L462" s="134" t="s">
        <v>142</v>
      </c>
      <c r="M462" s="136"/>
      <c r="N462" s="131"/>
    </row>
    <row r="463" hidden="1" outlineLevel="1">
      <c r="A463" s="113" t="s">
        <v>2292</v>
      </c>
      <c r="B463" s="115">
        <v>46226.0</v>
      </c>
      <c r="C463" s="118" t="str">
        <f t="shared" si="51"/>
        <v>Thu</v>
      </c>
      <c r="D463" s="128">
        <f t="shared" si="52"/>
        <v>1</v>
      </c>
      <c r="E463" s="131" t="s">
        <v>142</v>
      </c>
      <c r="F463" s="134" t="s">
        <v>142</v>
      </c>
      <c r="G463" s="134" t="s">
        <v>142</v>
      </c>
      <c r="H463" s="134" t="s">
        <v>142</v>
      </c>
      <c r="I463" s="134" t="s">
        <v>142</v>
      </c>
      <c r="J463" s="134" t="s">
        <v>142</v>
      </c>
      <c r="K463" s="134" t="s">
        <v>142</v>
      </c>
      <c r="L463" s="134" t="s">
        <v>142</v>
      </c>
      <c r="M463" s="136"/>
      <c r="N463" s="131"/>
    </row>
    <row r="464" hidden="1" outlineLevel="1">
      <c r="A464" s="113" t="s">
        <v>2293</v>
      </c>
      <c r="B464" s="115">
        <v>46227.0</v>
      </c>
      <c r="C464" s="118" t="str">
        <f t="shared" si="51"/>
        <v>Fri</v>
      </c>
      <c r="D464" s="143">
        <f t="shared" si="52"/>
        <v>1</v>
      </c>
      <c r="E464" s="144" t="s">
        <v>142</v>
      </c>
      <c r="F464" s="134" t="s">
        <v>142</v>
      </c>
      <c r="G464" s="134" t="s">
        <v>142</v>
      </c>
      <c r="H464" s="134" t="s">
        <v>142</v>
      </c>
      <c r="I464" s="134" t="s">
        <v>142</v>
      </c>
      <c r="J464" s="134" t="s">
        <v>142</v>
      </c>
      <c r="K464" s="134" t="s">
        <v>142</v>
      </c>
      <c r="L464" s="134" t="s">
        <v>142</v>
      </c>
      <c r="M464" s="136"/>
      <c r="N464" s="137"/>
    </row>
    <row r="465" hidden="1" outlineLevel="1">
      <c r="A465" s="113" t="s">
        <v>2295</v>
      </c>
      <c r="B465" s="115">
        <v>46227.0</v>
      </c>
      <c r="C465" s="118" t="str">
        <f t="shared" si="51"/>
        <v>Fri</v>
      </c>
      <c r="D465" s="128">
        <f t="shared" si="52"/>
        <v>1</v>
      </c>
      <c r="E465" s="131" t="s">
        <v>142</v>
      </c>
      <c r="F465" s="134" t="s">
        <v>142</v>
      </c>
      <c r="G465" s="134" t="s">
        <v>142</v>
      </c>
      <c r="H465" s="134" t="s">
        <v>142</v>
      </c>
      <c r="I465" s="134" t="s">
        <v>142</v>
      </c>
      <c r="J465" s="134" t="s">
        <v>142</v>
      </c>
      <c r="K465" s="134" t="s">
        <v>142</v>
      </c>
      <c r="L465" s="134" t="s">
        <v>142</v>
      </c>
      <c r="M465" s="136"/>
      <c r="N465" s="137"/>
    </row>
    <row r="466" ht="15.0" hidden="1" customHeight="1" outlineLevel="1">
      <c r="A466" s="113" t="s">
        <v>2296</v>
      </c>
      <c r="B466" s="115">
        <v>46227.0</v>
      </c>
      <c r="C466" s="118" t="str">
        <f t="shared" si="51"/>
        <v>Fri</v>
      </c>
      <c r="D466" s="143">
        <f t="shared" si="52"/>
        <v>1</v>
      </c>
      <c r="E466" s="144" t="s">
        <v>142</v>
      </c>
      <c r="F466" s="134" t="s">
        <v>142</v>
      </c>
      <c r="G466" s="134" t="s">
        <v>142</v>
      </c>
      <c r="H466" s="134" t="s">
        <v>142</v>
      </c>
      <c r="I466" s="134" t="s">
        <v>142</v>
      </c>
      <c r="J466" s="134" t="s">
        <v>142</v>
      </c>
      <c r="K466" s="134" t="s">
        <v>142</v>
      </c>
      <c r="L466" s="134" t="s">
        <v>142</v>
      </c>
      <c r="M466" s="136"/>
      <c r="N466" s="131"/>
    </row>
    <row r="467" hidden="1" outlineLevel="1">
      <c r="B467" s="215"/>
      <c r="C467" s="216" t="s">
        <v>199</v>
      </c>
      <c r="D467" s="217">
        <f>AVERAGE(D452:D466)</f>
        <v>1</v>
      </c>
      <c r="E467" s="472"/>
      <c r="L467" s="216" t="s">
        <v>199</v>
      </c>
      <c r="M467" s="217">
        <f>SUM(M452:M466)/75*0.1</f>
        <v>0</v>
      </c>
    </row>
    <row r="468" hidden="1" collapsed="1">
      <c r="A468" s="85" t="s">
        <v>286</v>
      </c>
      <c r="B468" s="86"/>
      <c r="C468" s="86"/>
      <c r="D468" s="359"/>
      <c r="E468" s="89"/>
      <c r="F468" s="89"/>
      <c r="G468" s="91"/>
      <c r="H468" s="91"/>
      <c r="I468" s="91"/>
      <c r="J468" s="91"/>
      <c r="K468" s="91"/>
      <c r="L468" s="91"/>
      <c r="M468" s="93"/>
      <c r="N468" s="95"/>
    </row>
    <row r="469" hidden="1" outlineLevel="1">
      <c r="A469" s="96" t="s">
        <v>89</v>
      </c>
      <c r="B469" s="98" t="s">
        <v>90</v>
      </c>
      <c r="C469" s="98" t="s">
        <v>91</v>
      </c>
      <c r="D469" s="101" t="s">
        <v>93</v>
      </c>
      <c r="E469" s="102" t="s">
        <v>94</v>
      </c>
      <c r="F469" s="102" t="s">
        <v>95</v>
      </c>
      <c r="G469" s="105" t="s">
        <v>96</v>
      </c>
      <c r="H469" s="107" t="s">
        <v>97</v>
      </c>
      <c r="I469" s="107" t="s">
        <v>104</v>
      </c>
      <c r="J469" s="105" t="s">
        <v>106</v>
      </c>
      <c r="K469" s="107" t="s">
        <v>109</v>
      </c>
      <c r="L469" s="105" t="s">
        <v>111</v>
      </c>
      <c r="M469" s="98" t="s">
        <v>114</v>
      </c>
      <c r="N469" s="101" t="s">
        <v>116</v>
      </c>
    </row>
    <row r="470" hidden="1" outlineLevel="1">
      <c r="A470" s="113" t="s">
        <v>2300</v>
      </c>
      <c r="B470" s="309">
        <v>46230.0</v>
      </c>
      <c r="C470" s="118" t="str">
        <f t="shared" ref="C470:C484" si="53">IF(B470="", "", TEXT(B470, "ddd"))</f>
        <v>Mon</v>
      </c>
      <c r="D470" s="143">
        <f t="shared" ref="D470:D484" si="54">IF(E470="Yes",0.05,0)
+IF(F470="Yes",0.1,0)
+IF(G470="Yes",0.15,0)
+IF(H470="Yes",0.15,0)
+IF(I470="Yes",0.05,0)
+IF(J470="Yes",0.05,0)
+IF(K470="Yes",0.15,0)
+IF(L470="Yes",0.3,0)
</f>
        <v>1</v>
      </c>
      <c r="E470" s="144" t="s">
        <v>142</v>
      </c>
      <c r="F470" s="134" t="s">
        <v>142</v>
      </c>
      <c r="G470" s="134" t="s">
        <v>142</v>
      </c>
      <c r="H470" s="134" t="s">
        <v>142</v>
      </c>
      <c r="I470" s="134" t="s">
        <v>142</v>
      </c>
      <c r="J470" s="134" t="s">
        <v>142</v>
      </c>
      <c r="K470" s="134" t="s">
        <v>142</v>
      </c>
      <c r="L470" s="134" t="s">
        <v>142</v>
      </c>
      <c r="M470" s="136"/>
      <c r="N470" s="137"/>
    </row>
    <row r="471" hidden="1" outlineLevel="1">
      <c r="A471" s="113" t="s">
        <v>2303</v>
      </c>
      <c r="B471" s="309">
        <v>46230.0</v>
      </c>
      <c r="C471" s="118" t="str">
        <f t="shared" si="53"/>
        <v>Mon</v>
      </c>
      <c r="D471" s="128">
        <f t="shared" si="54"/>
        <v>1</v>
      </c>
      <c r="E471" s="131" t="s">
        <v>142</v>
      </c>
      <c r="F471" s="134" t="s">
        <v>142</v>
      </c>
      <c r="G471" s="134" t="s">
        <v>142</v>
      </c>
      <c r="H471" s="134" t="s">
        <v>142</v>
      </c>
      <c r="I471" s="134" t="s">
        <v>142</v>
      </c>
      <c r="J471" s="134" t="s">
        <v>142</v>
      </c>
      <c r="K471" s="134" t="s">
        <v>142</v>
      </c>
      <c r="L471" s="134" t="s">
        <v>142</v>
      </c>
      <c r="M471" s="136"/>
      <c r="N471" s="131"/>
    </row>
    <row r="472" hidden="1" outlineLevel="1">
      <c r="A472" s="113" t="s">
        <v>2305</v>
      </c>
      <c r="B472" s="309">
        <v>46230.0</v>
      </c>
      <c r="C472" s="118" t="str">
        <f t="shared" si="53"/>
        <v>Mon</v>
      </c>
      <c r="D472" s="143">
        <f t="shared" si="54"/>
        <v>1</v>
      </c>
      <c r="E472" s="144" t="s">
        <v>142</v>
      </c>
      <c r="F472" s="134" t="s">
        <v>142</v>
      </c>
      <c r="G472" s="134" t="s">
        <v>142</v>
      </c>
      <c r="H472" s="134" t="s">
        <v>142</v>
      </c>
      <c r="I472" s="134" t="s">
        <v>142</v>
      </c>
      <c r="J472" s="134" t="s">
        <v>142</v>
      </c>
      <c r="K472" s="134" t="s">
        <v>142</v>
      </c>
      <c r="L472" s="134" t="s">
        <v>142</v>
      </c>
      <c r="M472" s="136"/>
      <c r="N472" s="131"/>
    </row>
    <row r="473" hidden="1" outlineLevel="1">
      <c r="A473" s="113" t="s">
        <v>2307</v>
      </c>
      <c r="B473" s="309">
        <v>46231.0</v>
      </c>
      <c r="C473" s="118" t="str">
        <f t="shared" si="53"/>
        <v>Tue</v>
      </c>
      <c r="D473" s="128">
        <f t="shared" si="54"/>
        <v>1</v>
      </c>
      <c r="E473" s="131" t="s">
        <v>142</v>
      </c>
      <c r="F473" s="134" t="s">
        <v>142</v>
      </c>
      <c r="G473" s="134" t="s">
        <v>142</v>
      </c>
      <c r="H473" s="134" t="s">
        <v>142</v>
      </c>
      <c r="I473" s="134" t="s">
        <v>142</v>
      </c>
      <c r="J473" s="134" t="s">
        <v>142</v>
      </c>
      <c r="K473" s="134" t="s">
        <v>142</v>
      </c>
      <c r="L473" s="134" t="s">
        <v>142</v>
      </c>
      <c r="M473" s="136"/>
      <c r="N473" s="137"/>
    </row>
    <row r="474" hidden="1" outlineLevel="1">
      <c r="A474" s="113" t="s">
        <v>2308</v>
      </c>
      <c r="B474" s="309">
        <v>46231.0</v>
      </c>
      <c r="C474" s="118" t="str">
        <f t="shared" si="53"/>
        <v>Tue</v>
      </c>
      <c r="D474" s="143">
        <f t="shared" si="54"/>
        <v>1</v>
      </c>
      <c r="E474" s="144" t="s">
        <v>142</v>
      </c>
      <c r="F474" s="134" t="s">
        <v>142</v>
      </c>
      <c r="G474" s="134" t="s">
        <v>142</v>
      </c>
      <c r="H474" s="134" t="s">
        <v>142</v>
      </c>
      <c r="I474" s="134" t="s">
        <v>142</v>
      </c>
      <c r="J474" s="134" t="s">
        <v>142</v>
      </c>
      <c r="K474" s="134" t="s">
        <v>142</v>
      </c>
      <c r="L474" s="134" t="s">
        <v>142</v>
      </c>
      <c r="M474" s="136"/>
      <c r="N474" s="137"/>
    </row>
    <row r="475" hidden="1" outlineLevel="1">
      <c r="A475" s="113" t="s">
        <v>2310</v>
      </c>
      <c r="B475" s="309">
        <v>46231.0</v>
      </c>
      <c r="C475" s="118" t="str">
        <f t="shared" si="53"/>
        <v>Tue</v>
      </c>
      <c r="D475" s="128">
        <f t="shared" si="54"/>
        <v>1</v>
      </c>
      <c r="E475" s="131" t="s">
        <v>142</v>
      </c>
      <c r="F475" s="134" t="s">
        <v>142</v>
      </c>
      <c r="G475" s="134" t="s">
        <v>142</v>
      </c>
      <c r="H475" s="134" t="s">
        <v>142</v>
      </c>
      <c r="I475" s="134" t="s">
        <v>142</v>
      </c>
      <c r="J475" s="134" t="s">
        <v>142</v>
      </c>
      <c r="K475" s="134" t="s">
        <v>142</v>
      </c>
      <c r="L475" s="134" t="s">
        <v>142</v>
      </c>
      <c r="M475" s="136"/>
      <c r="N475" s="137"/>
    </row>
    <row r="476" hidden="1" outlineLevel="1">
      <c r="A476" s="113" t="s">
        <v>2311</v>
      </c>
      <c r="B476" s="309">
        <v>46232.0</v>
      </c>
      <c r="C476" s="118" t="str">
        <f t="shared" si="53"/>
        <v>Wed</v>
      </c>
      <c r="D476" s="143">
        <f t="shared" si="54"/>
        <v>1</v>
      </c>
      <c r="E476" s="144" t="s">
        <v>142</v>
      </c>
      <c r="F476" s="134" t="s">
        <v>142</v>
      </c>
      <c r="G476" s="134" t="s">
        <v>142</v>
      </c>
      <c r="H476" s="134" t="s">
        <v>142</v>
      </c>
      <c r="I476" s="134" t="s">
        <v>142</v>
      </c>
      <c r="J476" s="134" t="s">
        <v>142</v>
      </c>
      <c r="K476" s="134" t="s">
        <v>142</v>
      </c>
      <c r="L476" s="134" t="s">
        <v>142</v>
      </c>
      <c r="M476" s="136"/>
      <c r="N476" s="137"/>
    </row>
    <row r="477" hidden="1" outlineLevel="1">
      <c r="A477" s="113" t="s">
        <v>2313</v>
      </c>
      <c r="B477" s="309">
        <v>46232.0</v>
      </c>
      <c r="C477" s="118" t="str">
        <f t="shared" si="53"/>
        <v>Wed</v>
      </c>
      <c r="D477" s="128">
        <f t="shared" si="54"/>
        <v>1</v>
      </c>
      <c r="E477" s="131" t="s">
        <v>142</v>
      </c>
      <c r="F477" s="134" t="s">
        <v>142</v>
      </c>
      <c r="G477" s="134" t="s">
        <v>142</v>
      </c>
      <c r="H477" s="134" t="s">
        <v>142</v>
      </c>
      <c r="I477" s="134" t="s">
        <v>142</v>
      </c>
      <c r="J477" s="134" t="s">
        <v>142</v>
      </c>
      <c r="K477" s="134" t="s">
        <v>142</v>
      </c>
      <c r="L477" s="134" t="s">
        <v>142</v>
      </c>
      <c r="M477" s="136"/>
      <c r="N477" s="131"/>
    </row>
    <row r="478" hidden="1" outlineLevel="1">
      <c r="A478" s="113" t="s">
        <v>2315</v>
      </c>
      <c r="B478" s="309">
        <v>46232.0</v>
      </c>
      <c r="C478" s="118" t="str">
        <f t="shared" si="53"/>
        <v>Wed</v>
      </c>
      <c r="D478" s="143">
        <f t="shared" si="54"/>
        <v>1</v>
      </c>
      <c r="E478" s="144" t="s">
        <v>142</v>
      </c>
      <c r="F478" s="134" t="s">
        <v>142</v>
      </c>
      <c r="G478" s="134" t="s">
        <v>142</v>
      </c>
      <c r="H478" s="134" t="s">
        <v>142</v>
      </c>
      <c r="I478" s="134" t="s">
        <v>142</v>
      </c>
      <c r="J478" s="134" t="s">
        <v>142</v>
      </c>
      <c r="K478" s="134" t="s">
        <v>142</v>
      </c>
      <c r="L478" s="134" t="s">
        <v>142</v>
      </c>
      <c r="M478" s="136"/>
      <c r="N478" s="137"/>
    </row>
    <row r="479" hidden="1" outlineLevel="1">
      <c r="A479" s="113" t="s">
        <v>2317</v>
      </c>
      <c r="B479" s="309">
        <v>46233.0</v>
      </c>
      <c r="C479" s="118" t="str">
        <f t="shared" si="53"/>
        <v>Thu</v>
      </c>
      <c r="D479" s="128">
        <f t="shared" si="54"/>
        <v>1</v>
      </c>
      <c r="E479" s="131" t="s">
        <v>142</v>
      </c>
      <c r="F479" s="134" t="s">
        <v>142</v>
      </c>
      <c r="G479" s="134" t="s">
        <v>142</v>
      </c>
      <c r="H479" s="134" t="s">
        <v>142</v>
      </c>
      <c r="I479" s="134" t="s">
        <v>142</v>
      </c>
      <c r="J479" s="134" t="s">
        <v>142</v>
      </c>
      <c r="K479" s="134" t="s">
        <v>142</v>
      </c>
      <c r="L479" s="134" t="s">
        <v>142</v>
      </c>
      <c r="M479" s="136"/>
      <c r="N479" s="131"/>
    </row>
    <row r="480" hidden="1" outlineLevel="1">
      <c r="A480" s="113" t="s">
        <v>2319</v>
      </c>
      <c r="B480" s="309">
        <v>46233.0</v>
      </c>
      <c r="C480" s="118" t="str">
        <f t="shared" si="53"/>
        <v>Thu</v>
      </c>
      <c r="D480" s="143">
        <f t="shared" si="54"/>
        <v>1</v>
      </c>
      <c r="E480" s="144" t="s">
        <v>142</v>
      </c>
      <c r="F480" s="134" t="s">
        <v>142</v>
      </c>
      <c r="G480" s="134" t="s">
        <v>142</v>
      </c>
      <c r="H480" s="134" t="s">
        <v>142</v>
      </c>
      <c r="I480" s="134" t="s">
        <v>142</v>
      </c>
      <c r="J480" s="134" t="s">
        <v>142</v>
      </c>
      <c r="K480" s="134" t="s">
        <v>142</v>
      </c>
      <c r="L480" s="134" t="s">
        <v>142</v>
      </c>
      <c r="M480" s="136"/>
      <c r="N480" s="131"/>
    </row>
    <row r="481" hidden="1" outlineLevel="1">
      <c r="A481" s="113" t="s">
        <v>2321</v>
      </c>
      <c r="B481" s="309">
        <v>46233.0</v>
      </c>
      <c r="C481" s="118" t="str">
        <f t="shared" si="53"/>
        <v>Thu</v>
      </c>
      <c r="D481" s="128">
        <f t="shared" si="54"/>
        <v>1</v>
      </c>
      <c r="E481" s="131" t="s">
        <v>142</v>
      </c>
      <c r="F481" s="134" t="s">
        <v>142</v>
      </c>
      <c r="G481" s="134" t="s">
        <v>142</v>
      </c>
      <c r="H481" s="134" t="s">
        <v>142</v>
      </c>
      <c r="I481" s="134" t="s">
        <v>142</v>
      </c>
      <c r="J481" s="134" t="s">
        <v>142</v>
      </c>
      <c r="K481" s="134" t="s">
        <v>142</v>
      </c>
      <c r="L481" s="134" t="s">
        <v>142</v>
      </c>
      <c r="M481" s="136"/>
      <c r="N481" s="131"/>
    </row>
    <row r="482" hidden="1" outlineLevel="1">
      <c r="A482" s="113" t="s">
        <v>2325</v>
      </c>
      <c r="B482" s="309">
        <v>46234.0</v>
      </c>
      <c r="C482" s="118" t="str">
        <f t="shared" si="53"/>
        <v>Fri</v>
      </c>
      <c r="D482" s="143">
        <f t="shared" si="54"/>
        <v>1</v>
      </c>
      <c r="E482" s="144" t="s">
        <v>142</v>
      </c>
      <c r="F482" s="134" t="s">
        <v>142</v>
      </c>
      <c r="G482" s="134" t="s">
        <v>142</v>
      </c>
      <c r="H482" s="134" t="s">
        <v>142</v>
      </c>
      <c r="I482" s="134" t="s">
        <v>142</v>
      </c>
      <c r="J482" s="134" t="s">
        <v>142</v>
      </c>
      <c r="K482" s="134" t="s">
        <v>142</v>
      </c>
      <c r="L482" s="134" t="s">
        <v>142</v>
      </c>
      <c r="M482" s="136"/>
      <c r="N482" s="137"/>
    </row>
    <row r="483" hidden="1" outlineLevel="1">
      <c r="A483" s="113" t="s">
        <v>2327</v>
      </c>
      <c r="B483" s="309">
        <v>46234.0</v>
      </c>
      <c r="C483" s="118" t="str">
        <f t="shared" si="53"/>
        <v>Fri</v>
      </c>
      <c r="D483" s="128">
        <f t="shared" si="54"/>
        <v>1</v>
      </c>
      <c r="E483" s="131" t="s">
        <v>142</v>
      </c>
      <c r="F483" s="134" t="s">
        <v>142</v>
      </c>
      <c r="G483" s="134" t="s">
        <v>142</v>
      </c>
      <c r="H483" s="134" t="s">
        <v>142</v>
      </c>
      <c r="I483" s="134" t="s">
        <v>142</v>
      </c>
      <c r="J483" s="134" t="s">
        <v>142</v>
      </c>
      <c r="K483" s="134" t="s">
        <v>142</v>
      </c>
      <c r="L483" s="134" t="s">
        <v>142</v>
      </c>
      <c r="M483" s="136"/>
      <c r="N483" s="137"/>
    </row>
    <row r="484" ht="15.0" hidden="1" customHeight="1" outlineLevel="1">
      <c r="A484" s="113" t="s">
        <v>2330</v>
      </c>
      <c r="B484" s="309">
        <v>46234.0</v>
      </c>
      <c r="C484" s="118" t="str">
        <f t="shared" si="53"/>
        <v>Fri</v>
      </c>
      <c r="D484" s="143">
        <f t="shared" si="54"/>
        <v>1</v>
      </c>
      <c r="E484" s="144" t="s">
        <v>142</v>
      </c>
      <c r="F484" s="134" t="s">
        <v>142</v>
      </c>
      <c r="G484" s="134" t="s">
        <v>142</v>
      </c>
      <c r="H484" s="134" t="s">
        <v>142</v>
      </c>
      <c r="I484" s="134" t="s">
        <v>142</v>
      </c>
      <c r="J484" s="134" t="s">
        <v>142</v>
      </c>
      <c r="K484" s="134" t="s">
        <v>142</v>
      </c>
      <c r="L484" s="134" t="s">
        <v>142</v>
      </c>
      <c r="M484" s="136"/>
      <c r="N484" s="131"/>
    </row>
    <row r="485" hidden="1" outlineLevel="1">
      <c r="B485" s="215"/>
      <c r="C485" s="216" t="s">
        <v>199</v>
      </c>
      <c r="D485" s="217">
        <f>AVERAGE(D470:D484)</f>
        <v>1</v>
      </c>
      <c r="E485" s="472"/>
      <c r="L485" s="216" t="s">
        <v>199</v>
      </c>
      <c r="M485" s="217">
        <f>SUM(M470:M484)/75*0.1</f>
        <v>0</v>
      </c>
    </row>
    <row r="486" hidden="1" collapsed="1">
      <c r="A486" s="85" t="s">
        <v>315</v>
      </c>
      <c r="B486" s="86"/>
      <c r="C486" s="86"/>
      <c r="D486" s="359"/>
      <c r="E486" s="89"/>
      <c r="F486" s="89"/>
      <c r="G486" s="91"/>
      <c r="H486" s="91"/>
      <c r="I486" s="91"/>
      <c r="J486" s="91"/>
      <c r="K486" s="91"/>
      <c r="L486" s="91"/>
      <c r="M486" s="93"/>
      <c r="N486" s="95"/>
    </row>
    <row r="487" hidden="1" outlineLevel="1">
      <c r="A487" s="96" t="s">
        <v>89</v>
      </c>
      <c r="B487" s="98" t="s">
        <v>90</v>
      </c>
      <c r="C487" s="98" t="s">
        <v>91</v>
      </c>
      <c r="D487" s="101" t="s">
        <v>93</v>
      </c>
      <c r="E487" s="102" t="s">
        <v>94</v>
      </c>
      <c r="F487" s="102" t="s">
        <v>95</v>
      </c>
      <c r="G487" s="105" t="s">
        <v>96</v>
      </c>
      <c r="H487" s="107" t="s">
        <v>97</v>
      </c>
      <c r="I487" s="107" t="s">
        <v>104</v>
      </c>
      <c r="J487" s="105" t="s">
        <v>106</v>
      </c>
      <c r="K487" s="107" t="s">
        <v>109</v>
      </c>
      <c r="L487" s="105" t="s">
        <v>111</v>
      </c>
      <c r="M487" s="98" t="s">
        <v>114</v>
      </c>
      <c r="N487" s="101" t="s">
        <v>116</v>
      </c>
    </row>
    <row r="488" hidden="1" outlineLevel="1">
      <c r="A488" s="353" t="s">
        <v>2334</v>
      </c>
      <c r="B488" s="309">
        <v>46237.0</v>
      </c>
      <c r="C488" s="118" t="str">
        <f t="shared" ref="C488:C502" si="55">IF(B488="", "", TEXT(B488, "ddd"))</f>
        <v>Mon</v>
      </c>
      <c r="D488" s="143">
        <f t="shared" ref="D488:D502" si="56">IF(E488="Yes",0.05,0)
+IF(F488="Yes",0.1,0)
+IF(G488="Yes",0.15,0)
+IF(H488="Yes",0.15,0)
+IF(I488="Yes",0.05,0)
+IF(J488="Yes",0.05,0)
+IF(K488="Yes",0.15,0)
+IF(L488="Yes",0.3,0)
</f>
        <v>1</v>
      </c>
      <c r="E488" s="144" t="s">
        <v>142</v>
      </c>
      <c r="F488" s="134" t="s">
        <v>142</v>
      </c>
      <c r="G488" s="134" t="s">
        <v>142</v>
      </c>
      <c r="H488" s="134" t="s">
        <v>142</v>
      </c>
      <c r="I488" s="134" t="s">
        <v>142</v>
      </c>
      <c r="J488" s="134" t="s">
        <v>142</v>
      </c>
      <c r="K488" s="134" t="s">
        <v>142</v>
      </c>
      <c r="L488" s="134" t="s">
        <v>142</v>
      </c>
      <c r="M488" s="136"/>
      <c r="N488" s="137"/>
    </row>
    <row r="489" hidden="1" outlineLevel="1">
      <c r="A489" s="113" t="s">
        <v>2336</v>
      </c>
      <c r="B489" s="309">
        <v>46237.0</v>
      </c>
      <c r="C489" s="118" t="str">
        <f t="shared" si="55"/>
        <v>Mon</v>
      </c>
      <c r="D489" s="128">
        <f t="shared" si="56"/>
        <v>1</v>
      </c>
      <c r="E489" s="131" t="s">
        <v>142</v>
      </c>
      <c r="F489" s="134" t="s">
        <v>142</v>
      </c>
      <c r="G489" s="134" t="s">
        <v>142</v>
      </c>
      <c r="H489" s="134" t="s">
        <v>142</v>
      </c>
      <c r="I489" s="134" t="s">
        <v>142</v>
      </c>
      <c r="J489" s="134" t="s">
        <v>142</v>
      </c>
      <c r="K489" s="134" t="s">
        <v>142</v>
      </c>
      <c r="L489" s="134" t="s">
        <v>142</v>
      </c>
      <c r="M489" s="136"/>
      <c r="N489" s="131"/>
    </row>
    <row r="490" hidden="1" outlineLevel="1">
      <c r="A490" s="113" t="s">
        <v>2341</v>
      </c>
      <c r="B490" s="309">
        <v>46237.0</v>
      </c>
      <c r="C490" s="118" t="str">
        <f t="shared" si="55"/>
        <v>Mon</v>
      </c>
      <c r="D490" s="143">
        <f t="shared" si="56"/>
        <v>1</v>
      </c>
      <c r="E490" s="144" t="s">
        <v>142</v>
      </c>
      <c r="F490" s="134" t="s">
        <v>142</v>
      </c>
      <c r="G490" s="134" t="s">
        <v>142</v>
      </c>
      <c r="H490" s="134" t="s">
        <v>142</v>
      </c>
      <c r="I490" s="134" t="s">
        <v>142</v>
      </c>
      <c r="J490" s="134" t="s">
        <v>142</v>
      </c>
      <c r="K490" s="134" t="s">
        <v>142</v>
      </c>
      <c r="L490" s="134" t="s">
        <v>142</v>
      </c>
      <c r="M490" s="136"/>
      <c r="N490" s="131"/>
    </row>
    <row r="491" hidden="1" outlineLevel="1">
      <c r="A491" s="113" t="s">
        <v>2349</v>
      </c>
      <c r="B491" s="309">
        <v>46239.0</v>
      </c>
      <c r="C491" s="118" t="str">
        <f t="shared" si="55"/>
        <v>Wed</v>
      </c>
      <c r="D491" s="128">
        <f t="shared" si="56"/>
        <v>1</v>
      </c>
      <c r="E491" s="131" t="s">
        <v>142</v>
      </c>
      <c r="F491" s="134" t="s">
        <v>142</v>
      </c>
      <c r="G491" s="134" t="s">
        <v>142</v>
      </c>
      <c r="H491" s="134" t="s">
        <v>142</v>
      </c>
      <c r="I491" s="134" t="s">
        <v>142</v>
      </c>
      <c r="J491" s="134" t="s">
        <v>142</v>
      </c>
      <c r="K491" s="134" t="s">
        <v>142</v>
      </c>
      <c r="L491" s="134" t="s">
        <v>142</v>
      </c>
      <c r="M491" s="136"/>
      <c r="N491" s="131"/>
    </row>
    <row r="492" hidden="1" outlineLevel="1">
      <c r="A492" s="113" t="s">
        <v>2352</v>
      </c>
      <c r="B492" s="309">
        <v>46239.0</v>
      </c>
      <c r="C492" s="118" t="str">
        <f t="shared" si="55"/>
        <v>Wed</v>
      </c>
      <c r="D492" s="143">
        <f t="shared" si="56"/>
        <v>1</v>
      </c>
      <c r="E492" s="144" t="s">
        <v>142</v>
      </c>
      <c r="F492" s="134" t="s">
        <v>142</v>
      </c>
      <c r="G492" s="134" t="s">
        <v>142</v>
      </c>
      <c r="H492" s="134" t="s">
        <v>142</v>
      </c>
      <c r="I492" s="134" t="s">
        <v>142</v>
      </c>
      <c r="J492" s="134" t="s">
        <v>142</v>
      </c>
      <c r="K492" s="134" t="s">
        <v>142</v>
      </c>
      <c r="L492" s="134" t="s">
        <v>142</v>
      </c>
      <c r="M492" s="136"/>
      <c r="N492" s="131"/>
    </row>
    <row r="493" hidden="1" outlineLevel="1">
      <c r="A493" s="113" t="s">
        <v>2354</v>
      </c>
      <c r="B493" s="309">
        <v>46239.0</v>
      </c>
      <c r="C493" s="118" t="str">
        <f t="shared" si="55"/>
        <v>Wed</v>
      </c>
      <c r="D493" s="128">
        <f t="shared" si="56"/>
        <v>1</v>
      </c>
      <c r="E493" s="131" t="s">
        <v>142</v>
      </c>
      <c r="F493" s="134" t="s">
        <v>142</v>
      </c>
      <c r="G493" s="134" t="s">
        <v>142</v>
      </c>
      <c r="H493" s="134" t="s">
        <v>142</v>
      </c>
      <c r="I493" s="134" t="s">
        <v>142</v>
      </c>
      <c r="J493" s="134" t="s">
        <v>142</v>
      </c>
      <c r="K493" s="134" t="s">
        <v>142</v>
      </c>
      <c r="L493" s="134" t="s">
        <v>142</v>
      </c>
      <c r="M493" s="136"/>
      <c r="N493" s="131"/>
    </row>
    <row r="494" hidden="1" outlineLevel="1">
      <c r="A494" s="113" t="s">
        <v>2355</v>
      </c>
      <c r="B494" s="309">
        <v>46240.0</v>
      </c>
      <c r="C494" s="118" t="str">
        <f t="shared" si="55"/>
        <v>Thu</v>
      </c>
      <c r="D494" s="143">
        <f t="shared" si="56"/>
        <v>1</v>
      </c>
      <c r="E494" s="144" t="s">
        <v>142</v>
      </c>
      <c r="F494" s="134" t="s">
        <v>142</v>
      </c>
      <c r="G494" s="134" t="s">
        <v>142</v>
      </c>
      <c r="H494" s="134" t="s">
        <v>142</v>
      </c>
      <c r="I494" s="134" t="s">
        <v>142</v>
      </c>
      <c r="J494" s="134" t="s">
        <v>142</v>
      </c>
      <c r="K494" s="134" t="s">
        <v>142</v>
      </c>
      <c r="L494" s="134" t="s">
        <v>142</v>
      </c>
      <c r="M494" s="136"/>
      <c r="N494" s="137"/>
    </row>
    <row r="495" hidden="1" outlineLevel="1">
      <c r="A495" s="113" t="s">
        <v>2357</v>
      </c>
      <c r="B495" s="309">
        <v>46240.0</v>
      </c>
      <c r="C495" s="118" t="str">
        <f t="shared" si="55"/>
        <v>Thu</v>
      </c>
      <c r="D495" s="128">
        <f t="shared" si="56"/>
        <v>1</v>
      </c>
      <c r="E495" s="131" t="s">
        <v>142</v>
      </c>
      <c r="F495" s="134" t="s">
        <v>142</v>
      </c>
      <c r="G495" s="134" t="s">
        <v>142</v>
      </c>
      <c r="H495" s="134" t="s">
        <v>142</v>
      </c>
      <c r="I495" s="134" t="s">
        <v>142</v>
      </c>
      <c r="J495" s="134" t="s">
        <v>142</v>
      </c>
      <c r="K495" s="134" t="s">
        <v>142</v>
      </c>
      <c r="L495" s="134" t="s">
        <v>142</v>
      </c>
      <c r="M495" s="136"/>
      <c r="N495" s="131"/>
    </row>
    <row r="496" hidden="1" outlineLevel="1">
      <c r="A496" s="113" t="s">
        <v>2358</v>
      </c>
      <c r="B496" s="309">
        <v>46240.0</v>
      </c>
      <c r="C496" s="118" t="str">
        <f t="shared" si="55"/>
        <v>Thu</v>
      </c>
      <c r="D496" s="143">
        <f t="shared" si="56"/>
        <v>1</v>
      </c>
      <c r="E496" s="144" t="s">
        <v>142</v>
      </c>
      <c r="F496" s="134" t="s">
        <v>142</v>
      </c>
      <c r="G496" s="134" t="s">
        <v>142</v>
      </c>
      <c r="H496" s="134" t="s">
        <v>142</v>
      </c>
      <c r="I496" s="134" t="s">
        <v>142</v>
      </c>
      <c r="J496" s="134" t="s">
        <v>142</v>
      </c>
      <c r="K496" s="134" t="s">
        <v>142</v>
      </c>
      <c r="L496" s="134" t="s">
        <v>142</v>
      </c>
      <c r="M496" s="136"/>
      <c r="N496" s="137"/>
    </row>
    <row r="497" hidden="1" outlineLevel="1">
      <c r="A497" s="113" t="s">
        <v>2359</v>
      </c>
      <c r="B497" s="309">
        <v>46241.0</v>
      </c>
      <c r="C497" s="118" t="str">
        <f t="shared" si="55"/>
        <v>Fri</v>
      </c>
      <c r="D497" s="128">
        <f t="shared" si="56"/>
        <v>1</v>
      </c>
      <c r="E497" s="131" t="s">
        <v>142</v>
      </c>
      <c r="F497" s="134" t="s">
        <v>142</v>
      </c>
      <c r="G497" s="134" t="s">
        <v>142</v>
      </c>
      <c r="H497" s="134" t="s">
        <v>142</v>
      </c>
      <c r="I497" s="134" t="s">
        <v>142</v>
      </c>
      <c r="J497" s="134" t="s">
        <v>142</v>
      </c>
      <c r="K497" s="134" t="s">
        <v>142</v>
      </c>
      <c r="L497" s="134" t="s">
        <v>142</v>
      </c>
      <c r="M497" s="136"/>
      <c r="N497" s="131"/>
    </row>
    <row r="498" hidden="1" outlineLevel="1">
      <c r="A498" s="113" t="s">
        <v>2361</v>
      </c>
      <c r="B498" s="309">
        <v>46241.0</v>
      </c>
      <c r="C498" s="118" t="str">
        <f t="shared" si="55"/>
        <v>Fri</v>
      </c>
      <c r="D498" s="143">
        <f t="shared" si="56"/>
        <v>1</v>
      </c>
      <c r="E498" s="144" t="s">
        <v>142</v>
      </c>
      <c r="F498" s="134" t="s">
        <v>142</v>
      </c>
      <c r="G498" s="134" t="s">
        <v>142</v>
      </c>
      <c r="H498" s="134" t="s">
        <v>142</v>
      </c>
      <c r="I498" s="134" t="s">
        <v>142</v>
      </c>
      <c r="J498" s="134" t="s">
        <v>142</v>
      </c>
      <c r="K498" s="134" t="s">
        <v>142</v>
      </c>
      <c r="L498" s="134" t="s">
        <v>142</v>
      </c>
      <c r="M498" s="136"/>
      <c r="N498" s="131"/>
    </row>
    <row r="499" hidden="1" outlineLevel="1">
      <c r="A499" s="113" t="s">
        <v>2364</v>
      </c>
      <c r="B499" s="309">
        <v>46241.0</v>
      </c>
      <c r="C499" s="118" t="str">
        <f t="shared" si="55"/>
        <v>Fri</v>
      </c>
      <c r="D499" s="128">
        <f t="shared" si="56"/>
        <v>1</v>
      </c>
      <c r="E499" s="131" t="s">
        <v>142</v>
      </c>
      <c r="F499" s="134" t="s">
        <v>142</v>
      </c>
      <c r="G499" s="134" t="s">
        <v>142</v>
      </c>
      <c r="H499" s="134" t="s">
        <v>142</v>
      </c>
      <c r="I499" s="134" t="s">
        <v>142</v>
      </c>
      <c r="J499" s="134" t="s">
        <v>142</v>
      </c>
      <c r="K499" s="134" t="s">
        <v>142</v>
      </c>
      <c r="L499" s="134" t="s">
        <v>142</v>
      </c>
      <c r="M499" s="136"/>
      <c r="N499" s="131"/>
    </row>
    <row r="500" hidden="1" outlineLevel="1">
      <c r="A500" s="113" t="s">
        <v>2366</v>
      </c>
      <c r="B500" s="309">
        <v>46242.0</v>
      </c>
      <c r="C500" s="118" t="str">
        <f t="shared" si="55"/>
        <v>Sat</v>
      </c>
      <c r="D500" s="143">
        <f t="shared" si="56"/>
        <v>1</v>
      </c>
      <c r="E500" s="144" t="s">
        <v>142</v>
      </c>
      <c r="F500" s="134" t="s">
        <v>142</v>
      </c>
      <c r="G500" s="134" t="s">
        <v>142</v>
      </c>
      <c r="H500" s="134" t="s">
        <v>142</v>
      </c>
      <c r="I500" s="134" t="s">
        <v>142</v>
      </c>
      <c r="J500" s="134" t="s">
        <v>142</v>
      </c>
      <c r="K500" s="134" t="s">
        <v>142</v>
      </c>
      <c r="L500" s="134" t="s">
        <v>142</v>
      </c>
      <c r="M500" s="136"/>
      <c r="N500" s="137"/>
    </row>
    <row r="501" hidden="1" outlineLevel="1">
      <c r="A501" s="113" t="s">
        <v>2368</v>
      </c>
      <c r="B501" s="309">
        <v>46242.0</v>
      </c>
      <c r="C501" s="118" t="str">
        <f t="shared" si="55"/>
        <v>Sat</v>
      </c>
      <c r="D501" s="128">
        <f t="shared" si="56"/>
        <v>1</v>
      </c>
      <c r="E501" s="131" t="s">
        <v>142</v>
      </c>
      <c r="F501" s="134" t="s">
        <v>142</v>
      </c>
      <c r="G501" s="134" t="s">
        <v>142</v>
      </c>
      <c r="H501" s="134" t="s">
        <v>142</v>
      </c>
      <c r="I501" s="134" t="s">
        <v>142</v>
      </c>
      <c r="J501" s="134" t="s">
        <v>142</v>
      </c>
      <c r="K501" s="134" t="s">
        <v>142</v>
      </c>
      <c r="L501" s="134" t="s">
        <v>142</v>
      </c>
      <c r="M501" s="136"/>
      <c r="N501" s="137"/>
    </row>
    <row r="502" ht="15.0" hidden="1" customHeight="1" outlineLevel="1">
      <c r="A502" s="113" t="s">
        <v>2369</v>
      </c>
      <c r="B502" s="309">
        <v>46242.0</v>
      </c>
      <c r="C502" s="118" t="str">
        <f t="shared" si="55"/>
        <v>Sat</v>
      </c>
      <c r="D502" s="143">
        <f t="shared" si="56"/>
        <v>1</v>
      </c>
      <c r="E502" s="144" t="s">
        <v>142</v>
      </c>
      <c r="F502" s="134" t="s">
        <v>142</v>
      </c>
      <c r="G502" s="134" t="s">
        <v>142</v>
      </c>
      <c r="H502" s="134" t="s">
        <v>142</v>
      </c>
      <c r="I502" s="134" t="s">
        <v>142</v>
      </c>
      <c r="J502" s="134" t="s">
        <v>142</v>
      </c>
      <c r="K502" s="134" t="s">
        <v>142</v>
      </c>
      <c r="L502" s="134" t="s">
        <v>142</v>
      </c>
      <c r="M502" s="136"/>
      <c r="N502" s="131"/>
    </row>
    <row r="503" hidden="1" outlineLevel="1">
      <c r="B503" s="215"/>
      <c r="C503" s="216" t="s">
        <v>199</v>
      </c>
      <c r="D503" s="217">
        <f>AVERAGE(D488:D502)</f>
        <v>1</v>
      </c>
      <c r="E503" s="472"/>
      <c r="L503" s="216" t="s">
        <v>199</v>
      </c>
      <c r="M503" s="217">
        <f>SUM(M488:M502)/75*0.1</f>
        <v>0</v>
      </c>
    </row>
    <row r="504" collapsed="1">
      <c r="A504" s="85" t="s">
        <v>347</v>
      </c>
      <c r="B504" s="86"/>
      <c r="C504" s="86"/>
      <c r="D504" s="359"/>
      <c r="E504" s="89"/>
      <c r="F504" s="89"/>
      <c r="G504" s="91"/>
      <c r="H504" s="91"/>
      <c r="I504" s="91"/>
      <c r="J504" s="91"/>
      <c r="K504" s="91"/>
      <c r="L504" s="91"/>
      <c r="M504" s="93"/>
      <c r="N504" s="95"/>
    </row>
    <row r="505" hidden="1" outlineLevel="1">
      <c r="A505" s="96" t="s">
        <v>89</v>
      </c>
      <c r="B505" s="98" t="s">
        <v>90</v>
      </c>
      <c r="C505" s="98" t="s">
        <v>91</v>
      </c>
      <c r="D505" s="101" t="s">
        <v>93</v>
      </c>
      <c r="E505" s="102" t="s">
        <v>94</v>
      </c>
      <c r="F505" s="102" t="s">
        <v>95</v>
      </c>
      <c r="G505" s="105" t="s">
        <v>96</v>
      </c>
      <c r="H505" s="107" t="s">
        <v>97</v>
      </c>
      <c r="I505" s="107" t="s">
        <v>104</v>
      </c>
      <c r="J505" s="105" t="s">
        <v>106</v>
      </c>
      <c r="K505" s="107" t="s">
        <v>109</v>
      </c>
      <c r="L505" s="105" t="s">
        <v>111</v>
      </c>
      <c r="M505" s="98" t="s">
        <v>114</v>
      </c>
      <c r="N505" s="101" t="s">
        <v>116</v>
      </c>
    </row>
    <row r="506" hidden="1" outlineLevel="1">
      <c r="A506" s="353" t="s">
        <v>2373</v>
      </c>
      <c r="B506" s="309">
        <v>46244.0</v>
      </c>
      <c r="C506" s="118" t="str">
        <f t="shared" ref="C506:C520" si="57">IF(B506="", "", TEXT(B506, "ddd"))</f>
        <v>Mon</v>
      </c>
      <c r="D506" s="143">
        <f t="shared" ref="D506:D520" si="58">IF(E506="Yes",0.05,0)
+IF(F506="Yes",0.1,0)
+IF(G506="Yes",0.15,0)
+IF(H506="Yes",0.15,0)
+IF(I506="Yes",0.05,0)
+IF(J506="Yes",0.05,0)
+IF(K506="Yes",0.15,0)
+IF(L506="Yes",0.3,0)
</f>
        <v>1</v>
      </c>
      <c r="E506" s="144" t="s">
        <v>142</v>
      </c>
      <c r="F506" s="134" t="s">
        <v>142</v>
      </c>
      <c r="G506" s="134" t="s">
        <v>142</v>
      </c>
      <c r="H506" s="134" t="s">
        <v>142</v>
      </c>
      <c r="I506" s="134" t="s">
        <v>142</v>
      </c>
      <c r="J506" s="134" t="s">
        <v>142</v>
      </c>
      <c r="K506" s="134" t="s">
        <v>142</v>
      </c>
      <c r="L506" s="134" t="s">
        <v>142</v>
      </c>
      <c r="M506" s="136"/>
      <c r="N506" s="137"/>
    </row>
    <row r="507" hidden="1" outlineLevel="1">
      <c r="A507" s="353" t="s">
        <v>2376</v>
      </c>
      <c r="B507" s="309">
        <v>46244.0</v>
      </c>
      <c r="C507" s="118" t="str">
        <f t="shared" si="57"/>
        <v>Mon</v>
      </c>
      <c r="D507" s="128">
        <f t="shared" si="58"/>
        <v>1</v>
      </c>
      <c r="E507" s="131" t="s">
        <v>142</v>
      </c>
      <c r="F507" s="134" t="s">
        <v>142</v>
      </c>
      <c r="G507" s="134" t="s">
        <v>142</v>
      </c>
      <c r="H507" s="134" t="s">
        <v>142</v>
      </c>
      <c r="I507" s="134" t="s">
        <v>142</v>
      </c>
      <c r="J507" s="134" t="s">
        <v>142</v>
      </c>
      <c r="K507" s="134" t="s">
        <v>142</v>
      </c>
      <c r="L507" s="134" t="s">
        <v>142</v>
      </c>
      <c r="M507" s="136"/>
      <c r="N507" s="131"/>
    </row>
    <row r="508" hidden="1" outlineLevel="1">
      <c r="A508" s="353" t="s">
        <v>2379</v>
      </c>
      <c r="B508" s="309">
        <v>46244.0</v>
      </c>
      <c r="C508" s="118" t="str">
        <f t="shared" si="57"/>
        <v>Mon</v>
      </c>
      <c r="D508" s="143">
        <f t="shared" si="58"/>
        <v>1</v>
      </c>
      <c r="E508" s="144" t="s">
        <v>142</v>
      </c>
      <c r="F508" s="134" t="s">
        <v>142</v>
      </c>
      <c r="G508" s="134" t="s">
        <v>142</v>
      </c>
      <c r="H508" s="134" t="s">
        <v>142</v>
      </c>
      <c r="I508" s="134" t="s">
        <v>142</v>
      </c>
      <c r="J508" s="134" t="s">
        <v>142</v>
      </c>
      <c r="K508" s="134" t="s">
        <v>142</v>
      </c>
      <c r="L508" s="134" t="s">
        <v>142</v>
      </c>
      <c r="M508" s="136"/>
      <c r="N508" s="131"/>
    </row>
    <row r="509" hidden="1" outlineLevel="1">
      <c r="A509" s="353" t="s">
        <v>2381</v>
      </c>
      <c r="B509" s="309">
        <v>46245.0</v>
      </c>
      <c r="C509" s="118" t="str">
        <f t="shared" si="57"/>
        <v>Tue</v>
      </c>
      <c r="D509" s="128">
        <f t="shared" si="58"/>
        <v>1</v>
      </c>
      <c r="E509" s="131" t="s">
        <v>142</v>
      </c>
      <c r="F509" s="134" t="s">
        <v>142</v>
      </c>
      <c r="G509" s="134" t="s">
        <v>142</v>
      </c>
      <c r="H509" s="134" t="s">
        <v>142</v>
      </c>
      <c r="I509" s="134" t="s">
        <v>142</v>
      </c>
      <c r="J509" s="134" t="s">
        <v>142</v>
      </c>
      <c r="K509" s="134" t="s">
        <v>142</v>
      </c>
      <c r="L509" s="134" t="s">
        <v>142</v>
      </c>
      <c r="M509" s="136"/>
      <c r="N509" s="131"/>
    </row>
    <row r="510" hidden="1" outlineLevel="1">
      <c r="A510" s="353" t="s">
        <v>2383</v>
      </c>
      <c r="B510" s="309">
        <v>46245.0</v>
      </c>
      <c r="C510" s="118" t="str">
        <f t="shared" si="57"/>
        <v>Tue</v>
      </c>
      <c r="D510" s="143">
        <f t="shared" si="58"/>
        <v>1</v>
      </c>
      <c r="E510" s="144" t="s">
        <v>142</v>
      </c>
      <c r="F510" s="134" t="s">
        <v>142</v>
      </c>
      <c r="G510" s="134" t="s">
        <v>142</v>
      </c>
      <c r="H510" s="134" t="s">
        <v>142</v>
      </c>
      <c r="I510" s="134" t="s">
        <v>142</v>
      </c>
      <c r="J510" s="134" t="s">
        <v>142</v>
      </c>
      <c r="K510" s="134" t="s">
        <v>142</v>
      </c>
      <c r="L510" s="134" t="s">
        <v>142</v>
      </c>
      <c r="M510" s="136"/>
      <c r="N510" s="131"/>
    </row>
    <row r="511" hidden="1" outlineLevel="1">
      <c r="A511" s="353" t="s">
        <v>2384</v>
      </c>
      <c r="B511" s="309">
        <v>46245.0</v>
      </c>
      <c r="C511" s="118" t="str">
        <f t="shared" si="57"/>
        <v>Tue</v>
      </c>
      <c r="D511" s="128">
        <f t="shared" si="58"/>
        <v>1</v>
      </c>
      <c r="E511" s="131" t="s">
        <v>142</v>
      </c>
      <c r="F511" s="134" t="s">
        <v>142</v>
      </c>
      <c r="G511" s="134" t="s">
        <v>142</v>
      </c>
      <c r="H511" s="134" t="s">
        <v>142</v>
      </c>
      <c r="I511" s="134" t="s">
        <v>142</v>
      </c>
      <c r="J511" s="134" t="s">
        <v>142</v>
      </c>
      <c r="K511" s="134" t="s">
        <v>142</v>
      </c>
      <c r="L511" s="134" t="s">
        <v>142</v>
      </c>
      <c r="M511" s="136"/>
      <c r="N511" s="131"/>
    </row>
    <row r="512" hidden="1" outlineLevel="1">
      <c r="A512" s="353" t="s">
        <v>2386</v>
      </c>
      <c r="B512" s="309">
        <v>46246.0</v>
      </c>
      <c r="C512" s="118" t="str">
        <f t="shared" si="57"/>
        <v>Wed</v>
      </c>
      <c r="D512" s="143">
        <f t="shared" si="58"/>
        <v>1</v>
      </c>
      <c r="E512" s="144" t="s">
        <v>142</v>
      </c>
      <c r="F512" s="134" t="s">
        <v>142</v>
      </c>
      <c r="G512" s="134" t="s">
        <v>142</v>
      </c>
      <c r="H512" s="134" t="s">
        <v>142</v>
      </c>
      <c r="I512" s="134" t="s">
        <v>142</v>
      </c>
      <c r="J512" s="134" t="s">
        <v>142</v>
      </c>
      <c r="K512" s="134" t="s">
        <v>142</v>
      </c>
      <c r="L512" s="134" t="s">
        <v>142</v>
      </c>
      <c r="M512" s="136"/>
      <c r="N512" s="137"/>
    </row>
    <row r="513" hidden="1" outlineLevel="1">
      <c r="A513" s="353" t="s">
        <v>2387</v>
      </c>
      <c r="B513" s="309">
        <v>46246.0</v>
      </c>
      <c r="C513" s="118" t="str">
        <f t="shared" si="57"/>
        <v>Wed</v>
      </c>
      <c r="D513" s="128">
        <f t="shared" si="58"/>
        <v>1</v>
      </c>
      <c r="E513" s="131" t="s">
        <v>142</v>
      </c>
      <c r="F513" s="134" t="s">
        <v>142</v>
      </c>
      <c r="G513" s="134" t="s">
        <v>142</v>
      </c>
      <c r="H513" s="134" t="s">
        <v>142</v>
      </c>
      <c r="I513" s="134" t="s">
        <v>142</v>
      </c>
      <c r="J513" s="134" t="s">
        <v>142</v>
      </c>
      <c r="K513" s="134" t="s">
        <v>142</v>
      </c>
      <c r="L513" s="134" t="s">
        <v>142</v>
      </c>
      <c r="M513" s="136"/>
      <c r="N513" s="131"/>
    </row>
    <row r="514" hidden="1" outlineLevel="1">
      <c r="A514" s="353" t="s">
        <v>2389</v>
      </c>
      <c r="B514" s="309">
        <v>46246.0</v>
      </c>
      <c r="C514" s="118" t="str">
        <f t="shared" si="57"/>
        <v>Wed</v>
      </c>
      <c r="D514" s="143">
        <f t="shared" si="58"/>
        <v>1</v>
      </c>
      <c r="E514" s="144" t="s">
        <v>142</v>
      </c>
      <c r="F514" s="134" t="s">
        <v>142</v>
      </c>
      <c r="G514" s="134" t="s">
        <v>142</v>
      </c>
      <c r="H514" s="134" t="s">
        <v>142</v>
      </c>
      <c r="I514" s="134" t="s">
        <v>142</v>
      </c>
      <c r="J514" s="134" t="s">
        <v>142</v>
      </c>
      <c r="K514" s="134" t="s">
        <v>142</v>
      </c>
      <c r="L514" s="134" t="s">
        <v>142</v>
      </c>
      <c r="M514" s="136"/>
      <c r="N514" s="131"/>
    </row>
    <row r="515" hidden="1" outlineLevel="1">
      <c r="A515" s="422" t="s">
        <v>944</v>
      </c>
      <c r="B515" s="309">
        <v>46247.0</v>
      </c>
      <c r="C515" s="118" t="str">
        <f t="shared" si="57"/>
        <v>Thu</v>
      </c>
      <c r="D515" s="128">
        <f t="shared" si="58"/>
        <v>0</v>
      </c>
      <c r="E515" s="131"/>
      <c r="F515" s="134"/>
      <c r="G515" s="134"/>
      <c r="H515" s="134"/>
      <c r="I515" s="134"/>
      <c r="J515" s="134"/>
      <c r="K515" s="134"/>
      <c r="L515" s="134"/>
      <c r="M515" s="136"/>
      <c r="N515" s="131"/>
    </row>
    <row r="516" hidden="1" outlineLevel="1">
      <c r="A516" s="422" t="s">
        <v>944</v>
      </c>
      <c r="B516" s="309">
        <v>46247.0</v>
      </c>
      <c r="C516" s="118" t="str">
        <f t="shared" si="57"/>
        <v>Thu</v>
      </c>
      <c r="D516" s="143">
        <f t="shared" si="58"/>
        <v>0</v>
      </c>
      <c r="E516" s="144"/>
      <c r="F516" s="134"/>
      <c r="G516" s="134"/>
      <c r="H516" s="134"/>
      <c r="I516" s="134"/>
      <c r="J516" s="134"/>
      <c r="K516" s="134"/>
      <c r="L516" s="134"/>
      <c r="M516" s="136"/>
      <c r="N516" s="131"/>
    </row>
    <row r="517" hidden="1" outlineLevel="1">
      <c r="A517" s="422" t="s">
        <v>944</v>
      </c>
      <c r="B517" s="309">
        <v>46247.0</v>
      </c>
      <c r="C517" s="118" t="str">
        <f t="shared" si="57"/>
        <v>Thu</v>
      </c>
      <c r="D517" s="128">
        <f t="shared" si="58"/>
        <v>0</v>
      </c>
      <c r="E517" s="131"/>
      <c r="F517" s="134"/>
      <c r="G517" s="134"/>
      <c r="H517" s="134"/>
      <c r="I517" s="134"/>
      <c r="J517" s="134"/>
      <c r="K517" s="134"/>
      <c r="L517" s="134"/>
      <c r="M517" s="136"/>
      <c r="N517" s="131"/>
    </row>
    <row r="518" hidden="1" outlineLevel="1">
      <c r="A518" s="422" t="s">
        <v>197</v>
      </c>
      <c r="B518" s="309">
        <v>46248.0</v>
      </c>
      <c r="C518" s="118" t="str">
        <f t="shared" si="57"/>
        <v>Fri</v>
      </c>
      <c r="D518" s="143">
        <f t="shared" si="58"/>
        <v>1</v>
      </c>
      <c r="E518" s="144" t="s">
        <v>142</v>
      </c>
      <c r="F518" s="134" t="s">
        <v>142</v>
      </c>
      <c r="G518" s="134" t="s">
        <v>142</v>
      </c>
      <c r="H518" s="134" t="s">
        <v>142</v>
      </c>
      <c r="I518" s="134" t="s">
        <v>142</v>
      </c>
      <c r="J518" s="134" t="s">
        <v>142</v>
      </c>
      <c r="K518" s="134" t="s">
        <v>142</v>
      </c>
      <c r="L518" s="134" t="s">
        <v>142</v>
      </c>
      <c r="M518" s="136"/>
      <c r="N518" s="131"/>
    </row>
    <row r="519" hidden="1" outlineLevel="1">
      <c r="A519" s="422" t="s">
        <v>197</v>
      </c>
      <c r="B519" s="309">
        <v>46248.0</v>
      </c>
      <c r="C519" s="118" t="str">
        <f t="shared" si="57"/>
        <v>Fri</v>
      </c>
      <c r="D519" s="128">
        <f t="shared" si="58"/>
        <v>1</v>
      </c>
      <c r="E519" s="131" t="s">
        <v>142</v>
      </c>
      <c r="F519" s="134" t="s">
        <v>142</v>
      </c>
      <c r="G519" s="134" t="s">
        <v>142</v>
      </c>
      <c r="H519" s="134" t="s">
        <v>142</v>
      </c>
      <c r="I519" s="134" t="s">
        <v>142</v>
      </c>
      <c r="J519" s="134" t="s">
        <v>142</v>
      </c>
      <c r="K519" s="134" t="s">
        <v>142</v>
      </c>
      <c r="L519" s="134" t="s">
        <v>142</v>
      </c>
      <c r="M519" s="136"/>
      <c r="N519" s="131"/>
    </row>
    <row r="520" ht="15.0" hidden="1" customHeight="1" outlineLevel="1">
      <c r="A520" s="422" t="s">
        <v>197</v>
      </c>
      <c r="B520" s="309">
        <v>46248.0</v>
      </c>
      <c r="C520" s="118" t="str">
        <f t="shared" si="57"/>
        <v>Fri</v>
      </c>
      <c r="D520" s="143">
        <f t="shared" si="58"/>
        <v>1</v>
      </c>
      <c r="E520" s="144" t="s">
        <v>142</v>
      </c>
      <c r="F520" s="134" t="s">
        <v>142</v>
      </c>
      <c r="G520" s="134" t="s">
        <v>142</v>
      </c>
      <c r="H520" s="134" t="s">
        <v>142</v>
      </c>
      <c r="I520" s="134" t="s">
        <v>142</v>
      </c>
      <c r="J520" s="134" t="s">
        <v>142</v>
      </c>
      <c r="K520" s="134" t="s">
        <v>142</v>
      </c>
      <c r="L520" s="134" t="s">
        <v>142</v>
      </c>
      <c r="M520" s="136"/>
      <c r="N520" s="131"/>
    </row>
    <row r="521" hidden="1" outlineLevel="1">
      <c r="B521" s="215"/>
      <c r="C521" s="216" t="s">
        <v>199</v>
      </c>
      <c r="D521" s="217">
        <f>AVERAGE(D506:D520)</f>
        <v>0.8</v>
      </c>
      <c r="E521" s="472"/>
      <c r="L521" s="216" t="s">
        <v>199</v>
      </c>
      <c r="M521" s="217">
        <f>SUM(M506:M520)/75*0.1</f>
        <v>0</v>
      </c>
    </row>
    <row r="522" collapsed="1">
      <c r="A522" s="85" t="s">
        <v>368</v>
      </c>
      <c r="B522" s="86"/>
      <c r="C522" s="86"/>
      <c r="D522" s="359"/>
      <c r="E522" s="89"/>
      <c r="F522" s="89"/>
      <c r="G522" s="91"/>
      <c r="H522" s="91"/>
      <c r="I522" s="91"/>
      <c r="J522" s="91"/>
      <c r="K522" s="91"/>
      <c r="L522" s="91"/>
      <c r="M522" s="93"/>
      <c r="N522" s="95"/>
    </row>
    <row r="523" hidden="1" outlineLevel="1">
      <c r="A523" s="96" t="s">
        <v>89</v>
      </c>
      <c r="B523" s="98" t="s">
        <v>90</v>
      </c>
      <c r="C523" s="98" t="s">
        <v>91</v>
      </c>
      <c r="D523" s="101" t="s">
        <v>93</v>
      </c>
      <c r="E523" s="102" t="s">
        <v>94</v>
      </c>
      <c r="F523" s="102" t="s">
        <v>95</v>
      </c>
      <c r="G523" s="105" t="s">
        <v>96</v>
      </c>
      <c r="H523" s="107" t="s">
        <v>97</v>
      </c>
      <c r="I523" s="107" t="s">
        <v>104</v>
      </c>
      <c r="J523" s="105" t="s">
        <v>106</v>
      </c>
      <c r="K523" s="107" t="s">
        <v>109</v>
      </c>
      <c r="L523" s="105" t="s">
        <v>111</v>
      </c>
      <c r="M523" s="98" t="s">
        <v>114</v>
      </c>
      <c r="N523" s="101" t="s">
        <v>116</v>
      </c>
    </row>
    <row r="524" hidden="1" outlineLevel="1">
      <c r="A524" s="353" t="s">
        <v>2395</v>
      </c>
      <c r="B524" s="309">
        <v>46251.0</v>
      </c>
      <c r="C524" s="118" t="str">
        <f t="shared" ref="C524:C538" si="59">IF(B524="", "", TEXT(B524, "ddd"))</f>
        <v>Mon</v>
      </c>
      <c r="D524" s="143">
        <f t="shared" ref="D524:D538" si="60">IF(E524="Yes",0.05,0)
+IF(F524="Yes",0.1,0)
+IF(G524="Yes",0.15,0)
+IF(H524="Yes",0.15,0)
+IF(I524="Yes",0.05,0)
+IF(J524="Yes",0.05,0)
+IF(K524="Yes",0.15,0)
+IF(L524="Yes",0.3,0)
</f>
        <v>1</v>
      </c>
      <c r="E524" s="144" t="s">
        <v>142</v>
      </c>
      <c r="F524" s="134" t="s">
        <v>142</v>
      </c>
      <c r="G524" s="134" t="s">
        <v>142</v>
      </c>
      <c r="H524" s="134" t="s">
        <v>142</v>
      </c>
      <c r="I524" s="134" t="s">
        <v>142</v>
      </c>
      <c r="J524" s="134" t="s">
        <v>142</v>
      </c>
      <c r="K524" s="134" t="s">
        <v>142</v>
      </c>
      <c r="L524" s="134" t="s">
        <v>142</v>
      </c>
      <c r="M524" s="136"/>
      <c r="N524" s="137"/>
    </row>
    <row r="525" hidden="1" outlineLevel="1">
      <c r="A525" s="353" t="s">
        <v>2399</v>
      </c>
      <c r="B525" s="309">
        <v>46251.0</v>
      </c>
      <c r="C525" s="118" t="str">
        <f t="shared" si="59"/>
        <v>Mon</v>
      </c>
      <c r="D525" s="128">
        <f t="shared" si="60"/>
        <v>1</v>
      </c>
      <c r="E525" s="131" t="s">
        <v>142</v>
      </c>
      <c r="F525" s="134" t="s">
        <v>142</v>
      </c>
      <c r="G525" s="134" t="s">
        <v>142</v>
      </c>
      <c r="H525" s="134" t="s">
        <v>142</v>
      </c>
      <c r="I525" s="134" t="s">
        <v>142</v>
      </c>
      <c r="J525" s="134" t="s">
        <v>142</v>
      </c>
      <c r="K525" s="134" t="s">
        <v>142</v>
      </c>
      <c r="L525" s="134" t="s">
        <v>142</v>
      </c>
      <c r="M525" s="136"/>
      <c r="N525" s="131"/>
    </row>
    <row r="526" hidden="1" outlineLevel="1">
      <c r="A526" s="353" t="s">
        <v>2401</v>
      </c>
      <c r="B526" s="309">
        <v>46251.0</v>
      </c>
      <c r="C526" s="118" t="str">
        <f t="shared" si="59"/>
        <v>Mon</v>
      </c>
      <c r="D526" s="143">
        <f t="shared" si="60"/>
        <v>1</v>
      </c>
      <c r="E526" s="144" t="s">
        <v>142</v>
      </c>
      <c r="F526" s="134" t="s">
        <v>142</v>
      </c>
      <c r="G526" s="134" t="s">
        <v>142</v>
      </c>
      <c r="H526" s="134" t="s">
        <v>142</v>
      </c>
      <c r="I526" s="134" t="s">
        <v>142</v>
      </c>
      <c r="J526" s="134" t="s">
        <v>142</v>
      </c>
      <c r="K526" s="134" t="s">
        <v>142</v>
      </c>
      <c r="L526" s="134" t="s">
        <v>142</v>
      </c>
      <c r="M526" s="136"/>
      <c r="N526" s="131"/>
    </row>
    <row r="527" hidden="1" outlineLevel="1">
      <c r="A527" s="353" t="s">
        <v>2404</v>
      </c>
      <c r="B527" s="309">
        <v>46252.0</v>
      </c>
      <c r="C527" s="118" t="str">
        <f t="shared" si="59"/>
        <v>Tue</v>
      </c>
      <c r="D527" s="128">
        <f t="shared" si="60"/>
        <v>1</v>
      </c>
      <c r="E527" s="131" t="s">
        <v>142</v>
      </c>
      <c r="F527" s="134" t="s">
        <v>142</v>
      </c>
      <c r="G527" s="134" t="s">
        <v>142</v>
      </c>
      <c r="H527" s="134" t="s">
        <v>142</v>
      </c>
      <c r="I527" s="134" t="s">
        <v>142</v>
      </c>
      <c r="J527" s="134" t="s">
        <v>142</v>
      </c>
      <c r="K527" s="134" t="s">
        <v>142</v>
      </c>
      <c r="L527" s="134" t="s">
        <v>142</v>
      </c>
      <c r="M527" s="136"/>
      <c r="N527" s="131"/>
    </row>
    <row r="528" hidden="1" outlineLevel="1">
      <c r="A528" s="353" t="s">
        <v>2406</v>
      </c>
      <c r="B528" s="309">
        <v>46252.0</v>
      </c>
      <c r="C528" s="118" t="str">
        <f t="shared" si="59"/>
        <v>Tue</v>
      </c>
      <c r="D528" s="143">
        <f t="shared" si="60"/>
        <v>1</v>
      </c>
      <c r="E528" s="144" t="s">
        <v>142</v>
      </c>
      <c r="F528" s="134" t="s">
        <v>142</v>
      </c>
      <c r="G528" s="134" t="s">
        <v>142</v>
      </c>
      <c r="H528" s="134" t="s">
        <v>142</v>
      </c>
      <c r="I528" s="134" t="s">
        <v>142</v>
      </c>
      <c r="J528" s="134" t="s">
        <v>142</v>
      </c>
      <c r="K528" s="134" t="s">
        <v>142</v>
      </c>
      <c r="L528" s="134" t="s">
        <v>142</v>
      </c>
      <c r="M528" s="136"/>
      <c r="N528" s="131"/>
    </row>
    <row r="529" hidden="1" outlineLevel="1">
      <c r="A529" s="353" t="s">
        <v>2408</v>
      </c>
      <c r="B529" s="309">
        <v>46252.0</v>
      </c>
      <c r="C529" s="118" t="str">
        <f t="shared" si="59"/>
        <v>Tue</v>
      </c>
      <c r="D529" s="128">
        <f t="shared" si="60"/>
        <v>1</v>
      </c>
      <c r="E529" s="131" t="s">
        <v>142</v>
      </c>
      <c r="F529" s="134" t="s">
        <v>142</v>
      </c>
      <c r="G529" s="134" t="s">
        <v>142</v>
      </c>
      <c r="H529" s="134" t="s">
        <v>142</v>
      </c>
      <c r="I529" s="134" t="s">
        <v>142</v>
      </c>
      <c r="J529" s="134" t="s">
        <v>142</v>
      </c>
      <c r="K529" s="134" t="s">
        <v>142</v>
      </c>
      <c r="L529" s="134" t="s">
        <v>142</v>
      </c>
      <c r="M529" s="136"/>
      <c r="N529" s="131"/>
    </row>
    <row r="530" hidden="1" outlineLevel="1">
      <c r="A530" s="353" t="s">
        <v>2410</v>
      </c>
      <c r="B530" s="309">
        <v>46253.0</v>
      </c>
      <c r="C530" s="118" t="str">
        <f t="shared" si="59"/>
        <v>Wed</v>
      </c>
      <c r="D530" s="143">
        <f t="shared" si="60"/>
        <v>1</v>
      </c>
      <c r="E530" s="144" t="s">
        <v>142</v>
      </c>
      <c r="F530" s="134" t="s">
        <v>142</v>
      </c>
      <c r="G530" s="134" t="s">
        <v>142</v>
      </c>
      <c r="H530" s="134" t="s">
        <v>142</v>
      </c>
      <c r="I530" s="134" t="s">
        <v>142</v>
      </c>
      <c r="J530" s="134" t="s">
        <v>142</v>
      </c>
      <c r="K530" s="134" t="s">
        <v>142</v>
      </c>
      <c r="L530" s="134" t="s">
        <v>142</v>
      </c>
      <c r="M530" s="136"/>
      <c r="N530" s="131"/>
    </row>
    <row r="531" hidden="1" outlineLevel="1">
      <c r="A531" s="353" t="s">
        <v>2411</v>
      </c>
      <c r="B531" s="309">
        <v>46253.0</v>
      </c>
      <c r="C531" s="118" t="str">
        <f t="shared" si="59"/>
        <v>Wed</v>
      </c>
      <c r="D531" s="128">
        <f t="shared" si="60"/>
        <v>1</v>
      </c>
      <c r="E531" s="131" t="s">
        <v>142</v>
      </c>
      <c r="F531" s="134" t="s">
        <v>142</v>
      </c>
      <c r="G531" s="134" t="s">
        <v>142</v>
      </c>
      <c r="H531" s="134" t="s">
        <v>142</v>
      </c>
      <c r="I531" s="134" t="s">
        <v>142</v>
      </c>
      <c r="J531" s="134" t="s">
        <v>142</v>
      </c>
      <c r="K531" s="134" t="s">
        <v>142</v>
      </c>
      <c r="L531" s="134" t="s">
        <v>142</v>
      </c>
      <c r="M531" s="136"/>
      <c r="N531" s="131"/>
    </row>
    <row r="532" hidden="1" outlineLevel="1">
      <c r="A532" s="353" t="s">
        <v>2412</v>
      </c>
      <c r="B532" s="309">
        <v>46253.0</v>
      </c>
      <c r="C532" s="118" t="str">
        <f t="shared" si="59"/>
        <v>Wed</v>
      </c>
      <c r="D532" s="143">
        <f t="shared" si="60"/>
        <v>1</v>
      </c>
      <c r="E532" s="144" t="s">
        <v>142</v>
      </c>
      <c r="F532" s="134" t="s">
        <v>142</v>
      </c>
      <c r="G532" s="134" t="s">
        <v>142</v>
      </c>
      <c r="H532" s="134" t="s">
        <v>142</v>
      </c>
      <c r="I532" s="134" t="s">
        <v>142</v>
      </c>
      <c r="J532" s="134" t="s">
        <v>142</v>
      </c>
      <c r="K532" s="134" t="s">
        <v>142</v>
      </c>
      <c r="L532" s="134" t="s">
        <v>142</v>
      </c>
      <c r="M532" s="136"/>
      <c r="N532" s="131"/>
    </row>
    <row r="533" hidden="1" outlineLevel="1">
      <c r="A533" s="353" t="s">
        <v>2414</v>
      </c>
      <c r="B533" s="309">
        <v>46255.0</v>
      </c>
      <c r="C533" s="118" t="str">
        <f t="shared" si="59"/>
        <v>Fri</v>
      </c>
      <c r="D533" s="128">
        <f t="shared" si="60"/>
        <v>1</v>
      </c>
      <c r="E533" s="131" t="s">
        <v>142</v>
      </c>
      <c r="F533" s="134" t="s">
        <v>142</v>
      </c>
      <c r="G533" s="134" t="s">
        <v>142</v>
      </c>
      <c r="H533" s="134" t="s">
        <v>142</v>
      </c>
      <c r="I533" s="134" t="s">
        <v>142</v>
      </c>
      <c r="J533" s="134" t="s">
        <v>142</v>
      </c>
      <c r="K533" s="134" t="s">
        <v>142</v>
      </c>
      <c r="L533" s="134" t="s">
        <v>142</v>
      </c>
      <c r="M533" s="136"/>
      <c r="N533" s="131"/>
    </row>
    <row r="534" hidden="1" outlineLevel="1">
      <c r="A534" s="353" t="s">
        <v>2416</v>
      </c>
      <c r="B534" s="309">
        <v>46255.0</v>
      </c>
      <c r="C534" s="118" t="str">
        <f t="shared" si="59"/>
        <v>Fri</v>
      </c>
      <c r="D534" s="143">
        <f t="shared" si="60"/>
        <v>1</v>
      </c>
      <c r="E534" s="144" t="s">
        <v>142</v>
      </c>
      <c r="F534" s="134" t="s">
        <v>142</v>
      </c>
      <c r="G534" s="134" t="s">
        <v>142</v>
      </c>
      <c r="H534" s="134" t="s">
        <v>142</v>
      </c>
      <c r="I534" s="134" t="s">
        <v>142</v>
      </c>
      <c r="J534" s="134" t="s">
        <v>142</v>
      </c>
      <c r="K534" s="134" t="s">
        <v>142</v>
      </c>
      <c r="L534" s="134" t="s">
        <v>142</v>
      </c>
      <c r="M534" s="136"/>
      <c r="N534" s="131"/>
    </row>
    <row r="535" hidden="1" outlineLevel="1">
      <c r="A535" s="353" t="s">
        <v>2418</v>
      </c>
      <c r="B535" s="309">
        <v>46255.0</v>
      </c>
      <c r="C535" s="118" t="str">
        <f t="shared" si="59"/>
        <v>Fri</v>
      </c>
      <c r="D535" s="128">
        <f t="shared" si="60"/>
        <v>1</v>
      </c>
      <c r="E535" s="131" t="s">
        <v>142</v>
      </c>
      <c r="F535" s="134" t="s">
        <v>142</v>
      </c>
      <c r="G535" s="134" t="s">
        <v>142</v>
      </c>
      <c r="H535" s="134" t="s">
        <v>142</v>
      </c>
      <c r="I535" s="134" t="s">
        <v>142</v>
      </c>
      <c r="J535" s="134" t="s">
        <v>142</v>
      </c>
      <c r="K535" s="134" t="s">
        <v>142</v>
      </c>
      <c r="L535" s="134" t="s">
        <v>142</v>
      </c>
      <c r="M535" s="136"/>
      <c r="N535" s="131"/>
    </row>
    <row r="536" hidden="1" outlineLevel="1">
      <c r="A536" s="113"/>
      <c r="B536" s="309"/>
      <c r="C536" s="118" t="str">
        <f t="shared" si="59"/>
        <v/>
      </c>
      <c r="D536" s="143">
        <f t="shared" si="60"/>
        <v>0</v>
      </c>
      <c r="E536" s="144"/>
      <c r="F536" s="134"/>
      <c r="G536" s="134"/>
      <c r="H536" s="134"/>
      <c r="I536" s="134"/>
      <c r="J536" s="134"/>
      <c r="K536" s="134"/>
      <c r="L536" s="134"/>
      <c r="M536" s="136"/>
      <c r="N536" s="131"/>
    </row>
    <row r="537" hidden="1" outlineLevel="1">
      <c r="A537" s="113"/>
      <c r="B537" s="309"/>
      <c r="C537" s="118" t="str">
        <f t="shared" si="59"/>
        <v/>
      </c>
      <c r="D537" s="128">
        <f t="shared" si="60"/>
        <v>0</v>
      </c>
      <c r="E537" s="131"/>
      <c r="F537" s="134"/>
      <c r="G537" s="134"/>
      <c r="H537" s="134"/>
      <c r="I537" s="134"/>
      <c r="J537" s="134"/>
      <c r="K537" s="134"/>
      <c r="L537" s="134"/>
      <c r="M537" s="136"/>
      <c r="N537" s="131"/>
    </row>
    <row r="538" ht="15.75" hidden="1" customHeight="1" outlineLevel="1">
      <c r="A538" s="113"/>
      <c r="B538" s="309"/>
      <c r="C538" s="118" t="str">
        <f t="shared" si="59"/>
        <v/>
      </c>
      <c r="D538" s="143">
        <f t="shared" si="60"/>
        <v>0</v>
      </c>
      <c r="E538" s="144"/>
      <c r="F538" s="134"/>
      <c r="G538" s="134"/>
      <c r="H538" s="134"/>
      <c r="I538" s="134"/>
      <c r="J538" s="134"/>
      <c r="K538" s="134"/>
      <c r="L538" s="134"/>
      <c r="M538" s="136"/>
      <c r="N538" s="131"/>
    </row>
    <row r="539" hidden="1" outlineLevel="1">
      <c r="B539" s="215"/>
      <c r="C539" s="216" t="s">
        <v>199</v>
      </c>
      <c r="D539" s="217">
        <f>AVERAGE(D524:D538)</f>
        <v>0.8</v>
      </c>
      <c r="E539" s="472"/>
      <c r="L539" s="216" t="s">
        <v>199</v>
      </c>
      <c r="M539" s="217">
        <f>SUM(M524:M538)/75*0.1</f>
        <v>0</v>
      </c>
    </row>
    <row r="540" collapsed="1">
      <c r="A540" s="85" t="s">
        <v>397</v>
      </c>
      <c r="B540" s="86"/>
      <c r="C540" s="86"/>
      <c r="D540" s="359"/>
      <c r="E540" s="360"/>
      <c r="F540" s="361"/>
      <c r="G540" s="361"/>
      <c r="H540" s="361"/>
      <c r="I540" s="361"/>
      <c r="J540" s="361"/>
      <c r="K540" s="361"/>
      <c r="L540" s="361"/>
      <c r="M540" s="361"/>
      <c r="N540" s="361"/>
    </row>
    <row r="541" hidden="1" outlineLevel="1">
      <c r="A541" s="362" t="s">
        <v>89</v>
      </c>
      <c r="B541" s="363" t="s">
        <v>90</v>
      </c>
      <c r="C541" s="363" t="s">
        <v>91</v>
      </c>
      <c r="D541" s="364" t="s">
        <v>93</v>
      </c>
      <c r="E541" s="365" t="s">
        <v>94</v>
      </c>
      <c r="F541" s="365" t="s">
        <v>95</v>
      </c>
      <c r="G541" s="366" t="s">
        <v>96</v>
      </c>
      <c r="H541" s="366" t="s">
        <v>97</v>
      </c>
      <c r="I541" s="366" t="s">
        <v>104</v>
      </c>
      <c r="J541" s="366" t="s">
        <v>106</v>
      </c>
      <c r="K541" s="366" t="s">
        <v>109</v>
      </c>
      <c r="L541" s="366" t="s">
        <v>111</v>
      </c>
      <c r="M541" s="363" t="s">
        <v>114</v>
      </c>
      <c r="N541" s="363" t="s">
        <v>116</v>
      </c>
    </row>
    <row r="542" hidden="1" outlineLevel="1">
      <c r="A542" s="372" t="s">
        <v>2423</v>
      </c>
      <c r="B542" s="309">
        <v>46258.0</v>
      </c>
      <c r="C542" s="368" t="str">
        <f t="shared" ref="C542:C556" si="61">IF(B542="", "", TEXT(B542, "ddd"))</f>
        <v>Mon</v>
      </c>
      <c r="D542" s="143">
        <f t="shared" ref="D542:D556" si="62">IF(E542="Yes",0.05,0)
+IF(F542="Yes",0.1,0)
+IF(G542="Yes",0.15,0)
+IF(H542="Yes",0.15,0)
+IF(I542="Yes",0.05,0)
+IF(J542="Yes",0.05,0)
+IF(K542="Yes",0.15,0)
+IF(L542="Yes",0.3,0)
</f>
        <v>1</v>
      </c>
      <c r="E542" s="144" t="s">
        <v>142</v>
      </c>
      <c r="F542" s="134" t="s">
        <v>142</v>
      </c>
      <c r="G542" s="134" t="s">
        <v>142</v>
      </c>
      <c r="H542" s="134" t="s">
        <v>142</v>
      </c>
      <c r="I542" s="134" t="s">
        <v>142</v>
      </c>
      <c r="J542" s="134" t="s">
        <v>142</v>
      </c>
      <c r="K542" s="134" t="s">
        <v>142</v>
      </c>
      <c r="L542" s="134" t="s">
        <v>142</v>
      </c>
      <c r="M542" s="370"/>
      <c r="N542" s="137"/>
    </row>
    <row r="543" hidden="1" outlineLevel="1">
      <c r="A543" s="372" t="s">
        <v>2427</v>
      </c>
      <c r="B543" s="309">
        <v>46258.0</v>
      </c>
      <c r="C543" s="368" t="str">
        <f t="shared" si="61"/>
        <v>Mon</v>
      </c>
      <c r="D543" s="128">
        <f t="shared" si="62"/>
        <v>1</v>
      </c>
      <c r="E543" s="131" t="s">
        <v>142</v>
      </c>
      <c r="F543" s="134" t="s">
        <v>142</v>
      </c>
      <c r="G543" s="134" t="s">
        <v>142</v>
      </c>
      <c r="H543" s="134" t="s">
        <v>142</v>
      </c>
      <c r="I543" s="134" t="s">
        <v>142</v>
      </c>
      <c r="J543" s="134" t="s">
        <v>142</v>
      </c>
      <c r="K543" s="134" t="s">
        <v>142</v>
      </c>
      <c r="L543" s="134" t="s">
        <v>142</v>
      </c>
      <c r="M543" s="370"/>
      <c r="N543" s="370"/>
    </row>
    <row r="544" hidden="1" outlineLevel="1">
      <c r="A544" s="372" t="s">
        <v>2429</v>
      </c>
      <c r="B544" s="309">
        <v>46258.0</v>
      </c>
      <c r="C544" s="368" t="str">
        <f t="shared" si="61"/>
        <v>Mon</v>
      </c>
      <c r="D544" s="143">
        <f t="shared" si="62"/>
        <v>1</v>
      </c>
      <c r="E544" s="144" t="s">
        <v>142</v>
      </c>
      <c r="F544" s="134" t="s">
        <v>142</v>
      </c>
      <c r="G544" s="134" t="s">
        <v>142</v>
      </c>
      <c r="H544" s="134" t="s">
        <v>142</v>
      </c>
      <c r="I544" s="134" t="s">
        <v>142</v>
      </c>
      <c r="J544" s="134" t="s">
        <v>142</v>
      </c>
      <c r="K544" s="134" t="s">
        <v>142</v>
      </c>
      <c r="L544" s="134" t="s">
        <v>142</v>
      </c>
      <c r="M544" s="370"/>
      <c r="N544" s="370"/>
    </row>
    <row r="545" hidden="1" outlineLevel="1">
      <c r="A545" s="372" t="s">
        <v>2430</v>
      </c>
      <c r="B545" s="309">
        <v>46259.0</v>
      </c>
      <c r="C545" s="368" t="str">
        <f t="shared" si="61"/>
        <v>Tue</v>
      </c>
      <c r="D545" s="128">
        <f t="shared" si="62"/>
        <v>1</v>
      </c>
      <c r="E545" s="131" t="s">
        <v>142</v>
      </c>
      <c r="F545" s="134" t="s">
        <v>142</v>
      </c>
      <c r="G545" s="134" t="s">
        <v>142</v>
      </c>
      <c r="H545" s="134" t="s">
        <v>142</v>
      </c>
      <c r="I545" s="134" t="s">
        <v>142</v>
      </c>
      <c r="J545" s="134" t="s">
        <v>142</v>
      </c>
      <c r="K545" s="134" t="s">
        <v>142</v>
      </c>
      <c r="L545" s="134" t="s">
        <v>142</v>
      </c>
      <c r="M545" s="370"/>
      <c r="N545" s="370"/>
    </row>
    <row r="546" hidden="1" outlineLevel="1">
      <c r="A546" s="372" t="s">
        <v>2431</v>
      </c>
      <c r="B546" s="309">
        <v>46259.0</v>
      </c>
      <c r="C546" s="368" t="str">
        <f t="shared" si="61"/>
        <v>Tue</v>
      </c>
      <c r="D546" s="143">
        <f t="shared" si="62"/>
        <v>1</v>
      </c>
      <c r="E546" s="144" t="s">
        <v>142</v>
      </c>
      <c r="F546" s="134" t="s">
        <v>142</v>
      </c>
      <c r="G546" s="134" t="s">
        <v>142</v>
      </c>
      <c r="H546" s="134" t="s">
        <v>142</v>
      </c>
      <c r="I546" s="134" t="s">
        <v>142</v>
      </c>
      <c r="J546" s="134" t="s">
        <v>142</v>
      </c>
      <c r="K546" s="134" t="s">
        <v>142</v>
      </c>
      <c r="L546" s="134" t="s">
        <v>142</v>
      </c>
      <c r="M546" s="370"/>
      <c r="N546" s="370"/>
    </row>
    <row r="547" hidden="1" outlineLevel="1">
      <c r="A547" s="372" t="s">
        <v>2433</v>
      </c>
      <c r="B547" s="309">
        <v>46259.0</v>
      </c>
      <c r="C547" s="368" t="str">
        <f t="shared" si="61"/>
        <v>Tue</v>
      </c>
      <c r="D547" s="128">
        <f t="shared" si="62"/>
        <v>1</v>
      </c>
      <c r="E547" s="131" t="s">
        <v>142</v>
      </c>
      <c r="F547" s="134" t="s">
        <v>142</v>
      </c>
      <c r="G547" s="134" t="s">
        <v>142</v>
      </c>
      <c r="H547" s="134" t="s">
        <v>142</v>
      </c>
      <c r="I547" s="134" t="s">
        <v>142</v>
      </c>
      <c r="J547" s="134" t="s">
        <v>142</v>
      </c>
      <c r="K547" s="134" t="s">
        <v>142</v>
      </c>
      <c r="L547" s="134" t="s">
        <v>142</v>
      </c>
      <c r="M547" s="370"/>
      <c r="N547" s="370"/>
    </row>
    <row r="548" hidden="1" outlineLevel="1">
      <c r="A548" s="372" t="s">
        <v>2434</v>
      </c>
      <c r="B548" s="309">
        <v>46260.0</v>
      </c>
      <c r="C548" s="368" t="str">
        <f t="shared" si="61"/>
        <v>Wed</v>
      </c>
      <c r="D548" s="143">
        <f t="shared" si="62"/>
        <v>1</v>
      </c>
      <c r="E548" s="144" t="s">
        <v>142</v>
      </c>
      <c r="F548" s="134" t="s">
        <v>142</v>
      </c>
      <c r="G548" s="134" t="s">
        <v>142</v>
      </c>
      <c r="H548" s="134" t="s">
        <v>142</v>
      </c>
      <c r="I548" s="134" t="s">
        <v>142</v>
      </c>
      <c r="J548" s="134" t="s">
        <v>142</v>
      </c>
      <c r="K548" s="134" t="s">
        <v>142</v>
      </c>
      <c r="L548" s="134" t="s">
        <v>142</v>
      </c>
      <c r="M548" s="370"/>
      <c r="N548" s="370"/>
    </row>
    <row r="549" hidden="1" outlineLevel="1">
      <c r="A549" s="372" t="s">
        <v>2435</v>
      </c>
      <c r="B549" s="309">
        <v>46260.0</v>
      </c>
      <c r="C549" s="368" t="str">
        <f t="shared" si="61"/>
        <v>Wed</v>
      </c>
      <c r="D549" s="128">
        <f t="shared" si="62"/>
        <v>1</v>
      </c>
      <c r="E549" s="131" t="s">
        <v>142</v>
      </c>
      <c r="F549" s="134" t="s">
        <v>142</v>
      </c>
      <c r="G549" s="134" t="s">
        <v>142</v>
      </c>
      <c r="H549" s="134" t="s">
        <v>142</v>
      </c>
      <c r="I549" s="134" t="s">
        <v>142</v>
      </c>
      <c r="J549" s="134" t="s">
        <v>142</v>
      </c>
      <c r="K549" s="134" t="s">
        <v>142</v>
      </c>
      <c r="L549" s="134" t="s">
        <v>142</v>
      </c>
      <c r="M549" s="370"/>
      <c r="N549" s="370"/>
    </row>
    <row r="550" hidden="1" outlineLevel="1">
      <c r="A550" s="372" t="s">
        <v>2436</v>
      </c>
      <c r="B550" s="309">
        <v>46260.0</v>
      </c>
      <c r="C550" s="368" t="str">
        <f t="shared" si="61"/>
        <v>Wed</v>
      </c>
      <c r="D550" s="143">
        <f t="shared" si="62"/>
        <v>1</v>
      </c>
      <c r="E550" s="144" t="s">
        <v>142</v>
      </c>
      <c r="F550" s="134" t="s">
        <v>142</v>
      </c>
      <c r="G550" s="134" t="s">
        <v>142</v>
      </c>
      <c r="H550" s="134" t="s">
        <v>142</v>
      </c>
      <c r="I550" s="134" t="s">
        <v>142</v>
      </c>
      <c r="J550" s="134" t="s">
        <v>142</v>
      </c>
      <c r="K550" s="134" t="s">
        <v>142</v>
      </c>
      <c r="L550" s="134" t="s">
        <v>142</v>
      </c>
      <c r="M550" s="370"/>
      <c r="N550" s="370"/>
    </row>
    <row r="551" hidden="1" outlineLevel="1">
      <c r="A551" s="367"/>
      <c r="B551" s="309">
        <v>46261.0</v>
      </c>
      <c r="C551" s="368" t="str">
        <f t="shared" si="61"/>
        <v>Thu</v>
      </c>
      <c r="D551" s="128">
        <f t="shared" si="62"/>
        <v>1</v>
      </c>
      <c r="E551" s="131" t="s">
        <v>142</v>
      </c>
      <c r="F551" s="134" t="s">
        <v>142</v>
      </c>
      <c r="G551" s="134" t="s">
        <v>142</v>
      </c>
      <c r="H551" s="134" t="s">
        <v>142</v>
      </c>
      <c r="I551" s="134" t="s">
        <v>142</v>
      </c>
      <c r="J551" s="134" t="s">
        <v>142</v>
      </c>
      <c r="K551" s="134" t="s">
        <v>142</v>
      </c>
      <c r="L551" s="134" t="s">
        <v>142</v>
      </c>
      <c r="M551" s="370"/>
      <c r="N551" s="370"/>
    </row>
    <row r="552" hidden="1" outlineLevel="1">
      <c r="A552" s="367"/>
      <c r="B552" s="309">
        <v>46261.0</v>
      </c>
      <c r="C552" s="368" t="str">
        <f t="shared" si="61"/>
        <v>Thu</v>
      </c>
      <c r="D552" s="143">
        <f t="shared" si="62"/>
        <v>1</v>
      </c>
      <c r="E552" s="144" t="s">
        <v>142</v>
      </c>
      <c r="F552" s="134" t="s">
        <v>142</v>
      </c>
      <c r="G552" s="134" t="s">
        <v>142</v>
      </c>
      <c r="H552" s="134" t="s">
        <v>142</v>
      </c>
      <c r="I552" s="134" t="s">
        <v>142</v>
      </c>
      <c r="J552" s="134" t="s">
        <v>142</v>
      </c>
      <c r="K552" s="134" t="s">
        <v>142</v>
      </c>
      <c r="L552" s="134" t="s">
        <v>142</v>
      </c>
      <c r="M552" s="370"/>
      <c r="N552" s="370"/>
    </row>
    <row r="553" hidden="1" outlineLevel="1">
      <c r="A553" s="367"/>
      <c r="B553" s="309">
        <v>46261.0</v>
      </c>
      <c r="C553" s="368" t="str">
        <f t="shared" si="61"/>
        <v>Thu</v>
      </c>
      <c r="D553" s="128">
        <f t="shared" si="62"/>
        <v>1</v>
      </c>
      <c r="E553" s="131" t="s">
        <v>142</v>
      </c>
      <c r="F553" s="134" t="s">
        <v>142</v>
      </c>
      <c r="G553" s="134" t="s">
        <v>142</v>
      </c>
      <c r="H553" s="134" t="s">
        <v>142</v>
      </c>
      <c r="I553" s="134" t="s">
        <v>142</v>
      </c>
      <c r="J553" s="134" t="s">
        <v>142</v>
      </c>
      <c r="K553" s="134" t="s">
        <v>142</v>
      </c>
      <c r="L553" s="134" t="s">
        <v>142</v>
      </c>
      <c r="M553" s="370"/>
      <c r="N553" s="370"/>
    </row>
    <row r="554" hidden="1" outlineLevel="1">
      <c r="A554" s="367"/>
      <c r="B554" s="309">
        <v>46262.0</v>
      </c>
      <c r="C554" s="368" t="str">
        <f t="shared" si="61"/>
        <v>Fri</v>
      </c>
      <c r="D554" s="143">
        <f t="shared" si="62"/>
        <v>1</v>
      </c>
      <c r="E554" s="144" t="s">
        <v>142</v>
      </c>
      <c r="F554" s="134" t="s">
        <v>142</v>
      </c>
      <c r="G554" s="134" t="s">
        <v>142</v>
      </c>
      <c r="H554" s="134" t="s">
        <v>142</v>
      </c>
      <c r="I554" s="134" t="s">
        <v>142</v>
      </c>
      <c r="J554" s="134" t="s">
        <v>142</v>
      </c>
      <c r="K554" s="134" t="s">
        <v>142</v>
      </c>
      <c r="L554" s="134" t="s">
        <v>142</v>
      </c>
      <c r="M554" s="370"/>
      <c r="N554" s="370"/>
    </row>
    <row r="555" hidden="1" outlineLevel="1">
      <c r="A555" s="367"/>
      <c r="B555" s="309">
        <v>46262.0</v>
      </c>
      <c r="C555" s="368" t="str">
        <f t="shared" si="61"/>
        <v>Fri</v>
      </c>
      <c r="D555" s="128">
        <f t="shared" si="62"/>
        <v>1</v>
      </c>
      <c r="E555" s="131" t="s">
        <v>142</v>
      </c>
      <c r="F555" s="134" t="s">
        <v>142</v>
      </c>
      <c r="G555" s="134" t="s">
        <v>142</v>
      </c>
      <c r="H555" s="134" t="s">
        <v>142</v>
      </c>
      <c r="I555" s="134" t="s">
        <v>142</v>
      </c>
      <c r="J555" s="134" t="s">
        <v>142</v>
      </c>
      <c r="K555" s="134" t="s">
        <v>142</v>
      </c>
      <c r="L555" s="134" t="s">
        <v>142</v>
      </c>
      <c r="M555" s="370"/>
      <c r="N555" s="370"/>
    </row>
    <row r="556" hidden="1" outlineLevel="1">
      <c r="A556" s="367"/>
      <c r="B556" s="309">
        <v>46262.0</v>
      </c>
      <c r="C556" s="368" t="str">
        <f t="shared" si="61"/>
        <v>Fri</v>
      </c>
      <c r="D556" s="143">
        <f t="shared" si="62"/>
        <v>1</v>
      </c>
      <c r="E556" s="144" t="s">
        <v>142</v>
      </c>
      <c r="F556" s="134" t="s">
        <v>142</v>
      </c>
      <c r="G556" s="134" t="s">
        <v>142</v>
      </c>
      <c r="H556" s="134" t="s">
        <v>142</v>
      </c>
      <c r="I556" s="134" t="s">
        <v>142</v>
      </c>
      <c r="J556" s="134" t="s">
        <v>142</v>
      </c>
      <c r="K556" s="134" t="s">
        <v>142</v>
      </c>
      <c r="L556" s="134" t="s">
        <v>142</v>
      </c>
      <c r="M556" s="370"/>
      <c r="N556" s="370"/>
    </row>
    <row r="557" hidden="1" outlineLevel="1">
      <c r="A557" s="373"/>
      <c r="B557" s="373"/>
      <c r="C557" s="374" t="s">
        <v>199</v>
      </c>
      <c r="D557" s="375">
        <f>AVERAGE(D542:D556)</f>
        <v>1</v>
      </c>
      <c r="E557" s="376"/>
      <c r="F557" s="373"/>
      <c r="G557" s="373"/>
      <c r="H557" s="373"/>
      <c r="I557" s="373"/>
      <c r="J557" s="373"/>
      <c r="K557" s="373"/>
      <c r="L557" s="374" t="s">
        <v>199</v>
      </c>
      <c r="M557" s="377">
        <f>SUM(M542:M556)/75*0.1</f>
        <v>0</v>
      </c>
      <c r="N557" s="373"/>
    </row>
    <row r="558" collapsed="1">
      <c r="A558" s="85" t="s">
        <v>423</v>
      </c>
      <c r="B558" s="86"/>
      <c r="C558" s="86"/>
      <c r="D558" s="359"/>
      <c r="E558" s="360"/>
      <c r="F558" s="361"/>
      <c r="G558" s="361"/>
      <c r="H558" s="361"/>
      <c r="I558" s="361"/>
      <c r="J558" s="361"/>
      <c r="K558" s="361"/>
      <c r="L558" s="361"/>
      <c r="M558" s="361"/>
      <c r="N558" s="361"/>
    </row>
    <row r="559" hidden="1" outlineLevel="1">
      <c r="A559" s="362" t="s">
        <v>89</v>
      </c>
      <c r="B559" s="363" t="s">
        <v>90</v>
      </c>
      <c r="C559" s="363" t="s">
        <v>91</v>
      </c>
      <c r="D559" s="364" t="s">
        <v>93</v>
      </c>
      <c r="E559" s="365" t="s">
        <v>94</v>
      </c>
      <c r="F559" s="365" t="s">
        <v>95</v>
      </c>
      <c r="G559" s="366" t="s">
        <v>96</v>
      </c>
      <c r="H559" s="366" t="s">
        <v>97</v>
      </c>
      <c r="I559" s="366" t="s">
        <v>104</v>
      </c>
      <c r="J559" s="366" t="s">
        <v>106</v>
      </c>
      <c r="K559" s="366" t="s">
        <v>109</v>
      </c>
      <c r="L559" s="366" t="s">
        <v>111</v>
      </c>
      <c r="M559" s="363" t="s">
        <v>114</v>
      </c>
      <c r="N559" s="363" t="s">
        <v>116</v>
      </c>
    </row>
    <row r="560" hidden="1" outlineLevel="1">
      <c r="A560" s="413" t="s">
        <v>2440</v>
      </c>
      <c r="B560" s="309">
        <v>46265.0</v>
      </c>
      <c r="C560" s="368" t="str">
        <f t="shared" ref="C560:C574" si="63">IF(B560="", "", TEXT(B560, "ddd"))</f>
        <v>Mon</v>
      </c>
      <c r="D560" s="143">
        <f t="shared" ref="D560:D574" si="64">IF(E560="Yes",0.05,0)
+IF(F560="Yes",0.1,0)
+IF(G560="Yes",0.15,0)
+IF(H560="Yes",0.15,0)
+IF(I560="Yes",0.05,0)
+IF(J560="Yes",0.05,0)
+IF(K560="Yes",0.15,0)
+IF(L560="Yes",0.3,0)
</f>
        <v>1</v>
      </c>
      <c r="E560" s="144" t="s">
        <v>142</v>
      </c>
      <c r="F560" s="134" t="s">
        <v>142</v>
      </c>
      <c r="G560" s="134" t="s">
        <v>142</v>
      </c>
      <c r="H560" s="134" t="s">
        <v>142</v>
      </c>
      <c r="I560" s="134" t="s">
        <v>142</v>
      </c>
      <c r="J560" s="134" t="s">
        <v>142</v>
      </c>
      <c r="K560" s="134" t="s">
        <v>142</v>
      </c>
      <c r="L560" s="134" t="s">
        <v>142</v>
      </c>
      <c r="M560" s="370"/>
      <c r="N560" s="137"/>
    </row>
    <row r="561" hidden="1" outlineLevel="1">
      <c r="A561" s="413" t="s">
        <v>2444</v>
      </c>
      <c r="B561" s="309">
        <v>46265.0</v>
      </c>
      <c r="C561" s="368" t="str">
        <f t="shared" si="63"/>
        <v>Mon</v>
      </c>
      <c r="D561" s="128">
        <f t="shared" si="64"/>
        <v>1</v>
      </c>
      <c r="E561" s="131" t="s">
        <v>142</v>
      </c>
      <c r="F561" s="134" t="s">
        <v>142</v>
      </c>
      <c r="G561" s="134" t="s">
        <v>142</v>
      </c>
      <c r="H561" s="134" t="s">
        <v>142</v>
      </c>
      <c r="I561" s="134" t="s">
        <v>142</v>
      </c>
      <c r="J561" s="134" t="s">
        <v>142</v>
      </c>
      <c r="K561" s="134" t="s">
        <v>142</v>
      </c>
      <c r="L561" s="134" t="s">
        <v>142</v>
      </c>
      <c r="M561" s="370"/>
      <c r="N561" s="137"/>
    </row>
    <row r="562" hidden="1" outlineLevel="1">
      <c r="A562" s="413" t="s">
        <v>2446</v>
      </c>
      <c r="B562" s="309">
        <v>46265.0</v>
      </c>
      <c r="C562" s="368" t="str">
        <f t="shared" si="63"/>
        <v>Mon</v>
      </c>
      <c r="D562" s="143">
        <f t="shared" si="64"/>
        <v>1</v>
      </c>
      <c r="E562" s="144" t="s">
        <v>142</v>
      </c>
      <c r="F562" s="134" t="s">
        <v>142</v>
      </c>
      <c r="G562" s="134" t="s">
        <v>142</v>
      </c>
      <c r="H562" s="134" t="s">
        <v>142</v>
      </c>
      <c r="I562" s="134" t="s">
        <v>142</v>
      </c>
      <c r="J562" s="134" t="s">
        <v>142</v>
      </c>
      <c r="K562" s="134" t="s">
        <v>142</v>
      </c>
      <c r="L562" s="134" t="s">
        <v>142</v>
      </c>
      <c r="M562" s="370"/>
      <c r="N562" s="137"/>
    </row>
    <row r="563" hidden="1" outlineLevel="1">
      <c r="A563" s="372" t="s">
        <v>2448</v>
      </c>
      <c r="B563" s="309">
        <v>46266.0</v>
      </c>
      <c r="C563" s="368" t="str">
        <f t="shared" si="63"/>
        <v>Tue</v>
      </c>
      <c r="D563" s="128">
        <f t="shared" si="64"/>
        <v>1</v>
      </c>
      <c r="E563" s="131" t="s">
        <v>142</v>
      </c>
      <c r="F563" s="134" t="s">
        <v>142</v>
      </c>
      <c r="G563" s="134" t="s">
        <v>142</v>
      </c>
      <c r="H563" s="134" t="s">
        <v>142</v>
      </c>
      <c r="I563" s="134" t="s">
        <v>142</v>
      </c>
      <c r="J563" s="134" t="s">
        <v>142</v>
      </c>
      <c r="K563" s="134" t="s">
        <v>142</v>
      </c>
      <c r="L563" s="134" t="s">
        <v>142</v>
      </c>
      <c r="M563" s="370"/>
      <c r="N563" s="137"/>
    </row>
    <row r="564" hidden="1" outlineLevel="1">
      <c r="A564" s="372" t="s">
        <v>2450</v>
      </c>
      <c r="B564" s="309">
        <v>46266.0</v>
      </c>
      <c r="C564" s="368" t="str">
        <f t="shared" si="63"/>
        <v>Tue</v>
      </c>
      <c r="D564" s="143">
        <f t="shared" si="64"/>
        <v>1</v>
      </c>
      <c r="E564" s="144" t="s">
        <v>142</v>
      </c>
      <c r="F564" s="134" t="s">
        <v>142</v>
      </c>
      <c r="G564" s="134" t="s">
        <v>142</v>
      </c>
      <c r="H564" s="134" t="s">
        <v>142</v>
      </c>
      <c r="I564" s="134" t="s">
        <v>142</v>
      </c>
      <c r="J564" s="134" t="s">
        <v>142</v>
      </c>
      <c r="K564" s="134" t="s">
        <v>142</v>
      </c>
      <c r="L564" s="134" t="s">
        <v>142</v>
      </c>
      <c r="M564" s="370"/>
      <c r="N564" s="137"/>
    </row>
    <row r="565" hidden="1" outlineLevel="1">
      <c r="A565" s="372" t="s">
        <v>2452</v>
      </c>
      <c r="B565" s="309">
        <v>46266.0</v>
      </c>
      <c r="C565" s="368" t="str">
        <f t="shared" si="63"/>
        <v>Tue</v>
      </c>
      <c r="D565" s="128">
        <f t="shared" si="64"/>
        <v>1</v>
      </c>
      <c r="E565" s="131" t="s">
        <v>142</v>
      </c>
      <c r="F565" s="134" t="s">
        <v>142</v>
      </c>
      <c r="G565" s="134" t="s">
        <v>142</v>
      </c>
      <c r="H565" s="134" t="s">
        <v>142</v>
      </c>
      <c r="I565" s="134" t="s">
        <v>142</v>
      </c>
      <c r="J565" s="134" t="s">
        <v>142</v>
      </c>
      <c r="K565" s="134" t="s">
        <v>142</v>
      </c>
      <c r="L565" s="134" t="s">
        <v>142</v>
      </c>
      <c r="M565" s="370"/>
      <c r="N565" s="137"/>
    </row>
    <row r="566" hidden="1" outlineLevel="1">
      <c r="A566" s="372" t="s">
        <v>2454</v>
      </c>
      <c r="B566" s="309">
        <v>46267.0</v>
      </c>
      <c r="C566" s="368" t="str">
        <f t="shared" si="63"/>
        <v>Wed</v>
      </c>
      <c r="D566" s="143">
        <f t="shared" si="64"/>
        <v>1</v>
      </c>
      <c r="E566" s="144" t="s">
        <v>142</v>
      </c>
      <c r="F566" s="134" t="s">
        <v>142</v>
      </c>
      <c r="G566" s="134" t="s">
        <v>142</v>
      </c>
      <c r="H566" s="134" t="s">
        <v>142</v>
      </c>
      <c r="I566" s="134" t="s">
        <v>142</v>
      </c>
      <c r="J566" s="134" t="s">
        <v>142</v>
      </c>
      <c r="K566" s="134" t="s">
        <v>142</v>
      </c>
      <c r="L566" s="134" t="s">
        <v>142</v>
      </c>
      <c r="M566" s="370"/>
      <c r="N566" s="137"/>
    </row>
    <row r="567" hidden="1" outlineLevel="1">
      <c r="A567" s="372" t="s">
        <v>2456</v>
      </c>
      <c r="B567" s="309">
        <v>46267.0</v>
      </c>
      <c r="C567" s="368" t="str">
        <f t="shared" si="63"/>
        <v>Wed</v>
      </c>
      <c r="D567" s="128">
        <f t="shared" si="64"/>
        <v>1</v>
      </c>
      <c r="E567" s="131" t="s">
        <v>142</v>
      </c>
      <c r="F567" s="134" t="s">
        <v>142</v>
      </c>
      <c r="G567" s="134" t="s">
        <v>142</v>
      </c>
      <c r="H567" s="134" t="s">
        <v>142</v>
      </c>
      <c r="I567" s="134" t="s">
        <v>142</v>
      </c>
      <c r="J567" s="134" t="s">
        <v>142</v>
      </c>
      <c r="K567" s="134" t="s">
        <v>142</v>
      </c>
      <c r="L567" s="134" t="s">
        <v>142</v>
      </c>
      <c r="M567" s="370"/>
      <c r="N567" s="137"/>
    </row>
    <row r="568" hidden="1" outlineLevel="1">
      <c r="A568" s="372" t="s">
        <v>2459</v>
      </c>
      <c r="B568" s="309">
        <v>46267.0</v>
      </c>
      <c r="C568" s="368" t="str">
        <f t="shared" si="63"/>
        <v>Wed</v>
      </c>
      <c r="D568" s="143">
        <f t="shared" si="64"/>
        <v>1</v>
      </c>
      <c r="E568" s="144" t="s">
        <v>142</v>
      </c>
      <c r="F568" s="134" t="s">
        <v>142</v>
      </c>
      <c r="G568" s="134" t="s">
        <v>142</v>
      </c>
      <c r="H568" s="134" t="s">
        <v>142</v>
      </c>
      <c r="I568" s="134" t="s">
        <v>142</v>
      </c>
      <c r="J568" s="134" t="s">
        <v>142</v>
      </c>
      <c r="K568" s="134" t="s">
        <v>142</v>
      </c>
      <c r="L568" s="134" t="s">
        <v>142</v>
      </c>
      <c r="M568" s="370"/>
      <c r="N568" s="137"/>
    </row>
    <row r="569" hidden="1" outlineLevel="1">
      <c r="A569" s="372" t="s">
        <v>2460</v>
      </c>
      <c r="B569" s="309">
        <v>46268.0</v>
      </c>
      <c r="C569" s="368" t="str">
        <f t="shared" si="63"/>
        <v>Thu</v>
      </c>
      <c r="D569" s="128">
        <f t="shared" si="64"/>
        <v>1</v>
      </c>
      <c r="E569" s="131" t="s">
        <v>142</v>
      </c>
      <c r="F569" s="134" t="s">
        <v>142</v>
      </c>
      <c r="G569" s="134" t="s">
        <v>142</v>
      </c>
      <c r="H569" s="134" t="s">
        <v>142</v>
      </c>
      <c r="I569" s="134" t="s">
        <v>142</v>
      </c>
      <c r="J569" s="134" t="s">
        <v>142</v>
      </c>
      <c r="K569" s="134" t="s">
        <v>142</v>
      </c>
      <c r="L569" s="134" t="s">
        <v>142</v>
      </c>
      <c r="M569" s="370"/>
      <c r="N569" s="137"/>
    </row>
    <row r="570" hidden="1" outlineLevel="1">
      <c r="A570" s="372" t="s">
        <v>2463</v>
      </c>
      <c r="B570" s="309">
        <v>46268.0</v>
      </c>
      <c r="C570" s="368" t="str">
        <f t="shared" si="63"/>
        <v>Thu</v>
      </c>
      <c r="D570" s="143">
        <f t="shared" si="64"/>
        <v>1</v>
      </c>
      <c r="E570" s="144" t="s">
        <v>142</v>
      </c>
      <c r="F570" s="134" t="s">
        <v>142</v>
      </c>
      <c r="G570" s="134" t="s">
        <v>142</v>
      </c>
      <c r="H570" s="134" t="s">
        <v>142</v>
      </c>
      <c r="I570" s="134" t="s">
        <v>142</v>
      </c>
      <c r="J570" s="134" t="s">
        <v>142</v>
      </c>
      <c r="K570" s="134" t="s">
        <v>142</v>
      </c>
      <c r="L570" s="134" t="s">
        <v>142</v>
      </c>
      <c r="M570" s="370"/>
      <c r="N570" s="137"/>
    </row>
    <row r="571" hidden="1" outlineLevel="1">
      <c r="A571" s="372" t="s">
        <v>2465</v>
      </c>
      <c r="B571" s="309">
        <v>46268.0</v>
      </c>
      <c r="C571" s="368" t="str">
        <f t="shared" si="63"/>
        <v>Thu</v>
      </c>
      <c r="D571" s="128">
        <f t="shared" si="64"/>
        <v>1</v>
      </c>
      <c r="E571" s="131" t="s">
        <v>142</v>
      </c>
      <c r="F571" s="134" t="s">
        <v>142</v>
      </c>
      <c r="G571" s="134" t="s">
        <v>142</v>
      </c>
      <c r="H571" s="134" t="s">
        <v>142</v>
      </c>
      <c r="I571" s="134" t="s">
        <v>142</v>
      </c>
      <c r="J571" s="134" t="s">
        <v>142</v>
      </c>
      <c r="K571" s="134" t="s">
        <v>142</v>
      </c>
      <c r="L571" s="134" t="s">
        <v>142</v>
      </c>
      <c r="M571" s="370"/>
      <c r="N571" s="137"/>
    </row>
    <row r="572" hidden="1" outlineLevel="1">
      <c r="A572" s="413" t="s">
        <v>2467</v>
      </c>
      <c r="B572" s="309">
        <v>46269.0</v>
      </c>
      <c r="C572" s="368" t="str">
        <f t="shared" si="63"/>
        <v>Fri</v>
      </c>
      <c r="D572" s="143">
        <f t="shared" si="64"/>
        <v>1</v>
      </c>
      <c r="E572" s="144" t="s">
        <v>142</v>
      </c>
      <c r="F572" s="134" t="s">
        <v>142</v>
      </c>
      <c r="G572" s="134" t="s">
        <v>142</v>
      </c>
      <c r="H572" s="134" t="s">
        <v>142</v>
      </c>
      <c r="I572" s="134" t="s">
        <v>142</v>
      </c>
      <c r="J572" s="134" t="s">
        <v>142</v>
      </c>
      <c r="K572" s="134" t="s">
        <v>142</v>
      </c>
      <c r="L572" s="134" t="s">
        <v>142</v>
      </c>
      <c r="M572" s="370"/>
      <c r="N572" s="137"/>
    </row>
    <row r="573" hidden="1" outlineLevel="1">
      <c r="A573" s="413" t="s">
        <v>2469</v>
      </c>
      <c r="B573" s="309">
        <v>46269.0</v>
      </c>
      <c r="C573" s="368" t="str">
        <f t="shared" si="63"/>
        <v>Fri</v>
      </c>
      <c r="D573" s="128">
        <f t="shared" si="64"/>
        <v>1</v>
      </c>
      <c r="E573" s="131" t="s">
        <v>142</v>
      </c>
      <c r="F573" s="134" t="s">
        <v>142</v>
      </c>
      <c r="G573" s="134" t="s">
        <v>142</v>
      </c>
      <c r="H573" s="134" t="s">
        <v>142</v>
      </c>
      <c r="I573" s="134" t="s">
        <v>142</v>
      </c>
      <c r="J573" s="134" t="s">
        <v>142</v>
      </c>
      <c r="K573" s="134" t="s">
        <v>142</v>
      </c>
      <c r="L573" s="134" t="s">
        <v>142</v>
      </c>
      <c r="M573" s="370"/>
      <c r="N573" s="137"/>
    </row>
    <row r="574" hidden="1" outlineLevel="1">
      <c r="A574" s="413" t="s">
        <v>2471</v>
      </c>
      <c r="B574" s="309">
        <v>46269.0</v>
      </c>
      <c r="C574" s="368" t="str">
        <f t="shared" si="63"/>
        <v>Fri</v>
      </c>
      <c r="D574" s="143">
        <f t="shared" si="64"/>
        <v>1</v>
      </c>
      <c r="E574" s="144" t="s">
        <v>142</v>
      </c>
      <c r="F574" s="134" t="s">
        <v>142</v>
      </c>
      <c r="G574" s="134" t="s">
        <v>142</v>
      </c>
      <c r="H574" s="134" t="s">
        <v>142</v>
      </c>
      <c r="I574" s="134" t="s">
        <v>142</v>
      </c>
      <c r="J574" s="134" t="s">
        <v>142</v>
      </c>
      <c r="K574" s="134" t="s">
        <v>142</v>
      </c>
      <c r="L574" s="134" t="s">
        <v>142</v>
      </c>
      <c r="M574" s="370"/>
      <c r="N574" s="137"/>
    </row>
    <row r="575" hidden="1" outlineLevel="1">
      <c r="A575" s="373"/>
      <c r="B575" s="373"/>
      <c r="C575" s="374" t="s">
        <v>199</v>
      </c>
      <c r="D575" s="375">
        <f>AVERAGE(D560:D574)</f>
        <v>1</v>
      </c>
      <c r="E575" s="376"/>
      <c r="F575" s="373"/>
      <c r="G575" s="373"/>
      <c r="H575" s="373"/>
      <c r="I575" s="373"/>
      <c r="J575" s="373"/>
      <c r="K575" s="373"/>
      <c r="L575" s="374" t="s">
        <v>199</v>
      </c>
      <c r="M575" s="377">
        <f>SUM(M560:M574)/75*0.1</f>
        <v>0</v>
      </c>
      <c r="N575" s="373"/>
    </row>
    <row r="576" collapsed="1">
      <c r="A576" s="85" t="s">
        <v>450</v>
      </c>
      <c r="B576" s="86"/>
      <c r="C576" s="86"/>
      <c r="D576" s="359"/>
      <c r="E576" s="360"/>
      <c r="F576" s="361"/>
      <c r="G576" s="361"/>
      <c r="H576" s="361"/>
      <c r="I576" s="361"/>
      <c r="J576" s="361"/>
      <c r="K576" s="361"/>
      <c r="L576" s="361"/>
      <c r="M576" s="361"/>
      <c r="N576" s="361"/>
    </row>
    <row r="577" hidden="1" outlineLevel="1">
      <c r="A577" s="362" t="s">
        <v>89</v>
      </c>
      <c r="B577" s="363" t="s">
        <v>90</v>
      </c>
      <c r="C577" s="363" t="s">
        <v>91</v>
      </c>
      <c r="D577" s="364" t="s">
        <v>93</v>
      </c>
      <c r="E577" s="365" t="s">
        <v>94</v>
      </c>
      <c r="F577" s="365" t="s">
        <v>95</v>
      </c>
      <c r="G577" s="366" t="s">
        <v>96</v>
      </c>
      <c r="H577" s="366" t="s">
        <v>97</v>
      </c>
      <c r="I577" s="366" t="s">
        <v>104</v>
      </c>
      <c r="J577" s="366" t="s">
        <v>106</v>
      </c>
      <c r="K577" s="366" t="s">
        <v>109</v>
      </c>
      <c r="L577" s="366" t="s">
        <v>111</v>
      </c>
      <c r="M577" s="363" t="s">
        <v>114</v>
      </c>
      <c r="N577" s="363" t="s">
        <v>116</v>
      </c>
    </row>
    <row r="578" hidden="1" outlineLevel="1">
      <c r="A578" s="422" t="s">
        <v>944</v>
      </c>
      <c r="B578" s="309">
        <v>46273.0</v>
      </c>
      <c r="C578" s="368" t="str">
        <f t="shared" ref="C578:C592" si="65">IF(B578="", "", TEXT(B578, "ddd"))</f>
        <v>Tue</v>
      </c>
      <c r="D578" s="143">
        <f t="shared" ref="D578:D592" si="66">IF(E578="Yes",0.05,0)
+IF(F578="Yes",0.1,0)
+IF(G578="Yes",0.15,0)
+IF(H578="Yes",0.15,0)
+IF(I578="Yes",0.05,0)
+IF(J578="Yes",0.05,0)
+IF(K578="Yes",0.15,0)
+IF(L578="Yes",0.3,0)
</f>
        <v>0</v>
      </c>
      <c r="E578" s="144"/>
      <c r="F578" s="134"/>
      <c r="G578" s="134"/>
      <c r="H578" s="134"/>
      <c r="I578" s="134"/>
      <c r="J578" s="134"/>
      <c r="K578" s="134"/>
      <c r="L578" s="134"/>
      <c r="M578" s="370"/>
      <c r="N578" s="137"/>
    </row>
    <row r="579" hidden="1" outlineLevel="1">
      <c r="A579" s="422" t="s">
        <v>944</v>
      </c>
      <c r="B579" s="309">
        <v>46273.0</v>
      </c>
      <c r="C579" s="368" t="str">
        <f t="shared" si="65"/>
        <v>Tue</v>
      </c>
      <c r="D579" s="128">
        <f t="shared" si="66"/>
        <v>0</v>
      </c>
      <c r="E579" s="131"/>
      <c r="F579" s="134"/>
      <c r="G579" s="134"/>
      <c r="H579" s="134"/>
      <c r="I579" s="134"/>
      <c r="J579" s="134"/>
      <c r="K579" s="134"/>
      <c r="L579" s="134"/>
      <c r="M579" s="370"/>
      <c r="N579" s="137"/>
    </row>
    <row r="580" hidden="1" outlineLevel="1">
      <c r="A580" s="422" t="s">
        <v>944</v>
      </c>
      <c r="B580" s="309">
        <v>46273.0</v>
      </c>
      <c r="C580" s="368" t="str">
        <f t="shared" si="65"/>
        <v>Tue</v>
      </c>
      <c r="D580" s="143">
        <f t="shared" si="66"/>
        <v>0</v>
      </c>
      <c r="E580" s="144"/>
      <c r="F580" s="134"/>
      <c r="G580" s="134"/>
      <c r="H580" s="134"/>
      <c r="I580" s="134"/>
      <c r="J580" s="134"/>
      <c r="K580" s="134"/>
      <c r="L580" s="134"/>
      <c r="M580" s="370"/>
      <c r="N580" s="137"/>
    </row>
    <row r="581" hidden="1" outlineLevel="1">
      <c r="A581" s="422" t="s">
        <v>944</v>
      </c>
      <c r="B581" s="309">
        <v>46274.0</v>
      </c>
      <c r="C581" s="368" t="str">
        <f t="shared" si="65"/>
        <v>Wed</v>
      </c>
      <c r="D581" s="128">
        <f t="shared" si="66"/>
        <v>0</v>
      </c>
      <c r="E581" s="131"/>
      <c r="F581" s="134"/>
      <c r="G581" s="134"/>
      <c r="H581" s="134"/>
      <c r="I581" s="134"/>
      <c r="J581" s="134"/>
      <c r="K581" s="134"/>
      <c r="L581" s="134"/>
      <c r="M581" s="370"/>
      <c r="N581" s="137"/>
    </row>
    <row r="582" hidden="1" outlineLevel="1">
      <c r="A582" s="422" t="s">
        <v>944</v>
      </c>
      <c r="B582" s="309">
        <v>46274.0</v>
      </c>
      <c r="C582" s="368" t="str">
        <f t="shared" si="65"/>
        <v>Wed</v>
      </c>
      <c r="D582" s="143">
        <f t="shared" si="66"/>
        <v>0</v>
      </c>
      <c r="E582" s="144"/>
      <c r="F582" s="134"/>
      <c r="G582" s="134"/>
      <c r="H582" s="134"/>
      <c r="I582" s="134"/>
      <c r="J582" s="134"/>
      <c r="K582" s="134"/>
      <c r="L582" s="134"/>
      <c r="M582" s="370"/>
      <c r="N582" s="137"/>
    </row>
    <row r="583" hidden="1" outlineLevel="1">
      <c r="A583" s="422" t="s">
        <v>944</v>
      </c>
      <c r="B583" s="309">
        <v>46274.0</v>
      </c>
      <c r="C583" s="368" t="str">
        <f t="shared" si="65"/>
        <v>Wed</v>
      </c>
      <c r="D583" s="128">
        <f t="shared" si="66"/>
        <v>0</v>
      </c>
      <c r="E583" s="131"/>
      <c r="F583" s="134"/>
      <c r="G583" s="134"/>
      <c r="H583" s="134"/>
      <c r="I583" s="134"/>
      <c r="J583" s="134"/>
      <c r="K583" s="134"/>
      <c r="L583" s="134"/>
      <c r="M583" s="370"/>
      <c r="N583" s="137"/>
    </row>
    <row r="584" hidden="1" outlineLevel="1">
      <c r="A584" s="372" t="s">
        <v>2479</v>
      </c>
      <c r="B584" s="309">
        <v>46275.0</v>
      </c>
      <c r="C584" s="368" t="str">
        <f t="shared" si="65"/>
        <v>Thu</v>
      </c>
      <c r="D584" s="143">
        <f t="shared" si="66"/>
        <v>1</v>
      </c>
      <c r="E584" s="144" t="s">
        <v>142</v>
      </c>
      <c r="F584" s="134" t="s">
        <v>142</v>
      </c>
      <c r="G584" s="134" t="s">
        <v>142</v>
      </c>
      <c r="H584" s="134" t="s">
        <v>142</v>
      </c>
      <c r="I584" s="134" t="s">
        <v>142</v>
      </c>
      <c r="J584" s="134" t="s">
        <v>142</v>
      </c>
      <c r="K584" s="134" t="s">
        <v>142</v>
      </c>
      <c r="L584" s="134" t="s">
        <v>142</v>
      </c>
      <c r="M584" s="370"/>
      <c r="N584" s="137"/>
    </row>
    <row r="585" hidden="1" outlineLevel="1">
      <c r="A585" s="372" t="s">
        <v>2482</v>
      </c>
      <c r="B585" s="309">
        <v>46275.0</v>
      </c>
      <c r="C585" s="368" t="str">
        <f t="shared" si="65"/>
        <v>Thu</v>
      </c>
      <c r="D585" s="128">
        <f t="shared" si="66"/>
        <v>1</v>
      </c>
      <c r="E585" s="131" t="s">
        <v>142</v>
      </c>
      <c r="F585" s="134" t="s">
        <v>142</v>
      </c>
      <c r="G585" s="134" t="s">
        <v>142</v>
      </c>
      <c r="H585" s="134" t="s">
        <v>142</v>
      </c>
      <c r="I585" s="134" t="s">
        <v>142</v>
      </c>
      <c r="J585" s="134" t="s">
        <v>142</v>
      </c>
      <c r="K585" s="134" t="s">
        <v>142</v>
      </c>
      <c r="L585" s="134" t="s">
        <v>142</v>
      </c>
      <c r="M585" s="370"/>
      <c r="N585" s="137"/>
    </row>
    <row r="586" hidden="1" outlineLevel="1">
      <c r="A586" s="372" t="s">
        <v>2483</v>
      </c>
      <c r="B586" s="309">
        <v>46275.0</v>
      </c>
      <c r="C586" s="368" t="str">
        <f t="shared" si="65"/>
        <v>Thu</v>
      </c>
      <c r="D586" s="143">
        <f t="shared" si="66"/>
        <v>1</v>
      </c>
      <c r="E586" s="144" t="s">
        <v>142</v>
      </c>
      <c r="F586" s="134" t="s">
        <v>142</v>
      </c>
      <c r="G586" s="134" t="s">
        <v>142</v>
      </c>
      <c r="H586" s="134" t="s">
        <v>142</v>
      </c>
      <c r="I586" s="134" t="s">
        <v>142</v>
      </c>
      <c r="J586" s="134" t="s">
        <v>142</v>
      </c>
      <c r="K586" s="134" t="s">
        <v>142</v>
      </c>
      <c r="L586" s="134" t="s">
        <v>142</v>
      </c>
      <c r="M586" s="370"/>
      <c r="N586" s="137"/>
    </row>
    <row r="587" hidden="1" outlineLevel="1">
      <c r="A587" s="372" t="s">
        <v>2484</v>
      </c>
      <c r="B587" s="309">
        <v>46276.0</v>
      </c>
      <c r="C587" s="368" t="str">
        <f t="shared" si="65"/>
        <v>Fri</v>
      </c>
      <c r="D587" s="128">
        <f t="shared" si="66"/>
        <v>1</v>
      </c>
      <c r="E587" s="131" t="s">
        <v>142</v>
      </c>
      <c r="F587" s="134" t="s">
        <v>142</v>
      </c>
      <c r="G587" s="134" t="s">
        <v>142</v>
      </c>
      <c r="H587" s="134" t="s">
        <v>142</v>
      </c>
      <c r="I587" s="134" t="s">
        <v>142</v>
      </c>
      <c r="J587" s="134" t="s">
        <v>142</v>
      </c>
      <c r="K587" s="134" t="s">
        <v>142</v>
      </c>
      <c r="L587" s="134" t="s">
        <v>142</v>
      </c>
      <c r="M587" s="370"/>
      <c r="N587" s="137"/>
    </row>
    <row r="588" hidden="1" outlineLevel="1">
      <c r="A588" s="372" t="s">
        <v>2486</v>
      </c>
      <c r="B588" s="309">
        <v>46276.0</v>
      </c>
      <c r="C588" s="368" t="str">
        <f t="shared" si="65"/>
        <v>Fri</v>
      </c>
      <c r="D588" s="143">
        <f t="shared" si="66"/>
        <v>1</v>
      </c>
      <c r="E588" s="144" t="s">
        <v>142</v>
      </c>
      <c r="F588" s="134" t="s">
        <v>142</v>
      </c>
      <c r="G588" s="134" t="s">
        <v>142</v>
      </c>
      <c r="H588" s="134" t="s">
        <v>142</v>
      </c>
      <c r="I588" s="134" t="s">
        <v>142</v>
      </c>
      <c r="J588" s="134" t="s">
        <v>142</v>
      </c>
      <c r="K588" s="134" t="s">
        <v>142</v>
      </c>
      <c r="L588" s="134" t="s">
        <v>142</v>
      </c>
      <c r="M588" s="370"/>
      <c r="N588" s="137"/>
    </row>
    <row r="589" hidden="1" outlineLevel="1">
      <c r="A589" s="372" t="s">
        <v>2487</v>
      </c>
      <c r="B589" s="309">
        <v>46276.0</v>
      </c>
      <c r="C589" s="368" t="str">
        <f t="shared" si="65"/>
        <v>Fri</v>
      </c>
      <c r="D589" s="128">
        <f t="shared" si="66"/>
        <v>1</v>
      </c>
      <c r="E589" s="131" t="s">
        <v>142</v>
      </c>
      <c r="F589" s="134" t="s">
        <v>142</v>
      </c>
      <c r="G589" s="134" t="s">
        <v>142</v>
      </c>
      <c r="H589" s="134" t="s">
        <v>142</v>
      </c>
      <c r="I589" s="134" t="s">
        <v>142</v>
      </c>
      <c r="J589" s="134" t="s">
        <v>142</v>
      </c>
      <c r="K589" s="134" t="s">
        <v>142</v>
      </c>
      <c r="L589" s="134" t="s">
        <v>142</v>
      </c>
      <c r="M589" s="370"/>
      <c r="N589" s="137"/>
    </row>
    <row r="590" hidden="1" outlineLevel="1">
      <c r="A590" s="372" t="s">
        <v>2489</v>
      </c>
      <c r="B590" s="309">
        <v>46277.0</v>
      </c>
      <c r="C590" s="368" t="str">
        <f t="shared" si="65"/>
        <v>Sat</v>
      </c>
      <c r="D590" s="143">
        <f t="shared" si="66"/>
        <v>1</v>
      </c>
      <c r="E590" s="144" t="s">
        <v>142</v>
      </c>
      <c r="F590" s="134" t="s">
        <v>142</v>
      </c>
      <c r="G590" s="134" t="s">
        <v>142</v>
      </c>
      <c r="H590" s="134" t="s">
        <v>142</v>
      </c>
      <c r="I590" s="134" t="s">
        <v>142</v>
      </c>
      <c r="J590" s="134" t="s">
        <v>142</v>
      </c>
      <c r="K590" s="134" t="s">
        <v>142</v>
      </c>
      <c r="L590" s="134" t="s">
        <v>142</v>
      </c>
      <c r="M590" s="370"/>
      <c r="N590" s="137"/>
    </row>
    <row r="591" hidden="1" outlineLevel="1">
      <c r="A591" s="372" t="s">
        <v>2491</v>
      </c>
      <c r="B591" s="309">
        <v>46277.0</v>
      </c>
      <c r="C591" s="368" t="str">
        <f t="shared" si="65"/>
        <v>Sat</v>
      </c>
      <c r="D591" s="128">
        <f t="shared" si="66"/>
        <v>1</v>
      </c>
      <c r="E591" s="131" t="s">
        <v>142</v>
      </c>
      <c r="F591" s="134" t="s">
        <v>142</v>
      </c>
      <c r="G591" s="134" t="s">
        <v>142</v>
      </c>
      <c r="H591" s="134" t="s">
        <v>142</v>
      </c>
      <c r="I591" s="134" t="s">
        <v>142</v>
      </c>
      <c r="J591" s="134" t="s">
        <v>142</v>
      </c>
      <c r="K591" s="134" t="s">
        <v>142</v>
      </c>
      <c r="L591" s="134" t="s">
        <v>142</v>
      </c>
      <c r="M591" s="370"/>
      <c r="N591" s="137"/>
    </row>
    <row r="592" hidden="1" outlineLevel="1">
      <c r="A592" s="372" t="s">
        <v>2493</v>
      </c>
      <c r="B592" s="309">
        <v>46277.0</v>
      </c>
      <c r="C592" s="368" t="str">
        <f t="shared" si="65"/>
        <v>Sat</v>
      </c>
      <c r="D592" s="143">
        <f t="shared" si="66"/>
        <v>1</v>
      </c>
      <c r="E592" s="144" t="s">
        <v>142</v>
      </c>
      <c r="F592" s="134" t="s">
        <v>142</v>
      </c>
      <c r="G592" s="134" t="s">
        <v>142</v>
      </c>
      <c r="H592" s="134" t="s">
        <v>142</v>
      </c>
      <c r="I592" s="134" t="s">
        <v>142</v>
      </c>
      <c r="J592" s="134" t="s">
        <v>142</v>
      </c>
      <c r="K592" s="134" t="s">
        <v>142</v>
      </c>
      <c r="L592" s="134" t="s">
        <v>142</v>
      </c>
      <c r="M592" s="370"/>
      <c r="N592" s="137"/>
    </row>
    <row r="593" hidden="1" outlineLevel="1">
      <c r="A593" s="373"/>
      <c r="B593" s="373"/>
      <c r="C593" s="374" t="s">
        <v>199</v>
      </c>
      <c r="D593" s="375">
        <f>AVERAGE(D578:D592)</f>
        <v>0.6</v>
      </c>
      <c r="E593" s="376"/>
      <c r="F593" s="373"/>
      <c r="G593" s="373"/>
      <c r="H593" s="373"/>
      <c r="I593" s="373"/>
      <c r="J593" s="373"/>
      <c r="K593" s="373"/>
      <c r="L593" s="374" t="s">
        <v>199</v>
      </c>
      <c r="M593" s="377">
        <f>SUM(M578:M592)/75*0.1</f>
        <v>0</v>
      </c>
      <c r="N593" s="373"/>
    </row>
    <row r="594" collapsed="1">
      <c r="A594" s="85" t="s">
        <v>471</v>
      </c>
      <c r="B594" s="86"/>
      <c r="C594" s="86"/>
      <c r="D594" s="359"/>
      <c r="E594" s="360"/>
      <c r="F594" s="361"/>
      <c r="G594" s="361"/>
      <c r="H594" s="361"/>
      <c r="I594" s="361"/>
      <c r="J594" s="361"/>
      <c r="K594" s="361"/>
      <c r="L594" s="361"/>
      <c r="M594" s="361"/>
      <c r="N594" s="361"/>
    </row>
    <row r="595" hidden="1" outlineLevel="1">
      <c r="A595" s="362" t="s">
        <v>89</v>
      </c>
      <c r="B595" s="363" t="s">
        <v>90</v>
      </c>
      <c r="C595" s="363" t="s">
        <v>91</v>
      </c>
      <c r="D595" s="364" t="s">
        <v>93</v>
      </c>
      <c r="E595" s="365" t="s">
        <v>94</v>
      </c>
      <c r="F595" s="365" t="s">
        <v>95</v>
      </c>
      <c r="G595" s="366" t="s">
        <v>96</v>
      </c>
      <c r="H595" s="366" t="s">
        <v>97</v>
      </c>
      <c r="I595" s="366" t="s">
        <v>104</v>
      </c>
      <c r="J595" s="366" t="s">
        <v>106</v>
      </c>
      <c r="K595" s="366" t="s">
        <v>109</v>
      </c>
      <c r="L595" s="366" t="s">
        <v>111</v>
      </c>
      <c r="M595" s="363" t="s">
        <v>114</v>
      </c>
      <c r="N595" s="363" t="s">
        <v>116</v>
      </c>
    </row>
    <row r="596" hidden="1" outlineLevel="1">
      <c r="A596" s="372" t="s">
        <v>2498</v>
      </c>
      <c r="B596" s="309">
        <v>46279.0</v>
      </c>
      <c r="C596" s="368" t="str">
        <f t="shared" ref="C596:C610" si="67">IF(B596="", "", TEXT(B596, "ddd"))</f>
        <v>Mon</v>
      </c>
      <c r="D596" s="143">
        <f t="shared" ref="D596:D610" si="68">IF(E596="Yes",0.05,0)
+IF(F596="Yes",0.1,0)
+IF(G596="Yes",0.15,0)
+IF(H596="Yes",0.15,0)
+IF(I596="Yes",0.05,0)
+IF(J596="Yes",0.05,0)
+IF(K596="Yes",0.15,0)
+IF(L596="Yes",0.3,0)
</f>
        <v>1</v>
      </c>
      <c r="E596" s="144" t="s">
        <v>142</v>
      </c>
      <c r="F596" s="134" t="s">
        <v>142</v>
      </c>
      <c r="G596" s="134" t="s">
        <v>142</v>
      </c>
      <c r="H596" s="134" t="s">
        <v>142</v>
      </c>
      <c r="I596" s="134" t="s">
        <v>142</v>
      </c>
      <c r="J596" s="134" t="s">
        <v>142</v>
      </c>
      <c r="K596" s="134" t="s">
        <v>142</v>
      </c>
      <c r="L596" s="134" t="s">
        <v>142</v>
      </c>
      <c r="M596" s="370"/>
      <c r="N596" s="137"/>
    </row>
    <row r="597" hidden="1" outlineLevel="1">
      <c r="A597" s="367" t="s">
        <v>2501</v>
      </c>
      <c r="B597" s="309">
        <v>46279.0</v>
      </c>
      <c r="C597" s="368" t="str">
        <f t="shared" si="67"/>
        <v>Mon</v>
      </c>
      <c r="D597" s="128">
        <f t="shared" si="68"/>
        <v>1</v>
      </c>
      <c r="E597" s="131" t="s">
        <v>142</v>
      </c>
      <c r="F597" s="134" t="s">
        <v>142</v>
      </c>
      <c r="G597" s="134" t="s">
        <v>142</v>
      </c>
      <c r="H597" s="134" t="s">
        <v>142</v>
      </c>
      <c r="I597" s="134" t="s">
        <v>142</v>
      </c>
      <c r="J597" s="134" t="s">
        <v>142</v>
      </c>
      <c r="K597" s="134" t="s">
        <v>142</v>
      </c>
      <c r="L597" s="134" t="s">
        <v>142</v>
      </c>
      <c r="M597" s="370"/>
      <c r="N597" s="137"/>
    </row>
    <row r="598" hidden="1" outlineLevel="1">
      <c r="A598" s="367" t="s">
        <v>2503</v>
      </c>
      <c r="B598" s="309">
        <v>46279.0</v>
      </c>
      <c r="C598" s="368" t="str">
        <f t="shared" si="67"/>
        <v>Mon</v>
      </c>
      <c r="D598" s="143">
        <f t="shared" si="68"/>
        <v>1</v>
      </c>
      <c r="E598" s="144" t="s">
        <v>142</v>
      </c>
      <c r="F598" s="134" t="s">
        <v>142</v>
      </c>
      <c r="G598" s="134" t="s">
        <v>142</v>
      </c>
      <c r="H598" s="134" t="s">
        <v>142</v>
      </c>
      <c r="I598" s="134" t="s">
        <v>142</v>
      </c>
      <c r="J598" s="134" t="s">
        <v>142</v>
      </c>
      <c r="K598" s="134" t="s">
        <v>142</v>
      </c>
      <c r="L598" s="134" t="s">
        <v>142</v>
      </c>
      <c r="M598" s="370"/>
      <c r="N598" s="137"/>
    </row>
    <row r="599" hidden="1" outlineLevel="1">
      <c r="A599" s="367" t="s">
        <v>2507</v>
      </c>
      <c r="B599" s="309">
        <v>46280.0</v>
      </c>
      <c r="C599" s="368" t="str">
        <f t="shared" si="67"/>
        <v>Tue</v>
      </c>
      <c r="D599" s="128">
        <f t="shared" si="68"/>
        <v>1</v>
      </c>
      <c r="E599" s="131" t="s">
        <v>142</v>
      </c>
      <c r="F599" s="134" t="s">
        <v>142</v>
      </c>
      <c r="G599" s="134" t="s">
        <v>142</v>
      </c>
      <c r="H599" s="134" t="s">
        <v>142</v>
      </c>
      <c r="I599" s="134" t="s">
        <v>142</v>
      </c>
      <c r="J599" s="134" t="s">
        <v>142</v>
      </c>
      <c r="K599" s="134" t="s">
        <v>142</v>
      </c>
      <c r="L599" s="134" t="s">
        <v>142</v>
      </c>
      <c r="M599" s="370"/>
      <c r="N599" s="137"/>
    </row>
    <row r="600" hidden="1" outlineLevel="1">
      <c r="A600" s="367" t="s">
        <v>2511</v>
      </c>
      <c r="B600" s="309">
        <v>46280.0</v>
      </c>
      <c r="C600" s="368" t="str">
        <f t="shared" si="67"/>
        <v>Tue</v>
      </c>
      <c r="D600" s="143">
        <f t="shared" si="68"/>
        <v>1</v>
      </c>
      <c r="E600" s="144" t="s">
        <v>142</v>
      </c>
      <c r="F600" s="134" t="s">
        <v>142</v>
      </c>
      <c r="G600" s="134" t="s">
        <v>142</v>
      </c>
      <c r="H600" s="134" t="s">
        <v>142</v>
      </c>
      <c r="I600" s="134" t="s">
        <v>142</v>
      </c>
      <c r="J600" s="134" t="s">
        <v>142</v>
      </c>
      <c r="K600" s="134" t="s">
        <v>142</v>
      </c>
      <c r="L600" s="134" t="s">
        <v>142</v>
      </c>
      <c r="M600" s="370"/>
      <c r="N600" s="137"/>
    </row>
    <row r="601" hidden="1" outlineLevel="1">
      <c r="A601" s="367" t="s">
        <v>2513</v>
      </c>
      <c r="B601" s="309">
        <v>46280.0</v>
      </c>
      <c r="C601" s="368" t="str">
        <f t="shared" si="67"/>
        <v>Tue</v>
      </c>
      <c r="D601" s="128">
        <f t="shared" si="68"/>
        <v>1</v>
      </c>
      <c r="E601" s="131" t="s">
        <v>142</v>
      </c>
      <c r="F601" s="134" t="s">
        <v>142</v>
      </c>
      <c r="G601" s="134" t="s">
        <v>142</v>
      </c>
      <c r="H601" s="134" t="s">
        <v>142</v>
      </c>
      <c r="I601" s="134" t="s">
        <v>142</v>
      </c>
      <c r="J601" s="134" t="s">
        <v>142</v>
      </c>
      <c r="K601" s="134" t="s">
        <v>142</v>
      </c>
      <c r="L601" s="134" t="s">
        <v>142</v>
      </c>
      <c r="M601" s="370"/>
      <c r="N601" s="137"/>
    </row>
    <row r="602" hidden="1" outlineLevel="1">
      <c r="A602" s="367" t="s">
        <v>2515</v>
      </c>
      <c r="B602" s="309">
        <v>46281.0</v>
      </c>
      <c r="C602" s="368" t="str">
        <f t="shared" si="67"/>
        <v>Wed</v>
      </c>
      <c r="D602" s="143">
        <f t="shared" si="68"/>
        <v>1</v>
      </c>
      <c r="E602" s="144" t="s">
        <v>142</v>
      </c>
      <c r="F602" s="134" t="s">
        <v>142</v>
      </c>
      <c r="G602" s="134" t="s">
        <v>142</v>
      </c>
      <c r="H602" s="134" t="s">
        <v>142</v>
      </c>
      <c r="I602" s="134" t="s">
        <v>142</v>
      </c>
      <c r="J602" s="134" t="s">
        <v>142</v>
      </c>
      <c r="K602" s="134" t="s">
        <v>142</v>
      </c>
      <c r="L602" s="134" t="s">
        <v>142</v>
      </c>
      <c r="M602" s="370"/>
      <c r="N602" s="137"/>
    </row>
    <row r="603" hidden="1" outlineLevel="1">
      <c r="A603" s="367" t="s">
        <v>2517</v>
      </c>
      <c r="B603" s="309">
        <v>46281.0</v>
      </c>
      <c r="C603" s="368" t="str">
        <f t="shared" si="67"/>
        <v>Wed</v>
      </c>
      <c r="D603" s="128">
        <f t="shared" si="68"/>
        <v>1</v>
      </c>
      <c r="E603" s="131" t="s">
        <v>142</v>
      </c>
      <c r="F603" s="134" t="s">
        <v>142</v>
      </c>
      <c r="G603" s="134" t="s">
        <v>142</v>
      </c>
      <c r="H603" s="134" t="s">
        <v>142</v>
      </c>
      <c r="I603" s="134" t="s">
        <v>142</v>
      </c>
      <c r="J603" s="134" t="s">
        <v>142</v>
      </c>
      <c r="K603" s="134" t="s">
        <v>142</v>
      </c>
      <c r="L603" s="134" t="s">
        <v>142</v>
      </c>
      <c r="M603" s="370"/>
      <c r="N603" s="137"/>
    </row>
    <row r="604" hidden="1" outlineLevel="1">
      <c r="A604" s="367" t="s">
        <v>2519</v>
      </c>
      <c r="B604" s="309">
        <v>46281.0</v>
      </c>
      <c r="C604" s="368" t="str">
        <f t="shared" si="67"/>
        <v>Wed</v>
      </c>
      <c r="D604" s="143">
        <f t="shared" si="68"/>
        <v>1</v>
      </c>
      <c r="E604" s="144" t="s">
        <v>142</v>
      </c>
      <c r="F604" s="134" t="s">
        <v>142</v>
      </c>
      <c r="G604" s="134" t="s">
        <v>142</v>
      </c>
      <c r="H604" s="134" t="s">
        <v>142</v>
      </c>
      <c r="I604" s="134" t="s">
        <v>142</v>
      </c>
      <c r="J604" s="134" t="s">
        <v>142</v>
      </c>
      <c r="K604" s="134" t="s">
        <v>142</v>
      </c>
      <c r="L604" s="134" t="s">
        <v>142</v>
      </c>
      <c r="M604" s="370"/>
      <c r="N604" s="137"/>
    </row>
    <row r="605" hidden="1" outlineLevel="1">
      <c r="A605" s="372" t="s">
        <v>2521</v>
      </c>
      <c r="B605" s="309">
        <v>46282.0</v>
      </c>
      <c r="C605" s="368" t="str">
        <f t="shared" si="67"/>
        <v>Thu</v>
      </c>
      <c r="D605" s="128">
        <f t="shared" si="68"/>
        <v>1</v>
      </c>
      <c r="E605" s="131" t="s">
        <v>142</v>
      </c>
      <c r="F605" s="134" t="s">
        <v>142</v>
      </c>
      <c r="G605" s="134" t="s">
        <v>142</v>
      </c>
      <c r="H605" s="134" t="s">
        <v>142</v>
      </c>
      <c r="I605" s="134" t="s">
        <v>142</v>
      </c>
      <c r="J605" s="134" t="s">
        <v>142</v>
      </c>
      <c r="K605" s="134" t="s">
        <v>142</v>
      </c>
      <c r="L605" s="134" t="s">
        <v>142</v>
      </c>
      <c r="M605" s="370"/>
      <c r="N605" s="137"/>
    </row>
    <row r="606" hidden="1" outlineLevel="1">
      <c r="A606" s="372" t="s">
        <v>2530</v>
      </c>
      <c r="B606" s="309">
        <v>46282.0</v>
      </c>
      <c r="C606" s="368" t="str">
        <f t="shared" si="67"/>
        <v>Thu</v>
      </c>
      <c r="D606" s="143">
        <f t="shared" si="68"/>
        <v>1</v>
      </c>
      <c r="E606" s="144" t="s">
        <v>142</v>
      </c>
      <c r="F606" s="134" t="s">
        <v>142</v>
      </c>
      <c r="G606" s="134" t="s">
        <v>142</v>
      </c>
      <c r="H606" s="134" t="s">
        <v>142</v>
      </c>
      <c r="I606" s="134" t="s">
        <v>142</v>
      </c>
      <c r="J606" s="134" t="s">
        <v>142</v>
      </c>
      <c r="K606" s="134" t="s">
        <v>142</v>
      </c>
      <c r="L606" s="134" t="s">
        <v>142</v>
      </c>
      <c r="M606" s="370"/>
      <c r="N606" s="137"/>
    </row>
    <row r="607" hidden="1" outlineLevel="1">
      <c r="A607" s="372" t="s">
        <v>2532</v>
      </c>
      <c r="B607" s="309">
        <v>46282.0</v>
      </c>
      <c r="C607" s="368" t="str">
        <f t="shared" si="67"/>
        <v>Thu</v>
      </c>
      <c r="D607" s="128">
        <f t="shared" si="68"/>
        <v>1</v>
      </c>
      <c r="E607" s="131" t="s">
        <v>142</v>
      </c>
      <c r="F607" s="134" t="s">
        <v>142</v>
      </c>
      <c r="G607" s="134" t="s">
        <v>142</v>
      </c>
      <c r="H607" s="134" t="s">
        <v>142</v>
      </c>
      <c r="I607" s="134" t="s">
        <v>142</v>
      </c>
      <c r="J607" s="134" t="s">
        <v>142</v>
      </c>
      <c r="K607" s="134" t="s">
        <v>142</v>
      </c>
      <c r="L607" s="134" t="s">
        <v>142</v>
      </c>
      <c r="M607" s="370"/>
      <c r="N607" s="137"/>
    </row>
    <row r="608" hidden="1" outlineLevel="1">
      <c r="A608" s="367" t="s">
        <v>2533</v>
      </c>
      <c r="B608" s="309">
        <v>46283.0</v>
      </c>
      <c r="C608" s="368" t="str">
        <f t="shared" si="67"/>
        <v>Fri</v>
      </c>
      <c r="D608" s="143">
        <f t="shared" si="68"/>
        <v>1</v>
      </c>
      <c r="E608" s="144" t="s">
        <v>142</v>
      </c>
      <c r="F608" s="134" t="s">
        <v>142</v>
      </c>
      <c r="G608" s="134" t="s">
        <v>142</v>
      </c>
      <c r="H608" s="134" t="s">
        <v>142</v>
      </c>
      <c r="I608" s="134" t="s">
        <v>142</v>
      </c>
      <c r="J608" s="134" t="s">
        <v>142</v>
      </c>
      <c r="K608" s="134" t="s">
        <v>142</v>
      </c>
      <c r="L608" s="134" t="s">
        <v>142</v>
      </c>
      <c r="M608" s="370"/>
      <c r="N608" s="137"/>
    </row>
    <row r="609" hidden="1" outlineLevel="1">
      <c r="A609" s="367" t="s">
        <v>2536</v>
      </c>
      <c r="B609" s="309">
        <v>46283.0</v>
      </c>
      <c r="C609" s="368" t="str">
        <f t="shared" si="67"/>
        <v>Fri</v>
      </c>
      <c r="D609" s="128">
        <f t="shared" si="68"/>
        <v>1</v>
      </c>
      <c r="E609" s="131" t="s">
        <v>142</v>
      </c>
      <c r="F609" s="134" t="s">
        <v>142</v>
      </c>
      <c r="G609" s="134" t="s">
        <v>142</v>
      </c>
      <c r="H609" s="134" t="s">
        <v>142</v>
      </c>
      <c r="I609" s="134" t="s">
        <v>142</v>
      </c>
      <c r="J609" s="134" t="s">
        <v>142</v>
      </c>
      <c r="K609" s="134" t="s">
        <v>142</v>
      </c>
      <c r="L609" s="134" t="s">
        <v>142</v>
      </c>
      <c r="M609" s="370"/>
      <c r="N609" s="137"/>
    </row>
    <row r="610" hidden="1" outlineLevel="1">
      <c r="A610" s="367" t="s">
        <v>2538</v>
      </c>
      <c r="B610" s="309">
        <v>46283.0</v>
      </c>
      <c r="C610" s="368" t="str">
        <f t="shared" si="67"/>
        <v>Fri</v>
      </c>
      <c r="D610" s="143">
        <f t="shared" si="68"/>
        <v>1</v>
      </c>
      <c r="E610" s="144" t="s">
        <v>142</v>
      </c>
      <c r="F610" s="134" t="s">
        <v>142</v>
      </c>
      <c r="G610" s="134" t="s">
        <v>142</v>
      </c>
      <c r="H610" s="134" t="s">
        <v>142</v>
      </c>
      <c r="I610" s="134" t="s">
        <v>142</v>
      </c>
      <c r="J610" s="134" t="s">
        <v>142</v>
      </c>
      <c r="K610" s="134" t="s">
        <v>142</v>
      </c>
      <c r="L610" s="134" t="s">
        <v>142</v>
      </c>
      <c r="M610" s="370"/>
      <c r="N610" s="137"/>
    </row>
    <row r="611" hidden="1" outlineLevel="1">
      <c r="A611" s="373"/>
      <c r="B611" s="373"/>
      <c r="C611" s="374" t="s">
        <v>199</v>
      </c>
      <c r="D611" s="375">
        <f>AVERAGE(D596:D610)</f>
        <v>1</v>
      </c>
      <c r="E611" s="376"/>
      <c r="F611" s="373"/>
      <c r="G611" s="373"/>
      <c r="H611" s="373"/>
      <c r="I611" s="373"/>
      <c r="J611" s="373"/>
      <c r="K611" s="373"/>
      <c r="L611" s="374" t="s">
        <v>199</v>
      </c>
      <c r="M611" s="377">
        <f>SUM(M596:M610)/75*0.1</f>
        <v>0</v>
      </c>
      <c r="N611" s="373"/>
    </row>
    <row r="612" collapsed="1">
      <c r="A612" s="85" t="s">
        <v>493</v>
      </c>
      <c r="B612" s="86"/>
      <c r="C612" s="86"/>
      <c r="D612" s="359"/>
      <c r="E612" s="360"/>
      <c r="F612" s="361"/>
      <c r="G612" s="361"/>
      <c r="H612" s="361"/>
      <c r="I612" s="361"/>
      <c r="J612" s="361"/>
      <c r="K612" s="361"/>
      <c r="L612" s="361"/>
      <c r="M612" s="361"/>
      <c r="N612" s="361"/>
    </row>
    <row r="613" hidden="1" outlineLevel="1">
      <c r="A613" s="362" t="s">
        <v>89</v>
      </c>
      <c r="B613" s="363" t="s">
        <v>90</v>
      </c>
      <c r="C613" s="363" t="s">
        <v>91</v>
      </c>
      <c r="D613" s="364" t="s">
        <v>93</v>
      </c>
      <c r="E613" s="365" t="s">
        <v>94</v>
      </c>
      <c r="F613" s="365" t="s">
        <v>95</v>
      </c>
      <c r="G613" s="366" t="s">
        <v>96</v>
      </c>
      <c r="H613" s="366" t="s">
        <v>97</v>
      </c>
      <c r="I613" s="366" t="s">
        <v>104</v>
      </c>
      <c r="J613" s="366" t="s">
        <v>106</v>
      </c>
      <c r="K613" s="366" t="s">
        <v>109</v>
      </c>
      <c r="L613" s="366" t="s">
        <v>111</v>
      </c>
      <c r="M613" s="363" t="s">
        <v>114</v>
      </c>
      <c r="N613" s="363" t="s">
        <v>116</v>
      </c>
    </row>
    <row r="614" hidden="1" outlineLevel="1">
      <c r="A614" s="367" t="s">
        <v>2542</v>
      </c>
      <c r="B614" s="309">
        <v>46286.0</v>
      </c>
      <c r="C614" s="368" t="str">
        <f t="shared" ref="C614:C628" si="69">IF(B614="", "", TEXT(B614, "ddd"))</f>
        <v>Mon</v>
      </c>
      <c r="D614" s="143">
        <f t="shared" ref="D614:D628" si="70">IF(E614="Yes",0.05,0)
+IF(F614="Yes",0.1,0)
+IF(G614="Yes",0.15,0)
+IF(H614="Yes",0.15,0)
+IF(I614="Yes",0.05,0)
+IF(J614="Yes",0.05,0)
+IF(K614="Yes",0.15,0)
+IF(L614="Yes",0.3,0)
</f>
        <v>1</v>
      </c>
      <c r="E614" s="144" t="s">
        <v>142</v>
      </c>
      <c r="F614" s="134" t="s">
        <v>142</v>
      </c>
      <c r="G614" s="134" t="s">
        <v>142</v>
      </c>
      <c r="H614" s="134" t="s">
        <v>142</v>
      </c>
      <c r="I614" s="134" t="s">
        <v>142</v>
      </c>
      <c r="J614" s="134" t="s">
        <v>142</v>
      </c>
      <c r="K614" s="134" t="s">
        <v>142</v>
      </c>
      <c r="L614" s="134" t="s">
        <v>142</v>
      </c>
      <c r="M614" s="370"/>
      <c r="N614" s="137"/>
    </row>
    <row r="615" hidden="1" outlineLevel="1">
      <c r="A615" s="367" t="s">
        <v>2545</v>
      </c>
      <c r="B615" s="309">
        <v>46286.0</v>
      </c>
      <c r="C615" s="368" t="str">
        <f t="shared" si="69"/>
        <v>Mon</v>
      </c>
      <c r="D615" s="128">
        <f t="shared" si="70"/>
        <v>1</v>
      </c>
      <c r="E615" s="131" t="s">
        <v>142</v>
      </c>
      <c r="F615" s="134" t="s">
        <v>142</v>
      </c>
      <c r="G615" s="134" t="s">
        <v>142</v>
      </c>
      <c r="H615" s="134" t="s">
        <v>142</v>
      </c>
      <c r="I615" s="134" t="s">
        <v>142</v>
      </c>
      <c r="J615" s="134" t="s">
        <v>142</v>
      </c>
      <c r="K615" s="134" t="s">
        <v>142</v>
      </c>
      <c r="L615" s="134" t="s">
        <v>142</v>
      </c>
      <c r="M615" s="370"/>
      <c r="N615" s="137"/>
    </row>
    <row r="616" hidden="1" outlineLevel="1">
      <c r="A616" s="367" t="s">
        <v>2548</v>
      </c>
      <c r="B616" s="309">
        <v>46286.0</v>
      </c>
      <c r="C616" s="368" t="str">
        <f t="shared" si="69"/>
        <v>Mon</v>
      </c>
      <c r="D616" s="143">
        <f t="shared" si="70"/>
        <v>1</v>
      </c>
      <c r="E616" s="144" t="s">
        <v>142</v>
      </c>
      <c r="F616" s="134" t="s">
        <v>142</v>
      </c>
      <c r="G616" s="134" t="s">
        <v>142</v>
      </c>
      <c r="H616" s="134" t="s">
        <v>142</v>
      </c>
      <c r="I616" s="134" t="s">
        <v>142</v>
      </c>
      <c r="J616" s="134" t="s">
        <v>142</v>
      </c>
      <c r="K616" s="134" t="s">
        <v>142</v>
      </c>
      <c r="L616" s="134" t="s">
        <v>142</v>
      </c>
      <c r="M616" s="370"/>
      <c r="N616" s="137"/>
    </row>
    <row r="617" hidden="1" outlineLevel="1">
      <c r="A617" s="367" t="s">
        <v>2549</v>
      </c>
      <c r="B617" s="309">
        <v>46287.0</v>
      </c>
      <c r="C617" s="368" t="str">
        <f t="shared" si="69"/>
        <v>Tue</v>
      </c>
      <c r="D617" s="128">
        <f t="shared" si="70"/>
        <v>1</v>
      </c>
      <c r="E617" s="131" t="s">
        <v>142</v>
      </c>
      <c r="F617" s="134" t="s">
        <v>142</v>
      </c>
      <c r="G617" s="134" t="s">
        <v>142</v>
      </c>
      <c r="H617" s="134" t="s">
        <v>142</v>
      </c>
      <c r="I617" s="134" t="s">
        <v>142</v>
      </c>
      <c r="J617" s="134" t="s">
        <v>142</v>
      </c>
      <c r="K617" s="134" t="s">
        <v>142</v>
      </c>
      <c r="L617" s="134" t="s">
        <v>142</v>
      </c>
      <c r="M617" s="370"/>
      <c r="N617" s="137"/>
    </row>
    <row r="618" hidden="1" outlineLevel="1">
      <c r="A618" s="367" t="s">
        <v>2551</v>
      </c>
      <c r="B618" s="309">
        <v>46287.0</v>
      </c>
      <c r="C618" s="368" t="str">
        <f t="shared" si="69"/>
        <v>Tue</v>
      </c>
      <c r="D618" s="143">
        <f t="shared" si="70"/>
        <v>1</v>
      </c>
      <c r="E618" s="144" t="s">
        <v>142</v>
      </c>
      <c r="F618" s="134" t="s">
        <v>142</v>
      </c>
      <c r="G618" s="134" t="s">
        <v>142</v>
      </c>
      <c r="H618" s="134" t="s">
        <v>142</v>
      </c>
      <c r="I618" s="134" t="s">
        <v>142</v>
      </c>
      <c r="J618" s="134" t="s">
        <v>142</v>
      </c>
      <c r="K618" s="134" t="s">
        <v>142</v>
      </c>
      <c r="L618" s="134" t="s">
        <v>142</v>
      </c>
      <c r="M618" s="370"/>
      <c r="N618" s="137"/>
    </row>
    <row r="619" hidden="1" outlineLevel="1">
      <c r="A619" s="367" t="s">
        <v>2552</v>
      </c>
      <c r="B619" s="309">
        <v>46287.0</v>
      </c>
      <c r="C619" s="368" t="str">
        <f t="shared" si="69"/>
        <v>Tue</v>
      </c>
      <c r="D619" s="128">
        <f t="shared" si="70"/>
        <v>1</v>
      </c>
      <c r="E619" s="131" t="s">
        <v>142</v>
      </c>
      <c r="F619" s="134" t="s">
        <v>142</v>
      </c>
      <c r="G619" s="134" t="s">
        <v>142</v>
      </c>
      <c r="H619" s="134" t="s">
        <v>142</v>
      </c>
      <c r="I619" s="134" t="s">
        <v>142</v>
      </c>
      <c r="J619" s="134" t="s">
        <v>142</v>
      </c>
      <c r="K619" s="134" t="s">
        <v>142</v>
      </c>
      <c r="L619" s="134" t="s">
        <v>142</v>
      </c>
      <c r="M619" s="370"/>
      <c r="N619" s="137"/>
    </row>
    <row r="620" hidden="1" outlineLevel="1">
      <c r="A620" s="367" t="s">
        <v>2553</v>
      </c>
      <c r="B620" s="309">
        <v>46288.0</v>
      </c>
      <c r="C620" s="368" t="str">
        <f t="shared" si="69"/>
        <v>Wed</v>
      </c>
      <c r="D620" s="143">
        <f t="shared" si="70"/>
        <v>1</v>
      </c>
      <c r="E620" s="144" t="s">
        <v>142</v>
      </c>
      <c r="F620" s="134" t="s">
        <v>142</v>
      </c>
      <c r="G620" s="134" t="s">
        <v>142</v>
      </c>
      <c r="H620" s="134" t="s">
        <v>142</v>
      </c>
      <c r="I620" s="134" t="s">
        <v>142</v>
      </c>
      <c r="J620" s="134" t="s">
        <v>142</v>
      </c>
      <c r="K620" s="134" t="s">
        <v>142</v>
      </c>
      <c r="L620" s="134" t="s">
        <v>142</v>
      </c>
      <c r="M620" s="370"/>
      <c r="N620" s="137"/>
    </row>
    <row r="621" hidden="1" outlineLevel="1">
      <c r="A621" s="367" t="s">
        <v>2554</v>
      </c>
      <c r="B621" s="309">
        <v>46288.0</v>
      </c>
      <c r="C621" s="368" t="str">
        <f t="shared" si="69"/>
        <v>Wed</v>
      </c>
      <c r="D621" s="128">
        <f t="shared" si="70"/>
        <v>1</v>
      </c>
      <c r="E621" s="131" t="s">
        <v>142</v>
      </c>
      <c r="F621" s="134" t="s">
        <v>142</v>
      </c>
      <c r="G621" s="134" t="s">
        <v>142</v>
      </c>
      <c r="H621" s="134" t="s">
        <v>142</v>
      </c>
      <c r="I621" s="134" t="s">
        <v>142</v>
      </c>
      <c r="J621" s="134" t="s">
        <v>142</v>
      </c>
      <c r="K621" s="134" t="s">
        <v>142</v>
      </c>
      <c r="L621" s="134" t="s">
        <v>142</v>
      </c>
      <c r="M621" s="370"/>
      <c r="N621" s="137"/>
    </row>
    <row r="622" hidden="1" outlineLevel="1">
      <c r="A622" s="367" t="s">
        <v>2555</v>
      </c>
      <c r="B622" s="309">
        <v>46288.0</v>
      </c>
      <c r="C622" s="368" t="str">
        <f t="shared" si="69"/>
        <v>Wed</v>
      </c>
      <c r="D622" s="143">
        <f t="shared" si="70"/>
        <v>1</v>
      </c>
      <c r="E622" s="144" t="s">
        <v>142</v>
      </c>
      <c r="F622" s="134" t="s">
        <v>142</v>
      </c>
      <c r="G622" s="134" t="s">
        <v>142</v>
      </c>
      <c r="H622" s="134" t="s">
        <v>142</v>
      </c>
      <c r="I622" s="134" t="s">
        <v>142</v>
      </c>
      <c r="J622" s="134" t="s">
        <v>142</v>
      </c>
      <c r="K622" s="134" t="s">
        <v>142</v>
      </c>
      <c r="L622" s="134" t="s">
        <v>142</v>
      </c>
      <c r="M622" s="370"/>
      <c r="N622" s="137"/>
    </row>
    <row r="623" hidden="1" outlineLevel="1">
      <c r="A623" s="367" t="s">
        <v>2556</v>
      </c>
      <c r="B623" s="309">
        <v>46289.0</v>
      </c>
      <c r="C623" s="368" t="str">
        <f t="shared" si="69"/>
        <v>Thu</v>
      </c>
      <c r="D623" s="128">
        <f t="shared" si="70"/>
        <v>1</v>
      </c>
      <c r="E623" s="131" t="s">
        <v>142</v>
      </c>
      <c r="F623" s="134" t="s">
        <v>142</v>
      </c>
      <c r="G623" s="134" t="s">
        <v>142</v>
      </c>
      <c r="H623" s="134" t="s">
        <v>142</v>
      </c>
      <c r="I623" s="134" t="s">
        <v>142</v>
      </c>
      <c r="J623" s="134" t="s">
        <v>142</v>
      </c>
      <c r="K623" s="134" t="s">
        <v>142</v>
      </c>
      <c r="L623" s="134" t="s">
        <v>142</v>
      </c>
      <c r="M623" s="370"/>
      <c r="N623" s="137"/>
    </row>
    <row r="624" hidden="1" outlineLevel="1">
      <c r="A624" s="367" t="s">
        <v>2557</v>
      </c>
      <c r="B624" s="309">
        <v>46289.0</v>
      </c>
      <c r="C624" s="368" t="str">
        <f t="shared" si="69"/>
        <v>Thu</v>
      </c>
      <c r="D624" s="143">
        <f t="shared" si="70"/>
        <v>1</v>
      </c>
      <c r="E624" s="144" t="s">
        <v>142</v>
      </c>
      <c r="F624" s="134" t="s">
        <v>142</v>
      </c>
      <c r="G624" s="134" t="s">
        <v>142</v>
      </c>
      <c r="H624" s="134" t="s">
        <v>142</v>
      </c>
      <c r="I624" s="134" t="s">
        <v>142</v>
      </c>
      <c r="J624" s="134" t="s">
        <v>142</v>
      </c>
      <c r="K624" s="134" t="s">
        <v>142</v>
      </c>
      <c r="L624" s="134" t="s">
        <v>142</v>
      </c>
      <c r="M624" s="370"/>
      <c r="N624" s="137"/>
    </row>
    <row r="625" hidden="1" outlineLevel="1">
      <c r="A625" s="367" t="s">
        <v>2558</v>
      </c>
      <c r="B625" s="309">
        <v>46289.0</v>
      </c>
      <c r="C625" s="368" t="str">
        <f t="shared" si="69"/>
        <v>Thu</v>
      </c>
      <c r="D625" s="128">
        <f t="shared" si="70"/>
        <v>1</v>
      </c>
      <c r="E625" s="131" t="s">
        <v>142</v>
      </c>
      <c r="F625" s="134" t="s">
        <v>142</v>
      </c>
      <c r="G625" s="134" t="s">
        <v>142</v>
      </c>
      <c r="H625" s="134" t="s">
        <v>142</v>
      </c>
      <c r="I625" s="134" t="s">
        <v>142</v>
      </c>
      <c r="J625" s="134" t="s">
        <v>142</v>
      </c>
      <c r="K625" s="134" t="s">
        <v>142</v>
      </c>
      <c r="L625" s="134" t="s">
        <v>142</v>
      </c>
      <c r="M625" s="370"/>
      <c r="N625" s="137"/>
    </row>
    <row r="626" hidden="1" outlineLevel="1">
      <c r="A626" s="367" t="s">
        <v>2559</v>
      </c>
      <c r="B626" s="309">
        <v>46290.0</v>
      </c>
      <c r="C626" s="368" t="str">
        <f t="shared" si="69"/>
        <v>Fri</v>
      </c>
      <c r="D626" s="143">
        <f t="shared" si="70"/>
        <v>1</v>
      </c>
      <c r="E626" s="144" t="s">
        <v>142</v>
      </c>
      <c r="F626" s="134" t="s">
        <v>142</v>
      </c>
      <c r="G626" s="134" t="s">
        <v>142</v>
      </c>
      <c r="H626" s="134" t="s">
        <v>142</v>
      </c>
      <c r="I626" s="134" t="s">
        <v>142</v>
      </c>
      <c r="J626" s="134" t="s">
        <v>142</v>
      </c>
      <c r="K626" s="134" t="s">
        <v>142</v>
      </c>
      <c r="L626" s="134" t="s">
        <v>142</v>
      </c>
      <c r="M626" s="370"/>
      <c r="N626" s="137"/>
    </row>
    <row r="627" hidden="1" outlineLevel="1">
      <c r="A627" s="367" t="s">
        <v>2560</v>
      </c>
      <c r="B627" s="309">
        <v>46290.0</v>
      </c>
      <c r="C627" s="368" t="str">
        <f t="shared" si="69"/>
        <v>Fri</v>
      </c>
      <c r="D627" s="128">
        <f t="shared" si="70"/>
        <v>1</v>
      </c>
      <c r="E627" s="131" t="s">
        <v>142</v>
      </c>
      <c r="F627" s="134" t="s">
        <v>142</v>
      </c>
      <c r="G627" s="134" t="s">
        <v>142</v>
      </c>
      <c r="H627" s="134" t="s">
        <v>142</v>
      </c>
      <c r="I627" s="134" t="s">
        <v>142</v>
      </c>
      <c r="J627" s="134" t="s">
        <v>142</v>
      </c>
      <c r="K627" s="134" t="s">
        <v>142</v>
      </c>
      <c r="L627" s="134" t="s">
        <v>142</v>
      </c>
      <c r="M627" s="370"/>
      <c r="N627" s="137"/>
    </row>
    <row r="628" hidden="1" outlineLevel="1">
      <c r="A628" s="367" t="s">
        <v>2561</v>
      </c>
      <c r="B628" s="309">
        <v>46290.0</v>
      </c>
      <c r="C628" s="368" t="str">
        <f t="shared" si="69"/>
        <v>Fri</v>
      </c>
      <c r="D628" s="143">
        <f t="shared" si="70"/>
        <v>1</v>
      </c>
      <c r="E628" s="144" t="s">
        <v>142</v>
      </c>
      <c r="F628" s="134" t="s">
        <v>142</v>
      </c>
      <c r="G628" s="134" t="s">
        <v>142</v>
      </c>
      <c r="H628" s="134" t="s">
        <v>142</v>
      </c>
      <c r="I628" s="134" t="s">
        <v>142</v>
      </c>
      <c r="J628" s="134" t="s">
        <v>142</v>
      </c>
      <c r="K628" s="134" t="s">
        <v>142</v>
      </c>
      <c r="L628" s="134" t="s">
        <v>142</v>
      </c>
      <c r="M628" s="370"/>
      <c r="N628" s="137"/>
    </row>
    <row r="629" hidden="1" outlineLevel="1">
      <c r="A629" s="373"/>
      <c r="B629" s="373"/>
      <c r="C629" s="374" t="s">
        <v>199</v>
      </c>
      <c r="D629" s="375">
        <f>AVERAGE(D614:D628)</f>
        <v>1</v>
      </c>
      <c r="E629" s="376"/>
      <c r="F629" s="373"/>
      <c r="G629" s="373"/>
      <c r="H629" s="373"/>
      <c r="I629" s="373"/>
      <c r="J629" s="373"/>
      <c r="K629" s="373"/>
      <c r="L629" s="374" t="s">
        <v>199</v>
      </c>
      <c r="M629" s="377">
        <f>SUM(M614:M628)/75*0.1</f>
        <v>0</v>
      </c>
      <c r="N629" s="373"/>
    </row>
    <row r="630" collapsed="1">
      <c r="A630" s="85" t="s">
        <v>514</v>
      </c>
      <c r="B630" s="86"/>
      <c r="C630" s="86"/>
      <c r="D630" s="359"/>
      <c r="E630" s="360"/>
      <c r="F630" s="361"/>
      <c r="G630" s="361"/>
      <c r="H630" s="361"/>
      <c r="I630" s="361"/>
      <c r="J630" s="361"/>
      <c r="K630" s="361"/>
      <c r="L630" s="361"/>
      <c r="M630" s="361"/>
      <c r="N630" s="361"/>
    </row>
    <row r="631" hidden="1" outlineLevel="1">
      <c r="A631" s="362" t="s">
        <v>89</v>
      </c>
      <c r="B631" s="363" t="s">
        <v>90</v>
      </c>
      <c r="C631" s="363" t="s">
        <v>91</v>
      </c>
      <c r="D631" s="364" t="s">
        <v>93</v>
      </c>
      <c r="E631" s="365" t="s">
        <v>94</v>
      </c>
      <c r="F631" s="365" t="s">
        <v>95</v>
      </c>
      <c r="G631" s="366" t="s">
        <v>96</v>
      </c>
      <c r="H631" s="366" t="s">
        <v>97</v>
      </c>
      <c r="I631" s="366" t="s">
        <v>104</v>
      </c>
      <c r="J631" s="366" t="s">
        <v>106</v>
      </c>
      <c r="K631" s="366" t="s">
        <v>109</v>
      </c>
      <c r="L631" s="366" t="s">
        <v>111</v>
      </c>
      <c r="M631" s="363" t="s">
        <v>114</v>
      </c>
      <c r="N631" s="363" t="s">
        <v>116</v>
      </c>
    </row>
    <row r="632" hidden="1" outlineLevel="1">
      <c r="A632" s="367" t="s">
        <v>2562</v>
      </c>
      <c r="B632" s="309">
        <v>46293.0</v>
      </c>
      <c r="C632" s="368" t="str">
        <f t="shared" ref="C632:C646" si="71">IF(B632="", "", TEXT(B632, "ddd"))</f>
        <v>Mon</v>
      </c>
      <c r="D632" s="143">
        <f t="shared" ref="D632:D646" si="72">IF(E632="Yes",0.05,0)
+IF(F632="Yes",0.1,0)
+IF(G632="Yes",0.15,0)
+IF(H632="Yes",0.15,0)
+IF(I632="Yes",0.05,0)
+IF(J632="Yes",0.05,0)
+IF(K632="Yes",0.15,0)
+IF(L632="Yes",0.3,0)
</f>
        <v>1</v>
      </c>
      <c r="E632" s="144" t="s">
        <v>142</v>
      </c>
      <c r="F632" s="134" t="s">
        <v>142</v>
      </c>
      <c r="G632" s="134" t="s">
        <v>142</v>
      </c>
      <c r="H632" s="134" t="s">
        <v>142</v>
      </c>
      <c r="I632" s="134" t="s">
        <v>142</v>
      </c>
      <c r="J632" s="134" t="s">
        <v>142</v>
      </c>
      <c r="K632" s="134" t="s">
        <v>142</v>
      </c>
      <c r="L632" s="134" t="s">
        <v>142</v>
      </c>
      <c r="M632" s="370"/>
      <c r="N632" s="137"/>
    </row>
    <row r="633" hidden="1" outlineLevel="1">
      <c r="A633" s="367" t="s">
        <v>2563</v>
      </c>
      <c r="B633" s="309">
        <v>46293.0</v>
      </c>
      <c r="C633" s="368" t="str">
        <f t="shared" si="71"/>
        <v>Mon</v>
      </c>
      <c r="D633" s="128">
        <f t="shared" si="72"/>
        <v>1</v>
      </c>
      <c r="E633" s="131" t="s">
        <v>142</v>
      </c>
      <c r="F633" s="134" t="s">
        <v>142</v>
      </c>
      <c r="G633" s="134" t="s">
        <v>142</v>
      </c>
      <c r="H633" s="134" t="s">
        <v>142</v>
      </c>
      <c r="I633" s="134" t="s">
        <v>142</v>
      </c>
      <c r="J633" s="134" t="s">
        <v>142</v>
      </c>
      <c r="K633" s="134" t="s">
        <v>142</v>
      </c>
      <c r="L633" s="134" t="s">
        <v>142</v>
      </c>
      <c r="M633" s="370"/>
      <c r="N633" s="137"/>
    </row>
    <row r="634" hidden="1" outlineLevel="1">
      <c r="A634" s="367" t="s">
        <v>2564</v>
      </c>
      <c r="B634" s="309">
        <v>46293.0</v>
      </c>
      <c r="C634" s="368" t="str">
        <f t="shared" si="71"/>
        <v>Mon</v>
      </c>
      <c r="D634" s="143">
        <f t="shared" si="72"/>
        <v>1</v>
      </c>
      <c r="E634" s="144" t="s">
        <v>142</v>
      </c>
      <c r="F634" s="134" t="s">
        <v>142</v>
      </c>
      <c r="G634" s="134" t="s">
        <v>142</v>
      </c>
      <c r="H634" s="134" t="s">
        <v>142</v>
      </c>
      <c r="I634" s="134" t="s">
        <v>142</v>
      </c>
      <c r="J634" s="134" t="s">
        <v>142</v>
      </c>
      <c r="K634" s="134" t="s">
        <v>142</v>
      </c>
      <c r="L634" s="134" t="s">
        <v>142</v>
      </c>
      <c r="M634" s="370"/>
      <c r="N634" s="137"/>
    </row>
    <row r="635" hidden="1" outlineLevel="1">
      <c r="A635" s="422" t="s">
        <v>2565</v>
      </c>
      <c r="B635" s="309">
        <v>46294.0</v>
      </c>
      <c r="C635" s="368" t="str">
        <f t="shared" si="71"/>
        <v>Tue</v>
      </c>
      <c r="D635" s="128">
        <f t="shared" si="72"/>
        <v>0</v>
      </c>
      <c r="E635" s="131" t="s">
        <v>945</v>
      </c>
      <c r="F635" s="134" t="s">
        <v>945</v>
      </c>
      <c r="G635" s="134" t="s">
        <v>945</v>
      </c>
      <c r="H635" s="134" t="s">
        <v>945</v>
      </c>
      <c r="I635" s="134" t="s">
        <v>945</v>
      </c>
      <c r="J635" s="134" t="s">
        <v>945</v>
      </c>
      <c r="K635" s="134" t="s">
        <v>945</v>
      </c>
      <c r="L635" s="134" t="s">
        <v>945</v>
      </c>
      <c r="M635" s="370"/>
      <c r="N635" s="137"/>
    </row>
    <row r="636" hidden="1" outlineLevel="1">
      <c r="A636" s="422" t="s">
        <v>2565</v>
      </c>
      <c r="B636" s="309">
        <v>46294.0</v>
      </c>
      <c r="C636" s="368" t="str">
        <f t="shared" si="71"/>
        <v>Tue</v>
      </c>
      <c r="D636" s="143">
        <f t="shared" si="72"/>
        <v>0</v>
      </c>
      <c r="E636" s="144" t="s">
        <v>945</v>
      </c>
      <c r="F636" s="134" t="s">
        <v>945</v>
      </c>
      <c r="G636" s="134" t="s">
        <v>945</v>
      </c>
      <c r="H636" s="134" t="s">
        <v>945</v>
      </c>
      <c r="I636" s="134" t="s">
        <v>945</v>
      </c>
      <c r="J636" s="134" t="s">
        <v>945</v>
      </c>
      <c r="K636" s="134" t="s">
        <v>945</v>
      </c>
      <c r="L636" s="134" t="s">
        <v>945</v>
      </c>
      <c r="M636" s="370"/>
      <c r="N636" s="137"/>
    </row>
    <row r="637" hidden="1" outlineLevel="1">
      <c r="A637" s="422" t="s">
        <v>2565</v>
      </c>
      <c r="B637" s="309">
        <v>46294.0</v>
      </c>
      <c r="C637" s="368" t="str">
        <f t="shared" si="71"/>
        <v>Tue</v>
      </c>
      <c r="D637" s="128">
        <f t="shared" si="72"/>
        <v>0</v>
      </c>
      <c r="E637" s="131" t="s">
        <v>945</v>
      </c>
      <c r="F637" s="134" t="s">
        <v>945</v>
      </c>
      <c r="G637" s="134" t="s">
        <v>945</v>
      </c>
      <c r="H637" s="134" t="s">
        <v>945</v>
      </c>
      <c r="I637" s="134" t="s">
        <v>945</v>
      </c>
      <c r="J637" s="134" t="s">
        <v>945</v>
      </c>
      <c r="K637" s="134" t="s">
        <v>945</v>
      </c>
      <c r="L637" s="134" t="s">
        <v>945</v>
      </c>
      <c r="M637" s="370"/>
      <c r="N637" s="137"/>
    </row>
    <row r="638" hidden="1" outlineLevel="1">
      <c r="A638" s="367" t="s">
        <v>2566</v>
      </c>
      <c r="B638" s="309">
        <v>46295.0</v>
      </c>
      <c r="C638" s="368" t="str">
        <f t="shared" si="71"/>
        <v>Wed</v>
      </c>
      <c r="D638" s="143">
        <f t="shared" si="72"/>
        <v>1</v>
      </c>
      <c r="E638" s="144" t="s">
        <v>142</v>
      </c>
      <c r="F638" s="134" t="s">
        <v>142</v>
      </c>
      <c r="G638" s="134" t="s">
        <v>142</v>
      </c>
      <c r="H638" s="134" t="s">
        <v>142</v>
      </c>
      <c r="I638" s="134" t="s">
        <v>142</v>
      </c>
      <c r="J638" s="134" t="s">
        <v>142</v>
      </c>
      <c r="K638" s="134" t="s">
        <v>142</v>
      </c>
      <c r="L638" s="134" t="s">
        <v>142</v>
      </c>
      <c r="M638" s="370"/>
      <c r="N638" s="137"/>
    </row>
    <row r="639" hidden="1" outlineLevel="1">
      <c r="A639" s="367" t="s">
        <v>2567</v>
      </c>
      <c r="B639" s="309">
        <v>46295.0</v>
      </c>
      <c r="C639" s="368" t="str">
        <f t="shared" si="71"/>
        <v>Wed</v>
      </c>
      <c r="D639" s="128">
        <f t="shared" si="72"/>
        <v>1</v>
      </c>
      <c r="E639" s="131" t="s">
        <v>142</v>
      </c>
      <c r="F639" s="134" t="s">
        <v>142</v>
      </c>
      <c r="G639" s="134" t="s">
        <v>142</v>
      </c>
      <c r="H639" s="134" t="s">
        <v>142</v>
      </c>
      <c r="I639" s="134" t="s">
        <v>142</v>
      </c>
      <c r="J639" s="134" t="s">
        <v>142</v>
      </c>
      <c r="K639" s="134" t="s">
        <v>142</v>
      </c>
      <c r="L639" s="134" t="s">
        <v>142</v>
      </c>
      <c r="M639" s="370"/>
      <c r="N639" s="137"/>
    </row>
    <row r="640" hidden="1" outlineLevel="1">
      <c r="A640" s="367" t="s">
        <v>2568</v>
      </c>
      <c r="B640" s="309">
        <v>46295.0</v>
      </c>
      <c r="C640" s="368" t="str">
        <f t="shared" si="71"/>
        <v>Wed</v>
      </c>
      <c r="D640" s="143">
        <f t="shared" si="72"/>
        <v>1</v>
      </c>
      <c r="E640" s="144" t="s">
        <v>142</v>
      </c>
      <c r="F640" s="134" t="s">
        <v>142</v>
      </c>
      <c r="G640" s="134" t="s">
        <v>142</v>
      </c>
      <c r="H640" s="134" t="s">
        <v>142</v>
      </c>
      <c r="I640" s="134" t="s">
        <v>142</v>
      </c>
      <c r="J640" s="134" t="s">
        <v>142</v>
      </c>
      <c r="K640" s="134" t="s">
        <v>142</v>
      </c>
      <c r="L640" s="134" t="s">
        <v>142</v>
      </c>
      <c r="M640" s="370"/>
      <c r="N640" s="137"/>
    </row>
    <row r="641" hidden="1" outlineLevel="1">
      <c r="A641" s="367" t="s">
        <v>2569</v>
      </c>
      <c r="B641" s="309">
        <v>46296.0</v>
      </c>
      <c r="C641" s="368" t="str">
        <f t="shared" si="71"/>
        <v>Thu</v>
      </c>
      <c r="D641" s="128">
        <f t="shared" si="72"/>
        <v>1</v>
      </c>
      <c r="E641" s="131" t="s">
        <v>142</v>
      </c>
      <c r="F641" s="134" t="s">
        <v>142</v>
      </c>
      <c r="G641" s="134" t="s">
        <v>142</v>
      </c>
      <c r="H641" s="134" t="s">
        <v>142</v>
      </c>
      <c r="I641" s="134" t="s">
        <v>142</v>
      </c>
      <c r="J641" s="134" t="s">
        <v>142</v>
      </c>
      <c r="K641" s="134" t="s">
        <v>142</v>
      </c>
      <c r="L641" s="134" t="s">
        <v>142</v>
      </c>
      <c r="M641" s="370"/>
      <c r="N641" s="137"/>
    </row>
    <row r="642" hidden="1" outlineLevel="1">
      <c r="A642" s="367" t="s">
        <v>2570</v>
      </c>
      <c r="B642" s="309">
        <v>46296.0</v>
      </c>
      <c r="C642" s="368" t="str">
        <f t="shared" si="71"/>
        <v>Thu</v>
      </c>
      <c r="D642" s="143">
        <f t="shared" si="72"/>
        <v>1</v>
      </c>
      <c r="E642" s="144" t="s">
        <v>142</v>
      </c>
      <c r="F642" s="134" t="s">
        <v>142</v>
      </c>
      <c r="G642" s="134" t="s">
        <v>142</v>
      </c>
      <c r="H642" s="134" t="s">
        <v>142</v>
      </c>
      <c r="I642" s="134" t="s">
        <v>142</v>
      </c>
      <c r="J642" s="134" t="s">
        <v>142</v>
      </c>
      <c r="K642" s="134" t="s">
        <v>142</v>
      </c>
      <c r="L642" s="134" t="s">
        <v>142</v>
      </c>
      <c r="M642" s="370"/>
      <c r="N642" s="137"/>
    </row>
    <row r="643" hidden="1" outlineLevel="1">
      <c r="A643" s="367" t="s">
        <v>2571</v>
      </c>
      <c r="B643" s="309">
        <v>46296.0</v>
      </c>
      <c r="C643" s="368" t="str">
        <f t="shared" si="71"/>
        <v>Thu</v>
      </c>
      <c r="D643" s="128">
        <f t="shared" si="72"/>
        <v>1</v>
      </c>
      <c r="E643" s="131" t="s">
        <v>142</v>
      </c>
      <c r="F643" s="134" t="s">
        <v>142</v>
      </c>
      <c r="G643" s="134" t="s">
        <v>142</v>
      </c>
      <c r="H643" s="134" t="s">
        <v>142</v>
      </c>
      <c r="I643" s="134" t="s">
        <v>142</v>
      </c>
      <c r="J643" s="134" t="s">
        <v>142</v>
      </c>
      <c r="K643" s="134" t="s">
        <v>142</v>
      </c>
      <c r="L643" s="134" t="s">
        <v>142</v>
      </c>
      <c r="M643" s="370"/>
      <c r="N643" s="137"/>
    </row>
    <row r="644" hidden="1" outlineLevel="1">
      <c r="A644" s="367" t="s">
        <v>2572</v>
      </c>
      <c r="B644" s="309">
        <v>46297.0</v>
      </c>
      <c r="C644" s="368" t="str">
        <f t="shared" si="71"/>
        <v>Fri</v>
      </c>
      <c r="D644" s="143">
        <f t="shared" si="72"/>
        <v>1</v>
      </c>
      <c r="E644" s="144" t="s">
        <v>142</v>
      </c>
      <c r="F644" s="134" t="s">
        <v>142</v>
      </c>
      <c r="G644" s="134" t="s">
        <v>142</v>
      </c>
      <c r="H644" s="134" t="s">
        <v>142</v>
      </c>
      <c r="I644" s="134" t="s">
        <v>142</v>
      </c>
      <c r="J644" s="134" t="s">
        <v>142</v>
      </c>
      <c r="K644" s="134" t="s">
        <v>142</v>
      </c>
      <c r="L644" s="134" t="s">
        <v>142</v>
      </c>
      <c r="M644" s="370"/>
      <c r="N644" s="137"/>
    </row>
    <row r="645" hidden="1" outlineLevel="1">
      <c r="A645" s="367" t="s">
        <v>2573</v>
      </c>
      <c r="B645" s="309">
        <v>46297.0</v>
      </c>
      <c r="C645" s="368" t="str">
        <f t="shared" si="71"/>
        <v>Fri</v>
      </c>
      <c r="D645" s="128">
        <f t="shared" si="72"/>
        <v>1</v>
      </c>
      <c r="E645" s="131" t="s">
        <v>142</v>
      </c>
      <c r="F645" s="134" t="s">
        <v>142</v>
      </c>
      <c r="G645" s="134" t="s">
        <v>142</v>
      </c>
      <c r="H645" s="134" t="s">
        <v>142</v>
      </c>
      <c r="I645" s="134" t="s">
        <v>142</v>
      </c>
      <c r="J645" s="134" t="s">
        <v>142</v>
      </c>
      <c r="K645" s="134" t="s">
        <v>142</v>
      </c>
      <c r="L645" s="134" t="s">
        <v>142</v>
      </c>
      <c r="M645" s="370"/>
      <c r="N645" s="137"/>
    </row>
    <row r="646" hidden="1" outlineLevel="1">
      <c r="A646" s="367" t="s">
        <v>2574</v>
      </c>
      <c r="B646" s="309">
        <v>46297.0</v>
      </c>
      <c r="C646" s="368" t="str">
        <f t="shared" si="71"/>
        <v>Fri</v>
      </c>
      <c r="D646" s="143">
        <f t="shared" si="72"/>
        <v>1</v>
      </c>
      <c r="E646" s="144" t="s">
        <v>142</v>
      </c>
      <c r="F646" s="134" t="s">
        <v>142</v>
      </c>
      <c r="G646" s="134" t="s">
        <v>142</v>
      </c>
      <c r="H646" s="134" t="s">
        <v>142</v>
      </c>
      <c r="I646" s="134" t="s">
        <v>142</v>
      </c>
      <c r="J646" s="134" t="s">
        <v>142</v>
      </c>
      <c r="K646" s="134" t="s">
        <v>142</v>
      </c>
      <c r="L646" s="134" t="s">
        <v>142</v>
      </c>
      <c r="M646" s="370"/>
      <c r="N646" s="137"/>
    </row>
    <row r="647" hidden="1" outlineLevel="1">
      <c r="A647" s="373"/>
      <c r="B647" s="373"/>
      <c r="C647" s="374" t="s">
        <v>199</v>
      </c>
      <c r="D647" s="375">
        <f>AVERAGE(D632:D646)</f>
        <v>0.8</v>
      </c>
      <c r="E647" s="376"/>
      <c r="F647" s="373"/>
      <c r="G647" s="373"/>
      <c r="H647" s="373"/>
      <c r="I647" s="373"/>
      <c r="J647" s="373"/>
      <c r="K647" s="373"/>
      <c r="L647" s="374" t="s">
        <v>199</v>
      </c>
      <c r="M647" s="377">
        <f>SUM(M632:M646)/75*0.1</f>
        <v>0</v>
      </c>
      <c r="N647" s="373"/>
    </row>
    <row r="648">
      <c r="A648" s="85" t="s">
        <v>537</v>
      </c>
      <c r="B648" s="86"/>
      <c r="C648" s="86"/>
      <c r="D648" s="359"/>
      <c r="E648" s="391"/>
      <c r="F648" s="376"/>
      <c r="G648" s="376"/>
      <c r="H648" s="376"/>
      <c r="I648" s="376"/>
      <c r="J648" s="376"/>
      <c r="K648" s="376"/>
      <c r="L648" s="376"/>
      <c r="M648" s="376"/>
      <c r="N648" s="376"/>
    </row>
    <row r="649" outlineLevel="1">
      <c r="A649" s="425" t="s">
        <v>89</v>
      </c>
      <c r="B649" s="392" t="s">
        <v>90</v>
      </c>
      <c r="C649" s="392" t="s">
        <v>91</v>
      </c>
      <c r="D649" s="393" t="s">
        <v>93</v>
      </c>
      <c r="E649" s="394" t="s">
        <v>94</v>
      </c>
      <c r="F649" s="395" t="s">
        <v>95</v>
      </c>
      <c r="G649" s="396" t="s">
        <v>96</v>
      </c>
      <c r="H649" s="396" t="s">
        <v>97</v>
      </c>
      <c r="I649" s="396" t="s">
        <v>104</v>
      </c>
      <c r="J649" s="396" t="s">
        <v>106</v>
      </c>
      <c r="K649" s="396" t="s">
        <v>109</v>
      </c>
      <c r="L649" s="396" t="s">
        <v>111</v>
      </c>
      <c r="M649" s="392" t="s">
        <v>114</v>
      </c>
      <c r="N649" s="392" t="s">
        <v>116</v>
      </c>
    </row>
    <row r="650" outlineLevel="1">
      <c r="A650" s="372" t="s">
        <v>2575</v>
      </c>
      <c r="B650" s="309">
        <v>46300.0</v>
      </c>
      <c r="C650" s="368" t="str">
        <f t="shared" ref="C650:C664" si="73">IF(B650="", "", TEXT(B650, "ddd"))</f>
        <v>Mon</v>
      </c>
      <c r="D650" s="143">
        <f t="shared" ref="D650:D664" si="74">IF(E650="Yes",0.05,0)
+IF(F650="Yes",0.1,0)
+IF(G650="Yes",0.15,0)
+IF(H650="Yes",0.15,0)
+IF(I650="Yes",0.05,0)
+IF(J650="Yes",0.05,0)
+IF(K650="Yes",0.15,0)
+IF(L650="Yes",0.3,0)
</f>
        <v>1</v>
      </c>
      <c r="E650" s="369" t="s">
        <v>142</v>
      </c>
      <c r="F650" s="7" t="s">
        <v>142</v>
      </c>
      <c r="G650" s="7" t="s">
        <v>142</v>
      </c>
      <c r="H650" s="7" t="s">
        <v>142</v>
      </c>
      <c r="I650" s="7" t="s">
        <v>142</v>
      </c>
      <c r="J650" s="7" t="s">
        <v>142</v>
      </c>
      <c r="K650" s="7" t="s">
        <v>142</v>
      </c>
      <c r="L650" s="7" t="s">
        <v>142</v>
      </c>
      <c r="M650" s="370"/>
      <c r="N650" s="137"/>
    </row>
    <row r="651" outlineLevel="1">
      <c r="A651" s="372" t="s">
        <v>2576</v>
      </c>
      <c r="B651" s="309">
        <v>46300.0</v>
      </c>
      <c r="C651" s="368" t="str">
        <f t="shared" si="73"/>
        <v>Mon</v>
      </c>
      <c r="D651" s="128">
        <f t="shared" si="74"/>
        <v>1</v>
      </c>
      <c r="E651" s="370" t="s">
        <v>142</v>
      </c>
      <c r="F651" s="7" t="s">
        <v>142</v>
      </c>
      <c r="G651" s="7" t="s">
        <v>142</v>
      </c>
      <c r="H651" s="7" t="s">
        <v>142</v>
      </c>
      <c r="I651" s="7" t="s">
        <v>142</v>
      </c>
      <c r="J651" s="7" t="s">
        <v>142</v>
      </c>
      <c r="K651" s="7" t="s">
        <v>142</v>
      </c>
      <c r="L651" s="7" t="s">
        <v>142</v>
      </c>
      <c r="M651" s="370"/>
      <c r="N651" s="137"/>
    </row>
    <row r="652" outlineLevel="1">
      <c r="A652" s="372" t="s">
        <v>2577</v>
      </c>
      <c r="B652" s="309">
        <v>46300.0</v>
      </c>
      <c r="C652" s="368" t="str">
        <f t="shared" si="73"/>
        <v>Mon</v>
      </c>
      <c r="D652" s="143">
        <f t="shared" si="74"/>
        <v>1</v>
      </c>
      <c r="E652" s="369" t="s">
        <v>142</v>
      </c>
      <c r="F652" s="7" t="s">
        <v>142</v>
      </c>
      <c r="G652" s="7" t="s">
        <v>142</v>
      </c>
      <c r="H652" s="7" t="s">
        <v>142</v>
      </c>
      <c r="I652" s="7" t="s">
        <v>142</v>
      </c>
      <c r="J652" s="7" t="s">
        <v>142</v>
      </c>
      <c r="K652" s="7" t="s">
        <v>142</v>
      </c>
      <c r="L652" s="7" t="s">
        <v>142</v>
      </c>
      <c r="M652" s="370"/>
      <c r="N652" s="137"/>
    </row>
    <row r="653" outlineLevel="1">
      <c r="A653" s="372" t="s">
        <v>2578</v>
      </c>
      <c r="B653" s="309">
        <v>46301.0</v>
      </c>
      <c r="C653" s="368" t="str">
        <f t="shared" si="73"/>
        <v>Tue</v>
      </c>
      <c r="D653" s="128">
        <f t="shared" si="74"/>
        <v>1</v>
      </c>
      <c r="E653" s="370" t="s">
        <v>142</v>
      </c>
      <c r="F653" s="7" t="s">
        <v>142</v>
      </c>
      <c r="G653" s="7" t="s">
        <v>142</v>
      </c>
      <c r="H653" s="7" t="s">
        <v>142</v>
      </c>
      <c r="I653" s="7" t="s">
        <v>142</v>
      </c>
      <c r="J653" s="7" t="s">
        <v>142</v>
      </c>
      <c r="K653" s="7" t="s">
        <v>142</v>
      </c>
      <c r="L653" s="7" t="s">
        <v>142</v>
      </c>
      <c r="M653" s="370"/>
      <c r="N653" s="137"/>
    </row>
    <row r="654" outlineLevel="1">
      <c r="A654" s="372" t="s">
        <v>2579</v>
      </c>
      <c r="B654" s="309">
        <v>46301.0</v>
      </c>
      <c r="C654" s="368" t="str">
        <f t="shared" si="73"/>
        <v>Tue</v>
      </c>
      <c r="D654" s="143">
        <f t="shared" si="74"/>
        <v>1</v>
      </c>
      <c r="E654" s="369" t="s">
        <v>142</v>
      </c>
      <c r="F654" s="7" t="s">
        <v>142</v>
      </c>
      <c r="G654" s="7" t="s">
        <v>142</v>
      </c>
      <c r="H654" s="7" t="s">
        <v>142</v>
      </c>
      <c r="I654" s="7" t="s">
        <v>142</v>
      </c>
      <c r="J654" s="7" t="s">
        <v>142</v>
      </c>
      <c r="K654" s="7" t="s">
        <v>142</v>
      </c>
      <c r="L654" s="7" t="s">
        <v>142</v>
      </c>
      <c r="M654" s="370"/>
      <c r="N654" s="137"/>
    </row>
    <row r="655" outlineLevel="1">
      <c r="A655" s="372" t="s">
        <v>2580</v>
      </c>
      <c r="B655" s="309">
        <v>46301.0</v>
      </c>
      <c r="C655" s="368" t="str">
        <f t="shared" si="73"/>
        <v>Tue</v>
      </c>
      <c r="D655" s="128">
        <f t="shared" si="74"/>
        <v>1</v>
      </c>
      <c r="E655" s="370" t="s">
        <v>142</v>
      </c>
      <c r="F655" s="7" t="s">
        <v>142</v>
      </c>
      <c r="G655" s="7" t="s">
        <v>142</v>
      </c>
      <c r="H655" s="7" t="s">
        <v>142</v>
      </c>
      <c r="I655" s="7" t="s">
        <v>142</v>
      </c>
      <c r="J655" s="7" t="s">
        <v>142</v>
      </c>
      <c r="K655" s="7" t="s">
        <v>142</v>
      </c>
      <c r="L655" s="7" t="s">
        <v>142</v>
      </c>
      <c r="M655" s="370"/>
      <c r="N655" s="137"/>
    </row>
    <row r="656" outlineLevel="1">
      <c r="A656" s="372" t="s">
        <v>2581</v>
      </c>
      <c r="B656" s="309">
        <v>46302.0</v>
      </c>
      <c r="C656" s="368" t="str">
        <f t="shared" si="73"/>
        <v>Wed</v>
      </c>
      <c r="D656" s="143">
        <f t="shared" si="74"/>
        <v>1</v>
      </c>
      <c r="E656" s="369" t="s">
        <v>142</v>
      </c>
      <c r="F656" s="7" t="s">
        <v>142</v>
      </c>
      <c r="G656" s="7" t="s">
        <v>142</v>
      </c>
      <c r="H656" s="7" t="s">
        <v>142</v>
      </c>
      <c r="I656" s="7" t="s">
        <v>142</v>
      </c>
      <c r="J656" s="7" t="s">
        <v>142</v>
      </c>
      <c r="K656" s="7" t="s">
        <v>142</v>
      </c>
      <c r="L656" s="7" t="s">
        <v>142</v>
      </c>
      <c r="M656" s="370"/>
      <c r="N656" s="137"/>
    </row>
    <row r="657" outlineLevel="1">
      <c r="A657" s="372" t="s">
        <v>2582</v>
      </c>
      <c r="B657" s="309">
        <v>46302.0</v>
      </c>
      <c r="C657" s="368" t="str">
        <f t="shared" si="73"/>
        <v>Wed</v>
      </c>
      <c r="D657" s="128">
        <f t="shared" si="74"/>
        <v>1</v>
      </c>
      <c r="E657" s="370" t="s">
        <v>142</v>
      </c>
      <c r="F657" s="7" t="s">
        <v>142</v>
      </c>
      <c r="G657" s="7" t="s">
        <v>142</v>
      </c>
      <c r="H657" s="7" t="s">
        <v>142</v>
      </c>
      <c r="I657" s="7" t="s">
        <v>142</v>
      </c>
      <c r="J657" s="7" t="s">
        <v>142</v>
      </c>
      <c r="K657" s="7" t="s">
        <v>142</v>
      </c>
      <c r="L657" s="7" t="s">
        <v>142</v>
      </c>
      <c r="M657" s="370"/>
      <c r="N657" s="137"/>
    </row>
    <row r="658" outlineLevel="1">
      <c r="A658" s="372" t="s">
        <v>2583</v>
      </c>
      <c r="B658" s="309">
        <v>46302.0</v>
      </c>
      <c r="C658" s="368" t="str">
        <f t="shared" si="73"/>
        <v>Wed</v>
      </c>
      <c r="D658" s="143">
        <f t="shared" si="74"/>
        <v>1</v>
      </c>
      <c r="E658" s="369" t="s">
        <v>142</v>
      </c>
      <c r="F658" s="7" t="s">
        <v>142</v>
      </c>
      <c r="G658" s="7" t="s">
        <v>142</v>
      </c>
      <c r="H658" s="7" t="s">
        <v>142</v>
      </c>
      <c r="I658" s="7" t="s">
        <v>142</v>
      </c>
      <c r="J658" s="7" t="s">
        <v>142</v>
      </c>
      <c r="K658" s="7" t="s">
        <v>142</v>
      </c>
      <c r="L658" s="7" t="s">
        <v>142</v>
      </c>
      <c r="M658" s="370"/>
      <c r="N658" s="137"/>
    </row>
    <row r="659" outlineLevel="1">
      <c r="A659" s="372" t="s">
        <v>2584</v>
      </c>
      <c r="B659" s="309">
        <v>46303.0</v>
      </c>
      <c r="C659" s="368" t="str">
        <f t="shared" si="73"/>
        <v>Thu</v>
      </c>
      <c r="D659" s="128">
        <f t="shared" si="74"/>
        <v>1</v>
      </c>
      <c r="E659" s="370" t="s">
        <v>142</v>
      </c>
      <c r="F659" s="7" t="s">
        <v>142</v>
      </c>
      <c r="G659" s="7" t="s">
        <v>142</v>
      </c>
      <c r="H659" s="7" t="s">
        <v>142</v>
      </c>
      <c r="I659" s="7" t="s">
        <v>142</v>
      </c>
      <c r="J659" s="7" t="s">
        <v>142</v>
      </c>
      <c r="K659" s="7" t="s">
        <v>142</v>
      </c>
      <c r="L659" s="7" t="s">
        <v>142</v>
      </c>
      <c r="M659" s="370"/>
      <c r="N659" s="137"/>
    </row>
    <row r="660" outlineLevel="1">
      <c r="A660" s="372" t="s">
        <v>2585</v>
      </c>
      <c r="B660" s="309">
        <v>46303.0</v>
      </c>
      <c r="C660" s="368" t="str">
        <f t="shared" si="73"/>
        <v>Thu</v>
      </c>
      <c r="D660" s="143">
        <f t="shared" si="74"/>
        <v>1</v>
      </c>
      <c r="E660" s="369" t="s">
        <v>142</v>
      </c>
      <c r="F660" s="7" t="s">
        <v>142</v>
      </c>
      <c r="G660" s="7" t="s">
        <v>142</v>
      </c>
      <c r="H660" s="7" t="s">
        <v>142</v>
      </c>
      <c r="I660" s="7" t="s">
        <v>142</v>
      </c>
      <c r="J660" s="7" t="s">
        <v>142</v>
      </c>
      <c r="K660" s="7" t="s">
        <v>142</v>
      </c>
      <c r="L660" s="7" t="s">
        <v>142</v>
      </c>
      <c r="M660" s="370"/>
      <c r="N660" s="137"/>
    </row>
    <row r="661" outlineLevel="1">
      <c r="A661" s="372" t="s">
        <v>2586</v>
      </c>
      <c r="B661" s="309">
        <v>46303.0</v>
      </c>
      <c r="C661" s="368" t="str">
        <f t="shared" si="73"/>
        <v>Thu</v>
      </c>
      <c r="D661" s="128">
        <f t="shared" si="74"/>
        <v>1</v>
      </c>
      <c r="E661" s="370" t="s">
        <v>142</v>
      </c>
      <c r="F661" s="7" t="s">
        <v>142</v>
      </c>
      <c r="G661" s="7" t="s">
        <v>142</v>
      </c>
      <c r="H661" s="7" t="s">
        <v>142</v>
      </c>
      <c r="I661" s="7" t="s">
        <v>142</v>
      </c>
      <c r="J661" s="7" t="s">
        <v>142</v>
      </c>
      <c r="K661" s="7" t="s">
        <v>142</v>
      </c>
      <c r="L661" s="7" t="s">
        <v>142</v>
      </c>
      <c r="M661" s="370"/>
      <c r="N661" s="137"/>
    </row>
    <row r="662" outlineLevel="1">
      <c r="A662" s="372" t="s">
        <v>2587</v>
      </c>
      <c r="B662" s="309">
        <v>46304.0</v>
      </c>
      <c r="C662" s="368" t="str">
        <f t="shared" si="73"/>
        <v>Fri</v>
      </c>
      <c r="D662" s="143">
        <f t="shared" si="74"/>
        <v>1</v>
      </c>
      <c r="E662" s="369" t="s">
        <v>142</v>
      </c>
      <c r="F662" s="7" t="s">
        <v>142</v>
      </c>
      <c r="G662" s="7" t="s">
        <v>142</v>
      </c>
      <c r="H662" s="7" t="s">
        <v>142</v>
      </c>
      <c r="I662" s="7" t="s">
        <v>142</v>
      </c>
      <c r="J662" s="7" t="s">
        <v>142</v>
      </c>
      <c r="K662" s="7" t="s">
        <v>142</v>
      </c>
      <c r="L662" s="7" t="s">
        <v>142</v>
      </c>
      <c r="M662" s="370"/>
      <c r="N662" s="137"/>
    </row>
    <row r="663" outlineLevel="1">
      <c r="A663" s="372" t="s">
        <v>2588</v>
      </c>
      <c r="B663" s="309">
        <v>46304.0</v>
      </c>
      <c r="C663" s="368" t="str">
        <f t="shared" si="73"/>
        <v>Fri</v>
      </c>
      <c r="D663" s="128">
        <f t="shared" si="74"/>
        <v>1</v>
      </c>
      <c r="E663" s="370" t="s">
        <v>142</v>
      </c>
      <c r="F663" s="7" t="s">
        <v>142</v>
      </c>
      <c r="G663" s="7" t="s">
        <v>142</v>
      </c>
      <c r="H663" s="7" t="s">
        <v>142</v>
      </c>
      <c r="I663" s="7" t="s">
        <v>142</v>
      </c>
      <c r="J663" s="7" t="s">
        <v>142</v>
      </c>
      <c r="K663" s="7" t="s">
        <v>142</v>
      </c>
      <c r="L663" s="7" t="s">
        <v>142</v>
      </c>
      <c r="M663" s="370"/>
      <c r="N663" s="137"/>
    </row>
    <row r="664" outlineLevel="1">
      <c r="A664" s="372" t="s">
        <v>2589</v>
      </c>
      <c r="B664" s="309">
        <v>46304.0</v>
      </c>
      <c r="C664" s="368" t="str">
        <f t="shared" si="73"/>
        <v>Fri</v>
      </c>
      <c r="D664" s="143">
        <f t="shared" si="74"/>
        <v>1</v>
      </c>
      <c r="E664" s="369" t="s">
        <v>142</v>
      </c>
      <c r="F664" s="7" t="s">
        <v>142</v>
      </c>
      <c r="G664" s="7" t="s">
        <v>142</v>
      </c>
      <c r="H664" s="7" t="s">
        <v>142</v>
      </c>
      <c r="I664" s="7" t="s">
        <v>142</v>
      </c>
      <c r="J664" s="7" t="s">
        <v>142</v>
      </c>
      <c r="K664" s="7" t="s">
        <v>142</v>
      </c>
      <c r="L664" s="7" t="s">
        <v>142</v>
      </c>
      <c r="M664" s="370"/>
      <c r="N664" s="137"/>
    </row>
    <row r="665" outlineLevel="1">
      <c r="A665" s="373"/>
      <c r="B665" s="373"/>
      <c r="C665" s="374" t="s">
        <v>199</v>
      </c>
      <c r="D665" s="375">
        <f>AVERAGE(D650:D664)</f>
        <v>1</v>
      </c>
      <c r="E665" s="376"/>
      <c r="F665" s="373"/>
      <c r="G665" s="373"/>
      <c r="H665" s="373"/>
      <c r="I665" s="373"/>
      <c r="J665" s="373"/>
      <c r="K665" s="373"/>
      <c r="L665" s="374" t="s">
        <v>199</v>
      </c>
      <c r="M665" s="377">
        <f>SUM(M650:M664)/75*0.1</f>
        <v>0</v>
      </c>
      <c r="N665" s="373"/>
    </row>
  </sheetData>
  <mergeCells count="36">
    <mergeCell ref="A18:D18"/>
    <mergeCell ref="A36:D36"/>
    <mergeCell ref="A54:D54"/>
    <mergeCell ref="A72:D72"/>
    <mergeCell ref="A90:D90"/>
    <mergeCell ref="A108:D108"/>
    <mergeCell ref="A126:D126"/>
    <mergeCell ref="A144:D144"/>
    <mergeCell ref="A162:D162"/>
    <mergeCell ref="A180:D180"/>
    <mergeCell ref="A198:D198"/>
    <mergeCell ref="A216:D216"/>
    <mergeCell ref="A234:D234"/>
    <mergeCell ref="A252:D252"/>
    <mergeCell ref="A270:D270"/>
    <mergeCell ref="A288:D288"/>
    <mergeCell ref="A306:D306"/>
    <mergeCell ref="A324:D324"/>
    <mergeCell ref="A342:D342"/>
    <mergeCell ref="A360:D360"/>
    <mergeCell ref="A378:D378"/>
    <mergeCell ref="A522:D522"/>
    <mergeCell ref="A540:D540"/>
    <mergeCell ref="A558:D558"/>
    <mergeCell ref="A576:D576"/>
    <mergeCell ref="A594:D594"/>
    <mergeCell ref="A612:D612"/>
    <mergeCell ref="A630:D630"/>
    <mergeCell ref="A648:D648"/>
    <mergeCell ref="A396:D396"/>
    <mergeCell ref="A414:D414"/>
    <mergeCell ref="A432:D432"/>
    <mergeCell ref="A450:D450"/>
    <mergeCell ref="A468:D468"/>
    <mergeCell ref="A486:D486"/>
    <mergeCell ref="A504:D504"/>
  </mergeCells>
  <conditionalFormatting sqref="A1:N107 A110:A112 B110:B124 C110:D112 E110:L124 C122:C124 A128:A130 B128:B142 C128:D130 E128:L142 C140:C142 A144:N161 A164:A166 B164:B178 C164:D166 E164:L178 C176:C178 A180:N197 A200:A202 B200:B214 C200:D202 E200:L214 C212:C214 A216:N233 A236:A238 B236:B250 C236:D238 E236:L250 A248:A250 C248:D250 A254:A256 B254:B268 C254:D256 E254:L268 A266:A268 C266:D268 A272:A274 B272:B286 C272:D274 E272:L286 A284:A286 C284:D286 A290:A292 B290:B304 C290:D292 E290:L304 A302:A304 C302:D304 A308:A310 B308:B322 C308:D310 E308:L322 A320:A322 C320:D322 A326:A328 B326:B340 C326:D328 E326:L340 A338:A340 C338:D340 A344:A346 B344:B358 C344:D346 E344:L358 A356:A358 C356:D358 A360:N377 A380:B394 C380:D382 E380:L394 C392:D394 A398:B412 C398:C400 D398:D403 E398:L412 C410:D412 A414:N431 A434:B448 C434:D436 E434:L448 C446:D448 A450:N467 A470:B484 C470:D472 E470:L484 C482:D484 A488:B502 C488:C490 D488:L502 C500:C502 A506:B520 C506:D508 E506:L520 C518:D520 A524:B538 C524:D526 E524:L538 C536:D538 A540:N557 A594:N665">
    <cfRule type="cellIs" dxfId="6" priority="1" operator="equal">
      <formula>"LWOP"</formula>
    </cfRule>
  </conditionalFormatting>
  <conditionalFormatting sqref="A18:D18 A36:D36 A54:D54 A72:D72 A90:D90 A108:D108 A126:D126 A144:D144 A162:D162 A180:D180 A198:D198 A216:D216 A234:D234 A252:D252 A270:D270 A288:D288 A306:D306 A324:D324 A342:D342 A360:D360 A378:D378 A396:D396 A414:D414 A432:D432 A450:D450 A468:D468 A486:D486 A504:D504 A522:D522">
    <cfRule type="cellIs" dxfId="7" priority="2" operator="equal">
      <formula>"OFF"</formula>
    </cfRule>
  </conditionalFormatting>
  <conditionalFormatting sqref="A18:D18 A36:D36 A54:D54 A72:D72 A90:D90 A108:D108 A126:D126 A144:D144 A162:D162 A180:D180 A198:D198 A216:D216 A234:D234 A252:D252 A270:D270 A288:D288 A306:D306 A324:D324 A342:D342 A360:D360 A378:D378 A396:D396 A414:D414 A432:D432 A450:D450 A468:D468 A486:D486 A504:D504 A522:D522">
    <cfRule type="cellIs" dxfId="8" priority="3" operator="equal">
      <formula>"A"</formula>
    </cfRule>
  </conditionalFormatting>
  <conditionalFormatting sqref="A18:D18 A36:D36 A54:D54 A72:D72 A90:D90 A108:D108 A126:D126 A144:D144 A162:D162 A180:D180 A198:D198 A216:D216 A234:D234 A252:D252 A270:D270 A288:D288 A306:D306 A324:D324 A342:D342 A360:D360 A378:D378 A396:D396 A414:D414 A432:D432 A450:D450 A468:D468 A486:D486 A504:D504 A522:D522">
    <cfRule type="cellIs" dxfId="9" priority="4" operator="equal">
      <formula>"LWOP"</formula>
    </cfRule>
  </conditionalFormatting>
  <conditionalFormatting sqref="A1:N665">
    <cfRule type="cellIs" dxfId="10" priority="5" operator="equal">
      <formula>"Absent"</formula>
    </cfRule>
  </conditionalFormatting>
  <dataValidations>
    <dataValidation type="list" allowBlank="1" showErrorMessage="1" sqref="E2:L16 E20:L34 E38:L52 E56:L70 E74:L88 E92:L106 E110:L124 E128:L142 E146:L160 E164:L178 E182:L196 E200:L214 E218:L232 E236:L250 E254:L268 E272:L286 E290:L304 E308:L322 E326:L340 E344:L358 E362:L376 E380:L394 E398:L412 E416:L430 E434:L448 E452:L466 E470:L484 E488:L502 E506:L520 E524:L538 E542:L556 E560:L574 E578:L592 E596:L610 E614:L628 E632:L646 E650:L664">
      <formula1>"Yes,No"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20"/>
    <hyperlink r:id="rId17" ref="A21"/>
    <hyperlink r:id="rId18" ref="A22"/>
    <hyperlink r:id="rId19" ref="A23"/>
    <hyperlink r:id="rId20" ref="A24"/>
    <hyperlink r:id="rId21" ref="A25"/>
    <hyperlink r:id="rId22" ref="A26"/>
    <hyperlink r:id="rId23" ref="A27"/>
    <hyperlink r:id="rId24" ref="A28"/>
    <hyperlink r:id="rId25" ref="A29"/>
    <hyperlink r:id="rId26" ref="A30"/>
    <hyperlink r:id="rId27" ref="A31"/>
    <hyperlink r:id="rId28" ref="A32"/>
    <hyperlink r:id="rId29" ref="A33"/>
    <hyperlink r:id="rId30" ref="A34"/>
    <hyperlink r:id="rId31" ref="A38"/>
    <hyperlink r:id="rId32" ref="A39"/>
    <hyperlink r:id="rId33" ref="A40"/>
    <hyperlink r:id="rId34" ref="A41"/>
    <hyperlink r:id="rId35" ref="A42"/>
    <hyperlink r:id="rId36" ref="A43"/>
    <hyperlink r:id="rId37" ref="A44"/>
    <hyperlink r:id="rId38" ref="A45"/>
    <hyperlink r:id="rId39" ref="A46"/>
    <hyperlink r:id="rId40" ref="A47"/>
    <hyperlink r:id="rId41" ref="A48"/>
    <hyperlink r:id="rId42" ref="A49"/>
    <hyperlink r:id="rId43" ref="A50"/>
    <hyperlink r:id="rId44" ref="A51"/>
    <hyperlink r:id="rId45" ref="A52"/>
    <hyperlink r:id="rId46" ref="A56"/>
    <hyperlink r:id="rId47" ref="A57"/>
    <hyperlink r:id="rId48" ref="A58"/>
    <hyperlink r:id="rId49" ref="A59"/>
    <hyperlink r:id="rId50" ref="A60"/>
    <hyperlink r:id="rId51" ref="A61"/>
    <hyperlink r:id="rId52" ref="A62"/>
    <hyperlink r:id="rId53" ref="A63"/>
    <hyperlink r:id="rId54" ref="A64"/>
    <hyperlink r:id="rId55" ref="A65"/>
    <hyperlink r:id="rId56" ref="A66"/>
    <hyperlink r:id="rId57" ref="A67"/>
    <hyperlink r:id="rId58" ref="A68"/>
    <hyperlink r:id="rId59" ref="A69"/>
    <hyperlink r:id="rId60" ref="A70"/>
    <hyperlink r:id="rId61" ref="A74"/>
    <hyperlink r:id="rId62" ref="A75"/>
    <hyperlink r:id="rId63" ref="A76"/>
    <hyperlink r:id="rId64" ref="A77"/>
    <hyperlink r:id="rId65" ref="A78"/>
    <hyperlink r:id="rId66" ref="A79"/>
    <hyperlink r:id="rId67" ref="A80"/>
    <hyperlink r:id="rId68" ref="A81"/>
    <hyperlink r:id="rId69" ref="A82"/>
    <hyperlink r:id="rId70" ref="A83"/>
    <hyperlink r:id="rId71" ref="A84"/>
    <hyperlink r:id="rId72" ref="A85"/>
    <hyperlink r:id="rId73" ref="A86"/>
    <hyperlink r:id="rId74" ref="A87"/>
    <hyperlink r:id="rId75" ref="A88"/>
    <hyperlink r:id="rId76" ref="A92"/>
    <hyperlink r:id="rId77" ref="A93"/>
    <hyperlink r:id="rId78" ref="A94"/>
    <hyperlink r:id="rId79" ref="A95"/>
    <hyperlink r:id="rId80" ref="A96"/>
    <hyperlink r:id="rId81" ref="A97"/>
    <hyperlink r:id="rId82" ref="A98"/>
    <hyperlink r:id="rId83" ref="A99"/>
    <hyperlink r:id="rId84" ref="A100"/>
    <hyperlink r:id="rId85" ref="A101"/>
    <hyperlink r:id="rId86" ref="A102"/>
    <hyperlink r:id="rId87" ref="A103"/>
    <hyperlink r:id="rId88" ref="A104"/>
    <hyperlink r:id="rId89" ref="A105"/>
    <hyperlink r:id="rId90" ref="A106"/>
    <hyperlink r:id="rId91" ref="A110"/>
    <hyperlink r:id="rId92" ref="A111"/>
    <hyperlink r:id="rId93" ref="A112"/>
    <hyperlink r:id="rId94" ref="A113"/>
    <hyperlink r:id="rId95" ref="A114"/>
    <hyperlink r:id="rId96" ref="A115"/>
    <hyperlink r:id="rId97" ref="A116"/>
    <hyperlink r:id="rId98" ref="A117"/>
    <hyperlink r:id="rId99" ref="A118"/>
    <hyperlink r:id="rId100" ref="A119"/>
    <hyperlink r:id="rId101" ref="A120"/>
    <hyperlink r:id="rId102" ref="A121"/>
    <hyperlink r:id="rId103" ref="A122"/>
    <hyperlink r:id="rId104" ref="A123"/>
    <hyperlink r:id="rId105" ref="A124"/>
    <hyperlink r:id="rId106" ref="A128"/>
    <hyperlink r:id="rId107" ref="A129"/>
    <hyperlink r:id="rId108" ref="A130"/>
    <hyperlink r:id="rId109" ref="A131"/>
    <hyperlink r:id="rId110" ref="A132"/>
    <hyperlink r:id="rId111" ref="A133"/>
    <hyperlink r:id="rId112" ref="A134"/>
    <hyperlink r:id="rId113" ref="A135"/>
    <hyperlink r:id="rId114" ref="A136"/>
    <hyperlink r:id="rId115" ref="A137"/>
    <hyperlink r:id="rId116" ref="A138"/>
    <hyperlink r:id="rId117" ref="A139"/>
    <hyperlink r:id="rId118" ref="A140"/>
    <hyperlink r:id="rId119" ref="A141"/>
    <hyperlink r:id="rId120" ref="A142"/>
    <hyperlink r:id="rId121" ref="A146"/>
    <hyperlink r:id="rId122" ref="A147"/>
    <hyperlink r:id="rId123" ref="A148"/>
    <hyperlink r:id="rId124" ref="A149"/>
    <hyperlink r:id="rId125" ref="A150"/>
    <hyperlink r:id="rId126" ref="A151"/>
    <hyperlink r:id="rId127" ref="A152"/>
    <hyperlink r:id="rId128" ref="A153"/>
    <hyperlink r:id="rId129" ref="A154"/>
    <hyperlink r:id="rId130" ref="A158"/>
    <hyperlink r:id="rId131" ref="A159"/>
    <hyperlink r:id="rId132" ref="A160"/>
    <hyperlink r:id="rId133" ref="A164"/>
    <hyperlink r:id="rId134" ref="A165"/>
    <hyperlink r:id="rId135" ref="A166"/>
    <hyperlink r:id="rId136" ref="A167"/>
    <hyperlink r:id="rId137" ref="A168"/>
    <hyperlink r:id="rId138" ref="A169"/>
    <hyperlink r:id="rId139" ref="A170"/>
    <hyperlink r:id="rId140" ref="A171"/>
    <hyperlink r:id="rId141" ref="A172"/>
    <hyperlink r:id="rId142" ref="A173"/>
    <hyperlink r:id="rId143" ref="A174"/>
    <hyperlink r:id="rId144" ref="A175"/>
    <hyperlink r:id="rId145" ref="A176"/>
    <hyperlink r:id="rId146" ref="A177"/>
    <hyperlink r:id="rId147" ref="A178"/>
    <hyperlink r:id="rId148" ref="A182"/>
    <hyperlink r:id="rId149" ref="A183"/>
    <hyperlink r:id="rId150" ref="A184"/>
    <hyperlink r:id="rId151" ref="A185"/>
    <hyperlink r:id="rId152" ref="A186"/>
    <hyperlink r:id="rId153" ref="A187"/>
    <hyperlink r:id="rId154" ref="A188"/>
    <hyperlink r:id="rId155" ref="A189"/>
    <hyperlink r:id="rId156" ref="A190"/>
    <hyperlink r:id="rId157" ref="A191"/>
    <hyperlink r:id="rId158" ref="A192"/>
    <hyperlink r:id="rId159" ref="A193"/>
    <hyperlink r:id="rId160" ref="A194"/>
    <hyperlink r:id="rId161" ref="A195"/>
    <hyperlink r:id="rId162" ref="A196"/>
    <hyperlink r:id="rId163" ref="A200"/>
    <hyperlink r:id="rId164" ref="A201"/>
    <hyperlink r:id="rId165" ref="A202"/>
    <hyperlink r:id="rId166" ref="A203"/>
    <hyperlink r:id="rId167" ref="A204"/>
    <hyperlink r:id="rId168" ref="A205"/>
    <hyperlink r:id="rId169" ref="A206"/>
    <hyperlink r:id="rId170" ref="A207"/>
    <hyperlink r:id="rId171" ref="A208"/>
    <hyperlink r:id="rId172" ref="A209"/>
    <hyperlink r:id="rId173" ref="A210"/>
    <hyperlink r:id="rId174" ref="A211"/>
    <hyperlink r:id="rId175" ref="A212"/>
    <hyperlink r:id="rId176" ref="A213"/>
    <hyperlink r:id="rId177" ref="A214"/>
    <hyperlink r:id="rId178" ref="A218"/>
    <hyperlink r:id="rId179" ref="A219"/>
    <hyperlink r:id="rId180" ref="A220"/>
    <hyperlink r:id="rId181" ref="A224"/>
    <hyperlink r:id="rId182" ref="A225"/>
    <hyperlink r:id="rId183" ref="A226"/>
    <hyperlink r:id="rId184" ref="A227"/>
    <hyperlink r:id="rId185" ref="A228"/>
    <hyperlink r:id="rId186" ref="A229"/>
    <hyperlink r:id="rId187" ref="A230"/>
    <hyperlink r:id="rId188" ref="A231"/>
    <hyperlink r:id="rId189" ref="A232"/>
    <hyperlink r:id="rId190" ref="A236"/>
    <hyperlink r:id="rId191" ref="A237"/>
    <hyperlink r:id="rId192" ref="A238"/>
    <hyperlink r:id="rId193" ref="A239"/>
    <hyperlink r:id="rId194" ref="A240"/>
    <hyperlink r:id="rId195" ref="A241"/>
    <hyperlink r:id="rId196" ref="A242"/>
    <hyperlink r:id="rId197" ref="A243"/>
    <hyperlink r:id="rId198" ref="A244"/>
    <hyperlink r:id="rId199" ref="A254"/>
    <hyperlink r:id="rId200" ref="A255"/>
    <hyperlink r:id="rId201" ref="A256"/>
    <hyperlink r:id="rId202" ref="A257"/>
    <hyperlink r:id="rId203" ref="A258"/>
    <hyperlink r:id="rId204" ref="A259"/>
    <hyperlink r:id="rId205" ref="A260"/>
    <hyperlink r:id="rId206" ref="A261"/>
    <hyperlink r:id="rId207" ref="A262"/>
    <hyperlink r:id="rId208" ref="A263"/>
    <hyperlink r:id="rId209" ref="A264"/>
    <hyperlink r:id="rId210" ref="A265"/>
    <hyperlink r:id="rId211" ref="A266"/>
    <hyperlink r:id="rId212" ref="A267"/>
    <hyperlink r:id="rId213" ref="A268"/>
    <hyperlink r:id="rId214" ref="A272"/>
    <hyperlink r:id="rId215" ref="A273"/>
    <hyperlink r:id="rId216" ref="A274"/>
    <hyperlink r:id="rId217" ref="A275"/>
    <hyperlink r:id="rId218" ref="A276"/>
    <hyperlink r:id="rId219" ref="A277"/>
    <hyperlink r:id="rId220" ref="A278"/>
    <hyperlink r:id="rId221" ref="A279"/>
    <hyperlink r:id="rId222" ref="A280"/>
    <hyperlink r:id="rId223" ref="A281"/>
    <hyperlink r:id="rId224" ref="A282"/>
    <hyperlink r:id="rId225" ref="A283"/>
    <hyperlink r:id="rId226" ref="A290"/>
    <hyperlink r:id="rId227" ref="A291"/>
    <hyperlink r:id="rId228" ref="A292"/>
    <hyperlink r:id="rId229" ref="A293"/>
    <hyperlink r:id="rId230" ref="A294"/>
    <hyperlink r:id="rId231" ref="A295"/>
    <hyperlink r:id="rId232" ref="A296"/>
    <hyperlink r:id="rId233" ref="A297"/>
    <hyperlink r:id="rId234" ref="A298"/>
    <hyperlink r:id="rId235" ref="A299"/>
    <hyperlink r:id="rId236" ref="A300"/>
    <hyperlink r:id="rId237" ref="A301"/>
    <hyperlink r:id="rId238" ref="A308"/>
    <hyperlink r:id="rId239" ref="A309"/>
    <hyperlink r:id="rId240" ref="A310"/>
    <hyperlink r:id="rId241" ref="A311"/>
    <hyperlink r:id="rId242" ref="A312"/>
    <hyperlink r:id="rId243" ref="A313"/>
    <hyperlink r:id="rId244" ref="A314"/>
    <hyperlink r:id="rId245" ref="A315"/>
    <hyperlink r:id="rId246" ref="A316"/>
    <hyperlink r:id="rId247" ref="A317"/>
    <hyperlink r:id="rId248" ref="A318"/>
    <hyperlink r:id="rId249" ref="A319"/>
    <hyperlink r:id="rId250" ref="A320"/>
    <hyperlink r:id="rId251" ref="A321"/>
    <hyperlink r:id="rId252" ref="A322"/>
    <hyperlink r:id="rId253" ref="A326"/>
    <hyperlink r:id="rId254" ref="A327"/>
    <hyperlink r:id="rId255" ref="A328"/>
    <hyperlink r:id="rId256" ref="A329"/>
    <hyperlink r:id="rId257" ref="A330"/>
    <hyperlink r:id="rId258" ref="A331"/>
    <hyperlink r:id="rId259" ref="A332"/>
    <hyperlink r:id="rId260" ref="A333"/>
    <hyperlink r:id="rId261" ref="A334"/>
    <hyperlink r:id="rId262" ref="A335"/>
    <hyperlink r:id="rId263" ref="A336"/>
    <hyperlink r:id="rId264" ref="A337"/>
    <hyperlink r:id="rId265" ref="A338"/>
    <hyperlink r:id="rId266" ref="A339"/>
    <hyperlink r:id="rId267" ref="A340"/>
    <hyperlink r:id="rId268" ref="A344"/>
    <hyperlink r:id="rId269" ref="A345"/>
    <hyperlink r:id="rId270" ref="A346"/>
    <hyperlink r:id="rId271" ref="A347"/>
    <hyperlink r:id="rId272" ref="A348"/>
    <hyperlink r:id="rId273" ref="A349"/>
    <hyperlink r:id="rId274" ref="A350"/>
    <hyperlink r:id="rId275" ref="A351"/>
    <hyperlink r:id="rId276" ref="A352"/>
    <hyperlink r:id="rId277" ref="A353"/>
    <hyperlink r:id="rId278" ref="A354"/>
    <hyperlink r:id="rId279" ref="A355"/>
    <hyperlink r:id="rId280" ref="A356"/>
    <hyperlink r:id="rId281" ref="A357"/>
    <hyperlink r:id="rId282" ref="A358"/>
    <hyperlink r:id="rId283" ref="A380"/>
    <hyperlink r:id="rId284" ref="A381"/>
    <hyperlink r:id="rId285" ref="A382"/>
    <hyperlink r:id="rId286" ref="A383"/>
    <hyperlink r:id="rId287" ref="A384"/>
    <hyperlink r:id="rId288" ref="A385"/>
    <hyperlink r:id="rId289" ref="A387"/>
    <hyperlink r:id="rId290" ref="A388"/>
    <hyperlink r:id="rId291" ref="A389"/>
    <hyperlink r:id="rId292" ref="A390"/>
    <hyperlink r:id="rId293" ref="A391"/>
    <hyperlink r:id="rId294" ref="A393"/>
    <hyperlink r:id="rId295" ref="A394"/>
    <hyperlink r:id="rId296" ref="A398"/>
    <hyperlink r:id="rId297" ref="A399"/>
    <hyperlink r:id="rId298" ref="A400"/>
    <hyperlink r:id="rId299" ref="A401"/>
    <hyperlink r:id="rId300" ref="A402"/>
    <hyperlink r:id="rId301" ref="A403"/>
    <hyperlink r:id="rId302" ref="A404"/>
    <hyperlink r:id="rId303" ref="A405"/>
    <hyperlink r:id="rId304" ref="A406"/>
    <hyperlink r:id="rId305" ref="A407"/>
    <hyperlink r:id="rId306" ref="A408"/>
    <hyperlink r:id="rId307" ref="A409"/>
    <hyperlink r:id="rId308" ref="A416"/>
    <hyperlink r:id="rId309" ref="A417"/>
    <hyperlink r:id="rId310" ref="A418"/>
    <hyperlink r:id="rId311" ref="A419"/>
    <hyperlink r:id="rId312" ref="A420"/>
    <hyperlink r:id="rId313" ref="A421"/>
    <hyperlink r:id="rId314" ref="A422"/>
    <hyperlink r:id="rId315" ref="A423"/>
    <hyperlink r:id="rId316" ref="A424"/>
    <hyperlink r:id="rId317" ref="A425"/>
    <hyperlink r:id="rId318" ref="A426"/>
    <hyperlink r:id="rId319" ref="A427"/>
    <hyperlink r:id="rId320" ref="A434"/>
    <hyperlink r:id="rId321" ref="A435"/>
    <hyperlink r:id="rId322" ref="A436"/>
    <hyperlink r:id="rId323" ref="A437"/>
    <hyperlink r:id="rId324" ref="A438"/>
    <hyperlink r:id="rId325" ref="A439"/>
    <hyperlink r:id="rId326" ref="A440"/>
    <hyperlink r:id="rId327" ref="A441"/>
    <hyperlink r:id="rId328" ref="A442"/>
    <hyperlink r:id="rId329" ref="A452"/>
    <hyperlink r:id="rId330" ref="A453"/>
    <hyperlink r:id="rId331" ref="A454"/>
    <hyperlink r:id="rId332" ref="A455"/>
    <hyperlink r:id="rId333" ref="A456"/>
    <hyperlink r:id="rId334" ref="A457"/>
    <hyperlink r:id="rId335" ref="A458"/>
    <hyperlink r:id="rId336" ref="A459"/>
    <hyperlink r:id="rId337" ref="A460"/>
    <hyperlink r:id="rId338" ref="A461"/>
    <hyperlink r:id="rId339" ref="A462"/>
    <hyperlink r:id="rId340" ref="A463"/>
    <hyperlink r:id="rId341" ref="A464"/>
    <hyperlink r:id="rId342" ref="A465"/>
    <hyperlink r:id="rId343" ref="A466"/>
    <hyperlink r:id="rId344" ref="A470"/>
    <hyperlink r:id="rId345" ref="A471"/>
    <hyperlink r:id="rId346" ref="A472"/>
    <hyperlink r:id="rId347" ref="A473"/>
    <hyperlink r:id="rId348" ref="A474"/>
    <hyperlink r:id="rId349" ref="A475"/>
    <hyperlink r:id="rId350" ref="A476"/>
    <hyperlink r:id="rId351" ref="A477"/>
    <hyperlink r:id="rId352" ref="A478"/>
    <hyperlink r:id="rId353" ref="A479"/>
    <hyperlink r:id="rId354" ref="A480"/>
    <hyperlink r:id="rId355" ref="A481"/>
    <hyperlink r:id="rId356" ref="A482"/>
    <hyperlink r:id="rId357" ref="A483"/>
    <hyperlink r:id="rId358" ref="A484"/>
    <hyperlink r:id="rId359" ref="A488"/>
    <hyperlink r:id="rId360" ref="A489"/>
    <hyperlink r:id="rId361" ref="A490"/>
    <hyperlink r:id="rId362" ref="A491"/>
    <hyperlink r:id="rId363" ref="A492"/>
    <hyperlink r:id="rId364" ref="A493"/>
    <hyperlink r:id="rId365" ref="A494"/>
    <hyperlink r:id="rId366" ref="A495"/>
    <hyperlink r:id="rId367" ref="A496"/>
    <hyperlink r:id="rId368" ref="A497"/>
    <hyperlink r:id="rId369" ref="A498"/>
    <hyperlink r:id="rId370" ref="A499"/>
    <hyperlink r:id="rId371" ref="A500"/>
    <hyperlink r:id="rId372" ref="A501"/>
    <hyperlink r:id="rId373" ref="A502"/>
    <hyperlink r:id="rId374" ref="A506"/>
    <hyperlink r:id="rId375" ref="A507"/>
    <hyperlink r:id="rId376" ref="A508"/>
    <hyperlink r:id="rId377" ref="A509"/>
    <hyperlink r:id="rId378" ref="A510"/>
    <hyperlink r:id="rId379" ref="A511"/>
    <hyperlink r:id="rId380" ref="A512"/>
    <hyperlink r:id="rId381" ref="A513"/>
    <hyperlink r:id="rId382" ref="A514"/>
    <hyperlink r:id="rId383" ref="A524"/>
    <hyperlink r:id="rId384" ref="A525"/>
    <hyperlink r:id="rId385" ref="A526"/>
    <hyperlink r:id="rId386" ref="A527"/>
    <hyperlink r:id="rId387" ref="A528"/>
    <hyperlink r:id="rId388" ref="A529"/>
    <hyperlink r:id="rId389" ref="A530"/>
    <hyperlink r:id="rId390" ref="A531"/>
    <hyperlink r:id="rId391" ref="A532"/>
    <hyperlink r:id="rId392" ref="A533"/>
    <hyperlink r:id="rId393" ref="A534"/>
    <hyperlink r:id="rId394" ref="A535"/>
    <hyperlink r:id="rId395" ref="A542"/>
    <hyperlink r:id="rId396" ref="A543"/>
    <hyperlink r:id="rId397" ref="A544"/>
    <hyperlink r:id="rId398" ref="A545"/>
    <hyperlink r:id="rId399" ref="A546"/>
    <hyperlink r:id="rId400" ref="A547"/>
    <hyperlink r:id="rId401" ref="A548"/>
    <hyperlink r:id="rId402" ref="A549"/>
    <hyperlink r:id="rId403" ref="A550"/>
    <hyperlink r:id="rId404" ref="A560"/>
    <hyperlink r:id="rId405" ref="A561"/>
    <hyperlink r:id="rId406" ref="A562"/>
    <hyperlink r:id="rId407" ref="A563"/>
    <hyperlink r:id="rId408" ref="A564"/>
    <hyperlink r:id="rId409" ref="A565"/>
    <hyperlink r:id="rId410" ref="A566"/>
    <hyperlink r:id="rId411" ref="A567"/>
    <hyperlink r:id="rId412" ref="A568"/>
    <hyperlink r:id="rId413" ref="A569"/>
    <hyperlink r:id="rId414" ref="A570"/>
    <hyperlink r:id="rId415" ref="A571"/>
    <hyperlink r:id="rId416" ref="A572"/>
    <hyperlink r:id="rId417" ref="A573"/>
    <hyperlink r:id="rId418" ref="A574"/>
    <hyperlink r:id="rId419" ref="A584"/>
    <hyperlink r:id="rId420" ref="A585"/>
    <hyperlink r:id="rId421" ref="A586"/>
    <hyperlink r:id="rId422" ref="A587"/>
    <hyperlink r:id="rId423" ref="A588"/>
    <hyperlink r:id="rId424" ref="A589"/>
    <hyperlink r:id="rId425" ref="A590"/>
    <hyperlink r:id="rId426" ref="A591"/>
    <hyperlink r:id="rId427" ref="A592"/>
    <hyperlink r:id="rId428" ref="A596"/>
    <hyperlink r:id="rId429" ref="A597"/>
    <hyperlink r:id="rId430" ref="A598"/>
    <hyperlink r:id="rId431" ref="A599"/>
    <hyperlink r:id="rId432" ref="A600"/>
    <hyperlink r:id="rId433" ref="A601"/>
    <hyperlink r:id="rId434" ref="A602"/>
    <hyperlink r:id="rId435" ref="A603"/>
    <hyperlink r:id="rId436" ref="A604"/>
    <hyperlink r:id="rId437" ref="A605"/>
    <hyperlink r:id="rId438" ref="A606"/>
    <hyperlink r:id="rId439" ref="A607"/>
    <hyperlink r:id="rId440" ref="A608"/>
    <hyperlink r:id="rId441" ref="A609"/>
    <hyperlink r:id="rId442" ref="A610"/>
    <hyperlink r:id="rId443" ref="A614"/>
    <hyperlink r:id="rId444" ref="A615"/>
    <hyperlink r:id="rId445" ref="A616"/>
    <hyperlink r:id="rId446" ref="A617"/>
    <hyperlink r:id="rId447" ref="A618"/>
    <hyperlink r:id="rId448" ref="A619"/>
    <hyperlink r:id="rId449" ref="A620"/>
    <hyperlink r:id="rId450" ref="A621"/>
    <hyperlink r:id="rId451" ref="A622"/>
    <hyperlink r:id="rId452" ref="A623"/>
    <hyperlink r:id="rId453" ref="A624"/>
    <hyperlink r:id="rId454" ref="A625"/>
    <hyperlink r:id="rId455" ref="A626"/>
    <hyperlink r:id="rId456" ref="A627"/>
    <hyperlink r:id="rId457" ref="A628"/>
    <hyperlink r:id="rId458" ref="A632"/>
    <hyperlink r:id="rId459" ref="A633"/>
    <hyperlink r:id="rId460" ref="A634"/>
    <hyperlink r:id="rId461" ref="A638"/>
    <hyperlink r:id="rId462" ref="A639"/>
    <hyperlink r:id="rId463" ref="A640"/>
    <hyperlink r:id="rId464" ref="A641"/>
    <hyperlink r:id="rId465" ref="A642"/>
    <hyperlink r:id="rId466" ref="A643"/>
    <hyperlink r:id="rId467" ref="A644"/>
    <hyperlink r:id="rId468" ref="A645"/>
    <hyperlink r:id="rId469" ref="A646"/>
    <hyperlink r:id="rId470" ref="A650"/>
    <hyperlink r:id="rId471" ref="A651"/>
    <hyperlink r:id="rId472" ref="A652"/>
    <hyperlink r:id="rId473" ref="A653"/>
    <hyperlink r:id="rId474" ref="A654"/>
    <hyperlink r:id="rId475" ref="A655"/>
    <hyperlink r:id="rId476" ref="A656"/>
    <hyperlink r:id="rId477" ref="A657"/>
    <hyperlink r:id="rId478" ref="A658"/>
    <hyperlink r:id="rId479" ref="A659"/>
    <hyperlink r:id="rId480" ref="A660"/>
    <hyperlink r:id="rId481" ref="A661"/>
    <hyperlink r:id="rId482" ref="A662"/>
    <hyperlink r:id="rId483" ref="A663"/>
    <hyperlink r:id="rId484" ref="A664"/>
  </hyperlinks>
  <drawing r:id="rId485"/>
  <tableParts count="1">
    <tablePart r:id="rId487"/>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41.5"/>
    <col customWidth="1" min="14" max="14" width="152.75"/>
  </cols>
  <sheetData>
    <row r="1" hidden="1" outlineLevel="1">
      <c r="A1" s="98" t="s">
        <v>89</v>
      </c>
      <c r="B1" s="98" t="s">
        <v>90</v>
      </c>
      <c r="C1" s="98" t="s">
        <v>91</v>
      </c>
      <c r="D1" s="101" t="s">
        <v>93</v>
      </c>
      <c r="E1" s="102" t="s">
        <v>94</v>
      </c>
      <c r="F1" s="102" t="s">
        <v>95</v>
      </c>
      <c r="G1" s="105" t="s">
        <v>96</v>
      </c>
      <c r="H1" s="107" t="s">
        <v>97</v>
      </c>
      <c r="I1" s="107" t="s">
        <v>104</v>
      </c>
      <c r="J1" s="105" t="s">
        <v>106</v>
      </c>
      <c r="K1" s="107" t="s">
        <v>109</v>
      </c>
      <c r="L1" s="105" t="s">
        <v>111</v>
      </c>
      <c r="M1" s="98" t="s">
        <v>114</v>
      </c>
      <c r="N1" s="101" t="s">
        <v>116</v>
      </c>
    </row>
    <row r="2" hidden="1" outlineLevel="1">
      <c r="A2" s="422" t="s">
        <v>1382</v>
      </c>
      <c r="B2" s="115">
        <v>46048.0</v>
      </c>
      <c r="C2" s="118" t="str">
        <f t="shared" ref="C2:C16" si="1">IF(B2="", "", TEXT(B2, "ddd"))</f>
        <v>Mon</v>
      </c>
      <c r="D2" s="468">
        <f t="shared" ref="D2:D16" si="2">IF(E2="Yes",0.05,0)
+IF(F2="Yes",0.1,0)
+IF(G2="Yes",0.15,0)
+IF(H2="Yes",0.15,0)
+IF(I2="Yes",0.05,0)
+IF(J2="Yes",0.05,0)
+IF(K2="Yes",0.15,0)
+IF(L2="Yes",0.3,0)
</f>
        <v>1</v>
      </c>
      <c r="E2" s="134" t="s">
        <v>142</v>
      </c>
      <c r="F2" s="134" t="s">
        <v>142</v>
      </c>
      <c r="G2" s="134" t="s">
        <v>142</v>
      </c>
      <c r="H2" s="134" t="s">
        <v>142</v>
      </c>
      <c r="I2" s="134" t="s">
        <v>142</v>
      </c>
      <c r="J2" s="134" t="s">
        <v>142</v>
      </c>
      <c r="K2" s="134" t="s">
        <v>142</v>
      </c>
      <c r="L2" s="134" t="s">
        <v>142</v>
      </c>
      <c r="M2" s="136"/>
      <c r="N2" s="137"/>
    </row>
    <row r="3" hidden="1" outlineLevel="1">
      <c r="A3" s="422" t="s">
        <v>1390</v>
      </c>
      <c r="B3" s="115">
        <v>46048.0</v>
      </c>
      <c r="C3" s="118" t="str">
        <f t="shared" si="1"/>
        <v>Mon</v>
      </c>
      <c r="D3" s="468">
        <f t="shared" si="2"/>
        <v>1</v>
      </c>
      <c r="E3" s="134" t="s">
        <v>142</v>
      </c>
      <c r="F3" s="134" t="s">
        <v>142</v>
      </c>
      <c r="G3" s="134" t="s">
        <v>142</v>
      </c>
      <c r="H3" s="134" t="s">
        <v>142</v>
      </c>
      <c r="I3" s="134" t="s">
        <v>142</v>
      </c>
      <c r="J3" s="134" t="s">
        <v>142</v>
      </c>
      <c r="K3" s="134" t="s">
        <v>142</v>
      </c>
      <c r="L3" s="134" t="s">
        <v>142</v>
      </c>
      <c r="M3" s="136"/>
      <c r="N3" s="131"/>
    </row>
    <row r="4" hidden="1" outlineLevel="1">
      <c r="A4" s="422" t="s">
        <v>1393</v>
      </c>
      <c r="B4" s="115">
        <v>46048.0</v>
      </c>
      <c r="C4" s="118" t="str">
        <f t="shared" si="1"/>
        <v>Mon</v>
      </c>
      <c r="D4" s="468">
        <f t="shared" si="2"/>
        <v>1</v>
      </c>
      <c r="E4" s="134" t="s">
        <v>142</v>
      </c>
      <c r="F4" s="134" t="s">
        <v>142</v>
      </c>
      <c r="G4" s="134" t="s">
        <v>142</v>
      </c>
      <c r="H4" s="134" t="s">
        <v>142</v>
      </c>
      <c r="I4" s="134" t="s">
        <v>142</v>
      </c>
      <c r="J4" s="134" t="s">
        <v>142</v>
      </c>
      <c r="K4" s="134" t="s">
        <v>142</v>
      </c>
      <c r="L4" s="134" t="s">
        <v>142</v>
      </c>
      <c r="M4" s="136"/>
      <c r="N4" s="131"/>
    </row>
    <row r="5" hidden="1" outlineLevel="1">
      <c r="A5" s="113" t="s">
        <v>1395</v>
      </c>
      <c r="B5" s="115">
        <v>46049.0</v>
      </c>
      <c r="C5" s="118" t="str">
        <f t="shared" si="1"/>
        <v>Tue</v>
      </c>
      <c r="D5" s="468">
        <f t="shared" si="2"/>
        <v>0.5</v>
      </c>
      <c r="E5" s="134" t="s">
        <v>945</v>
      </c>
      <c r="F5" s="11" t="s">
        <v>142</v>
      </c>
      <c r="G5" s="11" t="s">
        <v>142</v>
      </c>
      <c r="H5" s="11" t="s">
        <v>142</v>
      </c>
      <c r="I5" s="11" t="s">
        <v>142</v>
      </c>
      <c r="J5" s="11" t="s">
        <v>142</v>
      </c>
      <c r="K5" s="11" t="s">
        <v>945</v>
      </c>
      <c r="L5" s="11" t="s">
        <v>945</v>
      </c>
      <c r="M5" s="136"/>
      <c r="N5" s="131" t="s">
        <v>1397</v>
      </c>
    </row>
    <row r="6" hidden="1" outlineLevel="1">
      <c r="A6" s="422" t="s">
        <v>1398</v>
      </c>
      <c r="B6" s="115">
        <v>46049.0</v>
      </c>
      <c r="C6" s="118" t="str">
        <f t="shared" si="1"/>
        <v>Tue</v>
      </c>
      <c r="D6" s="468">
        <f t="shared" si="2"/>
        <v>0.55</v>
      </c>
      <c r="E6" s="134" t="s">
        <v>142</v>
      </c>
      <c r="F6" s="134" t="s">
        <v>142</v>
      </c>
      <c r="G6" s="134" t="s">
        <v>142</v>
      </c>
      <c r="H6" s="134" t="s">
        <v>142</v>
      </c>
      <c r="I6" s="134" t="s">
        <v>142</v>
      </c>
      <c r="J6" s="134" t="s">
        <v>142</v>
      </c>
      <c r="K6" s="134" t="s">
        <v>945</v>
      </c>
      <c r="L6" s="134" t="s">
        <v>945</v>
      </c>
      <c r="M6" s="136"/>
      <c r="N6" s="131" t="s">
        <v>1397</v>
      </c>
    </row>
    <row r="7" hidden="1" outlineLevel="1">
      <c r="A7" s="113" t="s">
        <v>1703</v>
      </c>
      <c r="B7" s="115">
        <v>46049.0</v>
      </c>
      <c r="C7" s="118" t="str">
        <f t="shared" si="1"/>
        <v>Tue</v>
      </c>
      <c r="D7" s="468">
        <f t="shared" si="2"/>
        <v>0.65</v>
      </c>
      <c r="E7" s="134" t="s">
        <v>945</v>
      </c>
      <c r="F7" s="11" t="s">
        <v>142</v>
      </c>
      <c r="G7" s="11" t="s">
        <v>142</v>
      </c>
      <c r="H7" s="11" t="s">
        <v>142</v>
      </c>
      <c r="I7" s="11" t="s">
        <v>142</v>
      </c>
      <c r="J7" s="11" t="s">
        <v>142</v>
      </c>
      <c r="K7" s="11" t="s">
        <v>142</v>
      </c>
      <c r="L7" s="11" t="s">
        <v>945</v>
      </c>
      <c r="M7" s="136"/>
      <c r="N7" s="131" t="s">
        <v>1404</v>
      </c>
    </row>
    <row r="8" hidden="1" outlineLevel="1">
      <c r="A8" s="113" t="s">
        <v>1405</v>
      </c>
      <c r="B8" s="115">
        <v>46050.0</v>
      </c>
      <c r="C8" s="118" t="str">
        <f t="shared" si="1"/>
        <v>Wed</v>
      </c>
      <c r="D8" s="468">
        <f t="shared" si="2"/>
        <v>0.95</v>
      </c>
      <c r="E8" s="134" t="s">
        <v>945</v>
      </c>
      <c r="F8" s="134" t="s">
        <v>142</v>
      </c>
      <c r="G8" s="134" t="s">
        <v>142</v>
      </c>
      <c r="H8" s="134" t="s">
        <v>142</v>
      </c>
      <c r="I8" s="134" t="s">
        <v>142</v>
      </c>
      <c r="J8" s="134" t="s">
        <v>142</v>
      </c>
      <c r="K8" s="134" t="s">
        <v>142</v>
      </c>
      <c r="L8" s="134" t="s">
        <v>142</v>
      </c>
      <c r="M8" s="136"/>
      <c r="N8" s="131" t="s">
        <v>1406</v>
      </c>
    </row>
    <row r="9" hidden="1" outlineLevel="1">
      <c r="A9" s="113" t="s">
        <v>1407</v>
      </c>
      <c r="B9" s="115">
        <v>46050.0</v>
      </c>
      <c r="C9" s="118" t="str">
        <f t="shared" si="1"/>
        <v>Wed</v>
      </c>
      <c r="D9" s="468">
        <f t="shared" si="2"/>
        <v>0.45</v>
      </c>
      <c r="E9" s="134" t="s">
        <v>142</v>
      </c>
      <c r="F9" s="134" t="s">
        <v>142</v>
      </c>
      <c r="G9" s="134" t="s">
        <v>142</v>
      </c>
      <c r="H9" s="134" t="s">
        <v>142</v>
      </c>
      <c r="I9" s="134" t="s">
        <v>945</v>
      </c>
      <c r="J9" s="134" t="s">
        <v>945</v>
      </c>
      <c r="K9" s="134" t="s">
        <v>945</v>
      </c>
      <c r="L9" s="134" t="s">
        <v>945</v>
      </c>
      <c r="M9" s="136"/>
      <c r="N9" s="131" t="s">
        <v>1409</v>
      </c>
    </row>
    <row r="10" hidden="1" outlineLevel="1">
      <c r="A10" s="113" t="s">
        <v>1410</v>
      </c>
      <c r="B10" s="115">
        <v>46050.0</v>
      </c>
      <c r="C10" s="118" t="str">
        <f t="shared" si="1"/>
        <v>Wed</v>
      </c>
      <c r="D10" s="468">
        <f t="shared" si="2"/>
        <v>1</v>
      </c>
      <c r="E10" s="134" t="s">
        <v>142</v>
      </c>
      <c r="F10" s="134" t="s">
        <v>142</v>
      </c>
      <c r="G10" s="134" t="s">
        <v>142</v>
      </c>
      <c r="H10" s="134" t="s">
        <v>142</v>
      </c>
      <c r="I10" s="134" t="s">
        <v>142</v>
      </c>
      <c r="J10" s="134" t="s">
        <v>142</v>
      </c>
      <c r="K10" s="134" t="s">
        <v>142</v>
      </c>
      <c r="L10" s="134" t="s">
        <v>142</v>
      </c>
      <c r="M10" s="136"/>
      <c r="N10" s="131"/>
    </row>
    <row r="11" hidden="1" outlineLevel="1">
      <c r="A11" s="422" t="s">
        <v>1411</v>
      </c>
      <c r="B11" s="115">
        <v>46052.0</v>
      </c>
      <c r="C11" s="118" t="str">
        <f t="shared" si="1"/>
        <v>Fri</v>
      </c>
      <c r="D11" s="468">
        <f t="shared" si="2"/>
        <v>0.55</v>
      </c>
      <c r="E11" s="134" t="s">
        <v>142</v>
      </c>
      <c r="F11" s="134" t="s">
        <v>142</v>
      </c>
      <c r="G11" s="134" t="s">
        <v>142</v>
      </c>
      <c r="H11" s="134" t="s">
        <v>142</v>
      </c>
      <c r="I11" s="134" t="s">
        <v>142</v>
      </c>
      <c r="J11" s="134" t="s">
        <v>142</v>
      </c>
      <c r="K11" s="134" t="s">
        <v>945</v>
      </c>
      <c r="L11" s="134" t="s">
        <v>945</v>
      </c>
      <c r="M11" s="136"/>
      <c r="N11" s="131" t="s">
        <v>1412</v>
      </c>
    </row>
    <row r="12" hidden="1" outlineLevel="1">
      <c r="A12" s="422" t="s">
        <v>1413</v>
      </c>
      <c r="B12" s="115">
        <v>46052.0</v>
      </c>
      <c r="C12" s="118" t="str">
        <f t="shared" si="1"/>
        <v>Fri</v>
      </c>
      <c r="D12" s="468">
        <f t="shared" si="2"/>
        <v>0.95</v>
      </c>
      <c r="E12" s="134" t="s">
        <v>945</v>
      </c>
      <c r="F12" s="134" t="s">
        <v>142</v>
      </c>
      <c r="G12" s="134" t="s">
        <v>142</v>
      </c>
      <c r="H12" s="134" t="s">
        <v>142</v>
      </c>
      <c r="I12" s="134" t="s">
        <v>142</v>
      </c>
      <c r="J12" s="134" t="s">
        <v>142</v>
      </c>
      <c r="K12" s="134" t="s">
        <v>142</v>
      </c>
      <c r="L12" s="134" t="s">
        <v>142</v>
      </c>
      <c r="M12" s="136"/>
      <c r="N12" s="131"/>
    </row>
    <row r="13" hidden="1" outlineLevel="1">
      <c r="A13" s="438" t="s">
        <v>1416</v>
      </c>
      <c r="B13" s="115">
        <v>46052.0</v>
      </c>
      <c r="C13" s="118" t="str">
        <f t="shared" si="1"/>
        <v>Fri</v>
      </c>
      <c r="D13" s="468">
        <f t="shared" si="2"/>
        <v>0.9</v>
      </c>
      <c r="E13" s="134" t="s">
        <v>945</v>
      </c>
      <c r="F13" s="134" t="s">
        <v>142</v>
      </c>
      <c r="G13" s="134" t="s">
        <v>142</v>
      </c>
      <c r="H13" s="134" t="s">
        <v>142</v>
      </c>
      <c r="I13" s="134" t="s">
        <v>142</v>
      </c>
      <c r="J13" s="134" t="s">
        <v>945</v>
      </c>
      <c r="K13" s="134" t="s">
        <v>142</v>
      </c>
      <c r="L13" s="134" t="s">
        <v>142</v>
      </c>
      <c r="M13" s="136"/>
      <c r="N13" s="131" t="s">
        <v>1418</v>
      </c>
    </row>
    <row r="14" hidden="1" outlineLevel="1">
      <c r="A14" s="353" t="s">
        <v>1419</v>
      </c>
      <c r="B14" s="115">
        <v>46053.0</v>
      </c>
      <c r="C14" s="368" t="str">
        <f t="shared" si="1"/>
        <v>Sat</v>
      </c>
      <c r="D14" s="468">
        <f t="shared" si="2"/>
        <v>1</v>
      </c>
      <c r="E14" s="134" t="s">
        <v>142</v>
      </c>
      <c r="F14" s="134" t="s">
        <v>142</v>
      </c>
      <c r="G14" s="134" t="s">
        <v>142</v>
      </c>
      <c r="H14" s="134" t="s">
        <v>142</v>
      </c>
      <c r="I14" s="134" t="s">
        <v>142</v>
      </c>
      <c r="J14" s="134" t="s">
        <v>142</v>
      </c>
      <c r="K14" s="134" t="s">
        <v>142</v>
      </c>
      <c r="L14" s="134" t="s">
        <v>142</v>
      </c>
      <c r="M14" s="136"/>
      <c r="N14" s="137"/>
    </row>
    <row r="15" hidden="1" outlineLevel="1">
      <c r="A15" s="353" t="s">
        <v>1421</v>
      </c>
      <c r="B15" s="115">
        <v>46053.0</v>
      </c>
      <c r="C15" s="368" t="str">
        <f t="shared" si="1"/>
        <v>Sat</v>
      </c>
      <c r="D15" s="468">
        <f t="shared" si="2"/>
        <v>1</v>
      </c>
      <c r="E15" s="134" t="s">
        <v>142</v>
      </c>
      <c r="F15" s="134" t="s">
        <v>142</v>
      </c>
      <c r="G15" s="134" t="s">
        <v>142</v>
      </c>
      <c r="H15" s="134" t="s">
        <v>142</v>
      </c>
      <c r="I15" s="134" t="s">
        <v>142</v>
      </c>
      <c r="J15" s="134" t="s">
        <v>142</v>
      </c>
      <c r="K15" s="134" t="s">
        <v>142</v>
      </c>
      <c r="L15" s="134" t="s">
        <v>142</v>
      </c>
      <c r="M15" s="136"/>
      <c r="N15" s="131" t="s">
        <v>1423</v>
      </c>
    </row>
    <row r="16" ht="15.0" hidden="1" customHeight="1" outlineLevel="1">
      <c r="A16" s="353" t="s">
        <v>1424</v>
      </c>
      <c r="B16" s="115">
        <v>46053.0</v>
      </c>
      <c r="C16" s="368" t="str">
        <f t="shared" si="1"/>
        <v>Sat</v>
      </c>
      <c r="D16" s="468">
        <f t="shared" si="2"/>
        <v>1</v>
      </c>
      <c r="E16" s="134" t="s">
        <v>142</v>
      </c>
      <c r="F16" s="134" t="s">
        <v>142</v>
      </c>
      <c r="G16" s="134" t="s">
        <v>142</v>
      </c>
      <c r="H16" s="134" t="s">
        <v>142</v>
      </c>
      <c r="I16" s="134" t="s">
        <v>142</v>
      </c>
      <c r="J16" s="134" t="s">
        <v>142</v>
      </c>
      <c r="K16" s="134" t="s">
        <v>142</v>
      </c>
      <c r="L16" s="134" t="s">
        <v>142</v>
      </c>
      <c r="M16" s="136"/>
      <c r="N16" s="131"/>
    </row>
    <row r="17" hidden="1" outlineLevel="1">
      <c r="B17" s="215"/>
      <c r="C17" s="216" t="s">
        <v>199</v>
      </c>
      <c r="D17" s="217">
        <f>AVERAGE(D2:D16)</f>
        <v>0.8333333333</v>
      </c>
      <c r="E17" s="470"/>
      <c r="L17" s="216" t="s">
        <v>199</v>
      </c>
      <c r="M17" s="217">
        <f>SUM(M2:M16)/75*0.1</f>
        <v>0</v>
      </c>
    </row>
    <row r="18" hidden="1" outlineLevel="1">
      <c r="A18" s="96" t="s">
        <v>89</v>
      </c>
      <c r="B18" s="98" t="s">
        <v>90</v>
      </c>
      <c r="C18" s="98" t="s">
        <v>91</v>
      </c>
      <c r="D18" s="101" t="s">
        <v>93</v>
      </c>
      <c r="E18" s="102" t="s">
        <v>94</v>
      </c>
      <c r="F18" s="102" t="s">
        <v>95</v>
      </c>
      <c r="G18" s="105" t="s">
        <v>96</v>
      </c>
      <c r="H18" s="107" t="s">
        <v>97</v>
      </c>
      <c r="I18" s="107" t="s">
        <v>104</v>
      </c>
      <c r="J18" s="105" t="s">
        <v>106</v>
      </c>
      <c r="K18" s="107" t="s">
        <v>109</v>
      </c>
      <c r="L18" s="105" t="s">
        <v>111</v>
      </c>
      <c r="M18" s="98" t="s">
        <v>114</v>
      </c>
      <c r="N18" s="101" t="s">
        <v>116</v>
      </c>
    </row>
    <row r="19" hidden="1" outlineLevel="1">
      <c r="A19" s="353" t="s">
        <v>1714</v>
      </c>
      <c r="B19" s="115">
        <v>46076.0</v>
      </c>
      <c r="C19" s="118" t="str">
        <f t="shared" ref="C19:C33" si="3">IF(B19="", "", TEXT(B19, "ddd"))</f>
        <v>Mon</v>
      </c>
      <c r="D19" s="468">
        <f t="shared" ref="D19:D33" si="4">IF(E19="Yes",0.05,0)
+IF(F19="Yes",0.1,0)
+IF(G19="Yes",0.15,0)
+IF(H19="Yes",0.15,0)
+IF(I19="Yes",0.05,0)
+IF(J19="Yes",0.05,0)
+IF(K19="Yes",0.15,0)
+IF(L19="Yes",0.3,0)
</f>
        <v>1</v>
      </c>
      <c r="E19" s="134" t="s">
        <v>142</v>
      </c>
      <c r="F19" s="134" t="s">
        <v>142</v>
      </c>
      <c r="G19" s="134" t="s">
        <v>142</v>
      </c>
      <c r="H19" s="134" t="s">
        <v>142</v>
      </c>
      <c r="I19" s="134" t="s">
        <v>142</v>
      </c>
      <c r="J19" s="134" t="s">
        <v>142</v>
      </c>
      <c r="K19" s="134" t="s">
        <v>142</v>
      </c>
      <c r="L19" s="134" t="s">
        <v>142</v>
      </c>
      <c r="M19" s="136"/>
      <c r="N19" s="137"/>
    </row>
    <row r="20" hidden="1" outlineLevel="1">
      <c r="A20" s="353" t="s">
        <v>1716</v>
      </c>
      <c r="B20" s="115">
        <v>46076.0</v>
      </c>
      <c r="C20" s="118" t="str">
        <f t="shared" si="3"/>
        <v>Mon</v>
      </c>
      <c r="D20" s="468">
        <f t="shared" si="4"/>
        <v>0.5</v>
      </c>
      <c r="E20" s="134" t="s">
        <v>142</v>
      </c>
      <c r="F20" s="134" t="s">
        <v>142</v>
      </c>
      <c r="G20" s="134" t="s">
        <v>142</v>
      </c>
      <c r="H20" s="134" t="s">
        <v>142</v>
      </c>
      <c r="I20" s="134" t="s">
        <v>142</v>
      </c>
      <c r="J20" s="134" t="s">
        <v>945</v>
      </c>
      <c r="K20" s="134" t="s">
        <v>945</v>
      </c>
      <c r="L20" s="134" t="s">
        <v>945</v>
      </c>
      <c r="M20" s="136"/>
      <c r="N20" s="131" t="s">
        <v>1554</v>
      </c>
    </row>
    <row r="21" hidden="1" outlineLevel="1">
      <c r="A21" s="353" t="s">
        <v>1718</v>
      </c>
      <c r="B21" s="115">
        <v>46076.0</v>
      </c>
      <c r="C21" s="118" t="str">
        <f t="shared" si="3"/>
        <v>Mon</v>
      </c>
      <c r="D21" s="468">
        <f t="shared" si="4"/>
        <v>0.3</v>
      </c>
      <c r="E21" s="134" t="s">
        <v>142</v>
      </c>
      <c r="F21" s="134" t="s">
        <v>142</v>
      </c>
      <c r="G21" s="134" t="s">
        <v>142</v>
      </c>
      <c r="H21" s="134" t="s">
        <v>945</v>
      </c>
      <c r="I21" s="134" t="s">
        <v>945</v>
      </c>
      <c r="J21" s="134" t="s">
        <v>945</v>
      </c>
      <c r="K21" s="134" t="s">
        <v>945</v>
      </c>
      <c r="L21" s="134" t="s">
        <v>945</v>
      </c>
      <c r="M21" s="136"/>
      <c r="N21" s="131" t="s">
        <v>1554</v>
      </c>
    </row>
    <row r="22" hidden="1" outlineLevel="1">
      <c r="A22" s="353" t="s">
        <v>1720</v>
      </c>
      <c r="B22" s="115">
        <v>46077.0</v>
      </c>
      <c r="C22" s="118" t="str">
        <f t="shared" si="3"/>
        <v>Tue</v>
      </c>
      <c r="D22" s="468">
        <f t="shared" si="4"/>
        <v>1</v>
      </c>
      <c r="E22" s="134" t="s">
        <v>142</v>
      </c>
      <c r="F22" s="134" t="s">
        <v>142</v>
      </c>
      <c r="G22" s="134" t="s">
        <v>142</v>
      </c>
      <c r="H22" s="134" t="s">
        <v>142</v>
      </c>
      <c r="I22" s="134" t="s">
        <v>142</v>
      </c>
      <c r="J22" s="134" t="s">
        <v>142</v>
      </c>
      <c r="K22" s="134" t="s">
        <v>142</v>
      </c>
      <c r="L22" s="134" t="s">
        <v>142</v>
      </c>
      <c r="M22" s="136"/>
      <c r="N22" s="137"/>
    </row>
    <row r="23" hidden="1" outlineLevel="1">
      <c r="A23" s="353" t="s">
        <v>1725</v>
      </c>
      <c r="B23" s="115">
        <v>46077.0</v>
      </c>
      <c r="C23" s="118" t="str">
        <f t="shared" si="3"/>
        <v>Tue</v>
      </c>
      <c r="D23" s="468">
        <f t="shared" si="4"/>
        <v>1</v>
      </c>
      <c r="E23" s="134" t="s">
        <v>142</v>
      </c>
      <c r="F23" s="134" t="s">
        <v>142</v>
      </c>
      <c r="G23" s="134" t="s">
        <v>142</v>
      </c>
      <c r="H23" s="134" t="s">
        <v>142</v>
      </c>
      <c r="I23" s="134" t="s">
        <v>142</v>
      </c>
      <c r="J23" s="134" t="s">
        <v>142</v>
      </c>
      <c r="K23" s="134" t="s">
        <v>142</v>
      </c>
      <c r="L23" s="134" t="s">
        <v>142</v>
      </c>
      <c r="M23" s="136"/>
      <c r="N23" s="137"/>
    </row>
    <row r="24" hidden="1" outlineLevel="1">
      <c r="A24" s="353" t="s">
        <v>1726</v>
      </c>
      <c r="B24" s="115">
        <v>46077.0</v>
      </c>
      <c r="C24" s="118" t="str">
        <f t="shared" si="3"/>
        <v>Tue</v>
      </c>
      <c r="D24" s="468">
        <f t="shared" si="4"/>
        <v>1</v>
      </c>
      <c r="E24" s="134" t="s">
        <v>142</v>
      </c>
      <c r="F24" s="134" t="s">
        <v>142</v>
      </c>
      <c r="G24" s="134" t="s">
        <v>142</v>
      </c>
      <c r="H24" s="134" t="s">
        <v>142</v>
      </c>
      <c r="I24" s="134" t="s">
        <v>142</v>
      </c>
      <c r="J24" s="134" t="s">
        <v>142</v>
      </c>
      <c r="K24" s="134" t="s">
        <v>142</v>
      </c>
      <c r="L24" s="134" t="s">
        <v>142</v>
      </c>
      <c r="M24" s="136"/>
      <c r="N24" s="137"/>
    </row>
    <row r="25" hidden="1" outlineLevel="1">
      <c r="A25" s="113" t="s">
        <v>1727</v>
      </c>
      <c r="B25" s="115">
        <v>46079.0</v>
      </c>
      <c r="C25" s="118" t="str">
        <f t="shared" si="3"/>
        <v>Thu</v>
      </c>
      <c r="D25" s="468">
        <f t="shared" si="4"/>
        <v>1</v>
      </c>
      <c r="E25" s="134" t="s">
        <v>142</v>
      </c>
      <c r="F25" s="134" t="s">
        <v>142</v>
      </c>
      <c r="G25" s="134" t="s">
        <v>142</v>
      </c>
      <c r="H25" s="134" t="s">
        <v>142</v>
      </c>
      <c r="I25" s="134" t="s">
        <v>142</v>
      </c>
      <c r="J25" s="134" t="s">
        <v>142</v>
      </c>
      <c r="K25" s="134" t="s">
        <v>142</v>
      </c>
      <c r="L25" s="134" t="s">
        <v>142</v>
      </c>
      <c r="M25" s="136"/>
      <c r="N25" s="137"/>
    </row>
    <row r="26" hidden="1" outlineLevel="1">
      <c r="A26" s="113" t="s">
        <v>1729</v>
      </c>
      <c r="B26" s="115">
        <v>46079.0</v>
      </c>
      <c r="C26" s="118" t="str">
        <f t="shared" si="3"/>
        <v>Thu</v>
      </c>
      <c r="D26" s="468">
        <f t="shared" si="4"/>
        <v>1</v>
      </c>
      <c r="E26" s="134" t="s">
        <v>142</v>
      </c>
      <c r="F26" s="134" t="s">
        <v>142</v>
      </c>
      <c r="G26" s="134" t="s">
        <v>142</v>
      </c>
      <c r="H26" s="134" t="s">
        <v>142</v>
      </c>
      <c r="I26" s="134" t="s">
        <v>142</v>
      </c>
      <c r="J26" s="134" t="s">
        <v>142</v>
      </c>
      <c r="K26" s="134" t="s">
        <v>142</v>
      </c>
      <c r="L26" s="134" t="s">
        <v>142</v>
      </c>
      <c r="M26" s="136"/>
      <c r="N26" s="131"/>
    </row>
    <row r="27" hidden="1" outlineLevel="1">
      <c r="A27" s="113" t="s">
        <v>1733</v>
      </c>
      <c r="B27" s="115">
        <v>46079.0</v>
      </c>
      <c r="C27" s="118" t="str">
        <f t="shared" si="3"/>
        <v>Thu</v>
      </c>
      <c r="D27" s="468">
        <f t="shared" si="4"/>
        <v>0.7</v>
      </c>
      <c r="E27" s="134" t="s">
        <v>142</v>
      </c>
      <c r="F27" s="134" t="s">
        <v>142</v>
      </c>
      <c r="G27" s="134" t="s">
        <v>142</v>
      </c>
      <c r="H27" s="134" t="s">
        <v>142</v>
      </c>
      <c r="I27" s="134" t="s">
        <v>142</v>
      </c>
      <c r="J27" s="134" t="s">
        <v>142</v>
      </c>
      <c r="K27" s="134" t="s">
        <v>142</v>
      </c>
      <c r="L27" s="134" t="s">
        <v>945</v>
      </c>
      <c r="M27" s="136"/>
      <c r="N27" s="131" t="s">
        <v>1567</v>
      </c>
    </row>
    <row r="28" hidden="1" outlineLevel="1">
      <c r="A28" s="422" t="s">
        <v>1568</v>
      </c>
      <c r="B28" s="115">
        <v>46080.0</v>
      </c>
      <c r="C28" s="118" t="str">
        <f t="shared" si="3"/>
        <v>Fri</v>
      </c>
      <c r="D28" s="468">
        <f t="shared" si="4"/>
        <v>1</v>
      </c>
      <c r="E28" s="134" t="s">
        <v>142</v>
      </c>
      <c r="F28" s="134" t="s">
        <v>142</v>
      </c>
      <c r="G28" s="134" t="s">
        <v>142</v>
      </c>
      <c r="H28" s="134" t="s">
        <v>142</v>
      </c>
      <c r="I28" s="134" t="s">
        <v>142</v>
      </c>
      <c r="J28" s="134" t="s">
        <v>142</v>
      </c>
      <c r="K28" s="134" t="s">
        <v>142</v>
      </c>
      <c r="L28" s="134" t="s">
        <v>142</v>
      </c>
      <c r="M28" s="136"/>
      <c r="N28" s="131"/>
    </row>
    <row r="29" hidden="1" outlineLevel="1">
      <c r="A29" s="353" t="s">
        <v>1775</v>
      </c>
      <c r="B29" s="115">
        <v>46080.0</v>
      </c>
      <c r="C29" s="118" t="str">
        <f t="shared" si="3"/>
        <v>Fri</v>
      </c>
      <c r="D29" s="468">
        <f t="shared" si="4"/>
        <v>1</v>
      </c>
      <c r="E29" s="134" t="s">
        <v>142</v>
      </c>
      <c r="F29" s="134" t="s">
        <v>142</v>
      </c>
      <c r="G29" s="134" t="s">
        <v>142</v>
      </c>
      <c r="H29" s="134" t="s">
        <v>142</v>
      </c>
      <c r="I29" s="134" t="s">
        <v>142</v>
      </c>
      <c r="J29" s="134" t="s">
        <v>142</v>
      </c>
      <c r="K29" s="134" t="s">
        <v>142</v>
      </c>
      <c r="L29" s="134" t="s">
        <v>142</v>
      </c>
      <c r="M29" s="136"/>
      <c r="N29" s="131"/>
    </row>
    <row r="30" hidden="1" outlineLevel="1">
      <c r="A30" s="353" t="s">
        <v>1777</v>
      </c>
      <c r="B30" s="115">
        <v>46080.0</v>
      </c>
      <c r="C30" s="118" t="str">
        <f t="shared" si="3"/>
        <v>Fri</v>
      </c>
      <c r="D30" s="468">
        <f t="shared" si="4"/>
        <v>1</v>
      </c>
      <c r="E30" s="134" t="s">
        <v>142</v>
      </c>
      <c r="F30" s="134" t="s">
        <v>142</v>
      </c>
      <c r="G30" s="134" t="s">
        <v>142</v>
      </c>
      <c r="H30" s="134" t="s">
        <v>142</v>
      </c>
      <c r="I30" s="134" t="s">
        <v>142</v>
      </c>
      <c r="J30" s="134" t="s">
        <v>142</v>
      </c>
      <c r="K30" s="134" t="s">
        <v>142</v>
      </c>
      <c r="L30" s="134" t="s">
        <v>142</v>
      </c>
      <c r="M30" s="136"/>
      <c r="N30" s="131"/>
    </row>
    <row r="31" hidden="1" outlineLevel="1">
      <c r="A31" s="113" t="s">
        <v>1779</v>
      </c>
      <c r="B31" s="115">
        <v>46081.0</v>
      </c>
      <c r="C31" s="118" t="str">
        <f t="shared" si="3"/>
        <v>Sat</v>
      </c>
      <c r="D31" s="468">
        <f t="shared" si="4"/>
        <v>1</v>
      </c>
      <c r="E31" s="134" t="s">
        <v>142</v>
      </c>
      <c r="F31" s="134" t="s">
        <v>142</v>
      </c>
      <c r="G31" s="134" t="s">
        <v>142</v>
      </c>
      <c r="H31" s="134" t="s">
        <v>142</v>
      </c>
      <c r="I31" s="134" t="s">
        <v>142</v>
      </c>
      <c r="J31" s="134" t="s">
        <v>142</v>
      </c>
      <c r="K31" s="134" t="s">
        <v>142</v>
      </c>
      <c r="L31" s="134" t="s">
        <v>142</v>
      </c>
      <c r="M31" s="136"/>
      <c r="N31" s="137"/>
    </row>
    <row r="32" hidden="1" outlineLevel="1">
      <c r="A32" s="113" t="s">
        <v>1780</v>
      </c>
      <c r="B32" s="115">
        <v>46081.0</v>
      </c>
      <c r="C32" s="118" t="str">
        <f t="shared" si="3"/>
        <v>Sat</v>
      </c>
      <c r="D32" s="468">
        <f t="shared" si="4"/>
        <v>1</v>
      </c>
      <c r="E32" s="134" t="s">
        <v>142</v>
      </c>
      <c r="F32" s="134" t="s">
        <v>142</v>
      </c>
      <c r="G32" s="134" t="s">
        <v>142</v>
      </c>
      <c r="H32" s="134" t="s">
        <v>142</v>
      </c>
      <c r="I32" s="134" t="s">
        <v>142</v>
      </c>
      <c r="J32" s="134" t="s">
        <v>142</v>
      </c>
      <c r="K32" s="134" t="s">
        <v>142</v>
      </c>
      <c r="L32" s="134" t="s">
        <v>142</v>
      </c>
      <c r="M32" s="136"/>
      <c r="N32" s="137"/>
    </row>
    <row r="33" ht="15.0" hidden="1" customHeight="1" outlineLevel="1">
      <c r="A33" s="113" t="s">
        <v>1782</v>
      </c>
      <c r="B33" s="115">
        <v>46081.0</v>
      </c>
      <c r="C33" s="118" t="str">
        <f t="shared" si="3"/>
        <v>Sat</v>
      </c>
      <c r="D33" s="468">
        <f t="shared" si="4"/>
        <v>0.95</v>
      </c>
      <c r="E33" s="134" t="s">
        <v>945</v>
      </c>
      <c r="F33" s="134" t="s">
        <v>142</v>
      </c>
      <c r="G33" s="134" t="s">
        <v>142</v>
      </c>
      <c r="H33" s="134" t="s">
        <v>142</v>
      </c>
      <c r="I33" s="134" t="s">
        <v>142</v>
      </c>
      <c r="J33" s="134" t="s">
        <v>142</v>
      </c>
      <c r="K33" s="134" t="s">
        <v>142</v>
      </c>
      <c r="L33" s="134" t="s">
        <v>142</v>
      </c>
      <c r="M33" s="136"/>
      <c r="N33" s="131" t="s">
        <v>1583</v>
      </c>
    </row>
    <row r="34" hidden="1" outlineLevel="1">
      <c r="B34" s="215"/>
      <c r="C34" s="216" t="s">
        <v>199</v>
      </c>
      <c r="D34" s="217">
        <f>AVERAGE(D19:D33)</f>
        <v>0.8966666667</v>
      </c>
      <c r="E34" s="470"/>
      <c r="L34" s="216" t="s">
        <v>199</v>
      </c>
      <c r="M34" s="217">
        <f>SUM(M19:M33)/75*0.1</f>
        <v>0</v>
      </c>
    </row>
    <row r="35" hidden="1" collapsed="1">
      <c r="A35" s="85" t="s">
        <v>1586</v>
      </c>
      <c r="B35" s="86"/>
      <c r="C35" s="86"/>
      <c r="D35" s="490"/>
      <c r="E35" s="89"/>
      <c r="F35" s="89"/>
      <c r="G35" s="91"/>
      <c r="H35" s="91"/>
      <c r="I35" s="91"/>
      <c r="J35" s="91"/>
      <c r="K35" s="91"/>
      <c r="L35" s="91"/>
      <c r="M35" s="93"/>
      <c r="N35" s="95"/>
    </row>
    <row r="36" hidden="1" outlineLevel="1">
      <c r="A36" s="96" t="s">
        <v>89</v>
      </c>
      <c r="B36" s="98" t="s">
        <v>90</v>
      </c>
      <c r="C36" s="98" t="s">
        <v>91</v>
      </c>
      <c r="D36" s="101" t="s">
        <v>93</v>
      </c>
      <c r="E36" s="102" t="s">
        <v>94</v>
      </c>
      <c r="F36" s="102" t="s">
        <v>95</v>
      </c>
      <c r="G36" s="105" t="s">
        <v>96</v>
      </c>
      <c r="H36" s="107" t="s">
        <v>97</v>
      </c>
      <c r="I36" s="107" t="s">
        <v>104</v>
      </c>
      <c r="J36" s="105" t="s">
        <v>106</v>
      </c>
      <c r="K36" s="107" t="s">
        <v>109</v>
      </c>
      <c r="L36" s="105" t="s">
        <v>111</v>
      </c>
      <c r="M36" s="98" t="s">
        <v>114</v>
      </c>
      <c r="N36" s="101" t="s">
        <v>116</v>
      </c>
    </row>
    <row r="37" hidden="1" outlineLevel="1">
      <c r="A37" s="422" t="s">
        <v>1785</v>
      </c>
      <c r="B37" s="115">
        <v>46084.0</v>
      </c>
      <c r="C37" s="118" t="str">
        <f t="shared" ref="C37:C51" si="5">IF(B37="", "", TEXT(B37, "ddd"))</f>
        <v>Tue</v>
      </c>
      <c r="D37" s="143">
        <f t="shared" ref="D37:D51" si="6">IF(E37="Yes",0.05,0)
+IF(F37="Yes",0.1,0)
+IF(G37="Yes",0.15,0)
+IF(H37="Yes",0.15,0)
+IF(I37="Yes",0.05,0)
+IF(J37="Yes",0.05,0)
+IF(K37="Yes",0.15,0)
+IF(L37="Yes",0.3,0)
</f>
        <v>1</v>
      </c>
      <c r="E37" s="144" t="s">
        <v>142</v>
      </c>
      <c r="F37" s="134" t="s">
        <v>142</v>
      </c>
      <c r="G37" s="134" t="s">
        <v>142</v>
      </c>
      <c r="H37" s="134" t="s">
        <v>142</v>
      </c>
      <c r="I37" s="134" t="s">
        <v>142</v>
      </c>
      <c r="J37" s="134" t="s">
        <v>142</v>
      </c>
      <c r="K37" s="134" t="s">
        <v>142</v>
      </c>
      <c r="L37" s="134" t="s">
        <v>142</v>
      </c>
      <c r="M37" s="136"/>
      <c r="N37" s="137"/>
    </row>
    <row r="38" hidden="1" outlineLevel="1">
      <c r="A38" s="422" t="s">
        <v>1787</v>
      </c>
      <c r="B38" s="115">
        <v>46084.0</v>
      </c>
      <c r="C38" s="118" t="str">
        <f t="shared" si="5"/>
        <v>Tue</v>
      </c>
      <c r="D38" s="128">
        <f t="shared" si="6"/>
        <v>1</v>
      </c>
      <c r="E38" s="131" t="s">
        <v>142</v>
      </c>
      <c r="F38" s="134" t="s">
        <v>142</v>
      </c>
      <c r="G38" s="134" t="s">
        <v>142</v>
      </c>
      <c r="H38" s="134" t="s">
        <v>142</v>
      </c>
      <c r="I38" s="134" t="s">
        <v>142</v>
      </c>
      <c r="J38" s="134" t="s">
        <v>142</v>
      </c>
      <c r="K38" s="134" t="s">
        <v>142</v>
      </c>
      <c r="L38" s="134" t="s">
        <v>142</v>
      </c>
      <c r="M38" s="136"/>
      <c r="N38" s="131"/>
    </row>
    <row r="39" hidden="1" outlineLevel="1">
      <c r="A39" s="422" t="s">
        <v>1788</v>
      </c>
      <c r="B39" s="115">
        <v>46084.0</v>
      </c>
      <c r="C39" s="118" t="str">
        <f t="shared" si="5"/>
        <v>Tue</v>
      </c>
      <c r="D39" s="143">
        <f t="shared" si="6"/>
        <v>1</v>
      </c>
      <c r="E39" s="144" t="s">
        <v>142</v>
      </c>
      <c r="F39" s="134" t="s">
        <v>142</v>
      </c>
      <c r="G39" s="134" t="s">
        <v>142</v>
      </c>
      <c r="H39" s="134" t="s">
        <v>142</v>
      </c>
      <c r="I39" s="134" t="s">
        <v>142</v>
      </c>
      <c r="J39" s="134" t="s">
        <v>142</v>
      </c>
      <c r="K39" s="134" t="s">
        <v>142</v>
      </c>
      <c r="L39" s="134" t="s">
        <v>142</v>
      </c>
      <c r="M39" s="136"/>
      <c r="N39" s="131"/>
    </row>
    <row r="40" hidden="1" outlineLevel="1">
      <c r="A40" s="113" t="s">
        <v>1789</v>
      </c>
      <c r="B40" s="115">
        <v>46085.0</v>
      </c>
      <c r="C40" s="118" t="str">
        <f t="shared" si="5"/>
        <v>Wed</v>
      </c>
      <c r="D40" s="128">
        <f t="shared" si="6"/>
        <v>1</v>
      </c>
      <c r="E40" s="131" t="s">
        <v>142</v>
      </c>
      <c r="F40" s="134" t="s">
        <v>142</v>
      </c>
      <c r="G40" s="134" t="s">
        <v>142</v>
      </c>
      <c r="H40" s="134" t="s">
        <v>142</v>
      </c>
      <c r="I40" s="134" t="s">
        <v>142</v>
      </c>
      <c r="J40" s="134" t="s">
        <v>142</v>
      </c>
      <c r="K40" s="134" t="s">
        <v>142</v>
      </c>
      <c r="L40" s="134" t="s">
        <v>142</v>
      </c>
      <c r="M40" s="136"/>
      <c r="N40" s="137"/>
    </row>
    <row r="41" hidden="1" outlineLevel="1">
      <c r="A41" s="113" t="s">
        <v>1790</v>
      </c>
      <c r="B41" s="115">
        <v>46085.0</v>
      </c>
      <c r="C41" s="118" t="str">
        <f t="shared" si="5"/>
        <v>Wed</v>
      </c>
      <c r="D41" s="143">
        <f t="shared" si="6"/>
        <v>1</v>
      </c>
      <c r="E41" s="144" t="s">
        <v>142</v>
      </c>
      <c r="F41" s="134" t="s">
        <v>142</v>
      </c>
      <c r="G41" s="134" t="s">
        <v>142</v>
      </c>
      <c r="H41" s="134" t="s">
        <v>142</v>
      </c>
      <c r="I41" s="134" t="s">
        <v>142</v>
      </c>
      <c r="J41" s="134" t="s">
        <v>142</v>
      </c>
      <c r="K41" s="134" t="s">
        <v>142</v>
      </c>
      <c r="L41" s="134" t="s">
        <v>142</v>
      </c>
      <c r="M41" s="136"/>
      <c r="N41" s="137"/>
    </row>
    <row r="42" hidden="1" outlineLevel="1">
      <c r="A42" s="113" t="s">
        <v>1791</v>
      </c>
      <c r="B42" s="115">
        <v>46085.0</v>
      </c>
      <c r="C42" s="118" t="str">
        <f t="shared" si="5"/>
        <v>Wed</v>
      </c>
      <c r="D42" s="128">
        <f t="shared" si="6"/>
        <v>1</v>
      </c>
      <c r="E42" s="131" t="s">
        <v>142</v>
      </c>
      <c r="F42" s="134" t="s">
        <v>142</v>
      </c>
      <c r="G42" s="134" t="s">
        <v>142</v>
      </c>
      <c r="H42" s="134" t="s">
        <v>142</v>
      </c>
      <c r="I42" s="134" t="s">
        <v>142</v>
      </c>
      <c r="J42" s="134" t="s">
        <v>142</v>
      </c>
      <c r="K42" s="134" t="s">
        <v>142</v>
      </c>
      <c r="L42" s="134" t="s">
        <v>142</v>
      </c>
      <c r="M42" s="136"/>
      <c r="N42" s="137"/>
    </row>
    <row r="43" hidden="1" outlineLevel="1">
      <c r="A43" s="422" t="s">
        <v>1792</v>
      </c>
      <c r="B43" s="115">
        <v>46088.0</v>
      </c>
      <c r="C43" s="118" t="str">
        <f t="shared" si="5"/>
        <v>Sat</v>
      </c>
      <c r="D43" s="143">
        <f t="shared" si="6"/>
        <v>1</v>
      </c>
      <c r="E43" s="144" t="s">
        <v>142</v>
      </c>
      <c r="F43" s="134" t="s">
        <v>142</v>
      </c>
      <c r="G43" s="134" t="s">
        <v>142</v>
      </c>
      <c r="H43" s="134" t="s">
        <v>142</v>
      </c>
      <c r="I43" s="134" t="s">
        <v>142</v>
      </c>
      <c r="J43" s="134" t="s">
        <v>142</v>
      </c>
      <c r="K43" s="134" t="s">
        <v>142</v>
      </c>
      <c r="L43" s="134" t="s">
        <v>142</v>
      </c>
      <c r="M43" s="136"/>
      <c r="N43" s="137"/>
    </row>
    <row r="44" hidden="1" outlineLevel="1">
      <c r="A44" s="422" t="s">
        <v>1793</v>
      </c>
      <c r="B44" s="115">
        <v>46088.0</v>
      </c>
      <c r="C44" s="118" t="str">
        <f t="shared" si="5"/>
        <v>Sat</v>
      </c>
      <c r="D44" s="128">
        <f t="shared" si="6"/>
        <v>1</v>
      </c>
      <c r="E44" s="131" t="s">
        <v>142</v>
      </c>
      <c r="F44" s="134" t="s">
        <v>142</v>
      </c>
      <c r="G44" s="134" t="s">
        <v>142</v>
      </c>
      <c r="H44" s="134" t="s">
        <v>142</v>
      </c>
      <c r="I44" s="134" t="s">
        <v>142</v>
      </c>
      <c r="J44" s="134" t="s">
        <v>142</v>
      </c>
      <c r="K44" s="134" t="s">
        <v>142</v>
      </c>
      <c r="L44" s="134" t="s">
        <v>142</v>
      </c>
      <c r="M44" s="136"/>
      <c r="N44" s="131"/>
    </row>
    <row r="45" hidden="1" outlineLevel="1">
      <c r="A45" s="570" t="s">
        <v>1795</v>
      </c>
      <c r="B45" s="115">
        <v>46088.0</v>
      </c>
      <c r="C45" s="118" t="str">
        <f t="shared" si="5"/>
        <v>Sat</v>
      </c>
      <c r="D45" s="143">
        <f t="shared" si="6"/>
        <v>1</v>
      </c>
      <c r="E45" s="144" t="s">
        <v>142</v>
      </c>
      <c r="F45" s="134" t="s">
        <v>142</v>
      </c>
      <c r="G45" s="134" t="s">
        <v>142</v>
      </c>
      <c r="H45" s="134" t="s">
        <v>142</v>
      </c>
      <c r="I45" s="134" t="s">
        <v>142</v>
      </c>
      <c r="J45" s="134" t="s">
        <v>142</v>
      </c>
      <c r="K45" s="134" t="s">
        <v>142</v>
      </c>
      <c r="L45" s="134" t="s">
        <v>142</v>
      </c>
      <c r="M45" s="136"/>
      <c r="N45" s="137"/>
    </row>
    <row r="46" hidden="1" outlineLevel="1">
      <c r="A46" s="492" t="s">
        <v>1797</v>
      </c>
      <c r="B46" s="115">
        <v>46089.0</v>
      </c>
      <c r="C46" s="118" t="str">
        <f t="shared" si="5"/>
        <v>Sun</v>
      </c>
      <c r="D46" s="128">
        <f t="shared" si="6"/>
        <v>0.95</v>
      </c>
      <c r="E46" s="131" t="s">
        <v>945</v>
      </c>
      <c r="F46" s="134" t="s">
        <v>142</v>
      </c>
      <c r="G46" s="134" t="s">
        <v>142</v>
      </c>
      <c r="H46" s="134" t="s">
        <v>142</v>
      </c>
      <c r="I46" s="134" t="s">
        <v>142</v>
      </c>
      <c r="J46" s="134" t="s">
        <v>142</v>
      </c>
      <c r="K46" s="134" t="s">
        <v>142</v>
      </c>
      <c r="L46" s="134" t="s">
        <v>142</v>
      </c>
      <c r="M46" s="136"/>
      <c r="N46" s="131" t="s">
        <v>1798</v>
      </c>
    </row>
    <row r="47" hidden="1" outlineLevel="1">
      <c r="A47" s="113" t="s">
        <v>1799</v>
      </c>
      <c r="B47" s="115">
        <v>46089.0</v>
      </c>
      <c r="C47" s="118" t="str">
        <f t="shared" si="5"/>
        <v>Sun</v>
      </c>
      <c r="D47" s="143">
        <f t="shared" si="6"/>
        <v>1</v>
      </c>
      <c r="E47" s="144" t="s">
        <v>142</v>
      </c>
      <c r="F47" s="134" t="s">
        <v>142</v>
      </c>
      <c r="G47" s="134" t="s">
        <v>142</v>
      </c>
      <c r="H47" s="134" t="s">
        <v>142</v>
      </c>
      <c r="I47" s="134" t="s">
        <v>142</v>
      </c>
      <c r="J47" s="134" t="s">
        <v>142</v>
      </c>
      <c r="K47" s="134" t="s">
        <v>142</v>
      </c>
      <c r="L47" s="134" t="s">
        <v>142</v>
      </c>
      <c r="M47" s="136"/>
      <c r="N47" s="131" t="s">
        <v>1801</v>
      </c>
    </row>
    <row r="48" hidden="1" outlineLevel="1">
      <c r="A48" s="113" t="s">
        <v>1802</v>
      </c>
      <c r="B48" s="115">
        <v>46089.0</v>
      </c>
      <c r="C48" s="118" t="str">
        <f t="shared" si="5"/>
        <v>Sun</v>
      </c>
      <c r="D48" s="128">
        <f t="shared" si="6"/>
        <v>0.45</v>
      </c>
      <c r="E48" s="131" t="s">
        <v>142</v>
      </c>
      <c r="F48" s="134" t="s">
        <v>142</v>
      </c>
      <c r="G48" s="134" t="s">
        <v>142</v>
      </c>
      <c r="H48" s="134" t="s">
        <v>142</v>
      </c>
      <c r="I48" s="134" t="s">
        <v>945</v>
      </c>
      <c r="J48" s="134" t="s">
        <v>945</v>
      </c>
      <c r="K48" s="134" t="s">
        <v>945</v>
      </c>
      <c r="L48" s="134" t="s">
        <v>945</v>
      </c>
      <c r="M48" s="136"/>
      <c r="N48" s="131" t="s">
        <v>1804</v>
      </c>
    </row>
    <row r="49" hidden="1" outlineLevel="1">
      <c r="A49" s="113" t="s">
        <v>1805</v>
      </c>
      <c r="B49" s="115">
        <v>46089.0</v>
      </c>
      <c r="C49" s="118" t="str">
        <f t="shared" si="5"/>
        <v>Sun</v>
      </c>
      <c r="D49" s="143">
        <f t="shared" si="6"/>
        <v>1</v>
      </c>
      <c r="E49" s="144" t="s">
        <v>142</v>
      </c>
      <c r="F49" s="134" t="s">
        <v>142</v>
      </c>
      <c r="G49" s="134" t="s">
        <v>142</v>
      </c>
      <c r="H49" s="134" t="s">
        <v>142</v>
      </c>
      <c r="I49" s="134" t="s">
        <v>142</v>
      </c>
      <c r="J49" s="134" t="s">
        <v>142</v>
      </c>
      <c r="K49" s="134" t="s">
        <v>142</v>
      </c>
      <c r="L49" s="134" t="s">
        <v>142</v>
      </c>
      <c r="M49" s="136"/>
      <c r="N49" s="137"/>
    </row>
    <row r="50" hidden="1" outlineLevel="1">
      <c r="A50" s="113" t="s">
        <v>1807</v>
      </c>
      <c r="B50" s="115">
        <v>46089.0</v>
      </c>
      <c r="C50" s="118" t="str">
        <f t="shared" si="5"/>
        <v>Sun</v>
      </c>
      <c r="D50" s="128">
        <f t="shared" si="6"/>
        <v>1</v>
      </c>
      <c r="E50" s="131" t="s">
        <v>142</v>
      </c>
      <c r="F50" s="134" t="s">
        <v>142</v>
      </c>
      <c r="G50" s="134" t="s">
        <v>142</v>
      </c>
      <c r="H50" s="134" t="s">
        <v>142</v>
      </c>
      <c r="I50" s="134" t="s">
        <v>142</v>
      </c>
      <c r="J50" s="134" t="s">
        <v>142</v>
      </c>
      <c r="K50" s="134" t="s">
        <v>142</v>
      </c>
      <c r="L50" s="134" t="s">
        <v>142</v>
      </c>
      <c r="M50" s="136"/>
      <c r="N50" s="137"/>
    </row>
    <row r="51" ht="15.0" hidden="1" customHeight="1" outlineLevel="1">
      <c r="A51" s="492" t="s">
        <v>1809</v>
      </c>
      <c r="B51" s="115">
        <v>46089.0</v>
      </c>
      <c r="C51" s="118" t="str">
        <f t="shared" si="5"/>
        <v>Sun</v>
      </c>
      <c r="D51" s="143">
        <f t="shared" si="6"/>
        <v>1</v>
      </c>
      <c r="E51" s="144" t="s">
        <v>142</v>
      </c>
      <c r="F51" s="134" t="s">
        <v>142</v>
      </c>
      <c r="G51" s="134" t="s">
        <v>142</v>
      </c>
      <c r="H51" s="134" t="s">
        <v>142</v>
      </c>
      <c r="I51" s="134" t="s">
        <v>142</v>
      </c>
      <c r="J51" s="134" t="s">
        <v>142</v>
      </c>
      <c r="K51" s="134" t="s">
        <v>142</v>
      </c>
      <c r="L51" s="134" t="s">
        <v>142</v>
      </c>
      <c r="M51" s="136"/>
      <c r="N51" s="131"/>
    </row>
    <row r="52" hidden="1" outlineLevel="1">
      <c r="B52" s="215"/>
      <c r="C52" s="216" t="s">
        <v>199</v>
      </c>
      <c r="D52" s="217">
        <f>AVERAGE(D37:D51)</f>
        <v>0.96</v>
      </c>
      <c r="E52" s="472"/>
      <c r="L52" s="216" t="s">
        <v>199</v>
      </c>
      <c r="M52" s="217">
        <f>SUM(M37:M51)/75*0.1</f>
        <v>0</v>
      </c>
    </row>
    <row r="53" hidden="1" collapsed="1">
      <c r="A53" s="85" t="s">
        <v>1627</v>
      </c>
      <c r="B53" s="86"/>
      <c r="C53" s="86"/>
      <c r="D53" s="359"/>
      <c r="E53" s="89"/>
      <c r="F53" s="89"/>
      <c r="G53" s="91"/>
      <c r="H53" s="91"/>
      <c r="I53" s="91"/>
      <c r="J53" s="91"/>
      <c r="K53" s="91"/>
      <c r="L53" s="91"/>
      <c r="M53" s="93"/>
      <c r="N53" s="95"/>
    </row>
    <row r="54" hidden="1" outlineLevel="1">
      <c r="A54" s="96" t="s">
        <v>89</v>
      </c>
      <c r="B54" s="98" t="s">
        <v>90</v>
      </c>
      <c r="C54" s="98" t="s">
        <v>91</v>
      </c>
      <c r="D54" s="101" t="s">
        <v>93</v>
      </c>
      <c r="E54" s="102" t="s">
        <v>94</v>
      </c>
      <c r="F54" s="102" t="s">
        <v>95</v>
      </c>
      <c r="G54" s="105" t="s">
        <v>96</v>
      </c>
      <c r="H54" s="107" t="s">
        <v>97</v>
      </c>
      <c r="I54" s="107" t="s">
        <v>104</v>
      </c>
      <c r="J54" s="105" t="s">
        <v>106</v>
      </c>
      <c r="K54" s="107" t="s">
        <v>109</v>
      </c>
      <c r="L54" s="105" t="s">
        <v>111</v>
      </c>
      <c r="M54" s="98" t="s">
        <v>114</v>
      </c>
      <c r="N54" s="101" t="s">
        <v>116</v>
      </c>
    </row>
    <row r="55" hidden="1" outlineLevel="1">
      <c r="A55" s="113" t="s">
        <v>1812</v>
      </c>
      <c r="B55" s="115">
        <v>46090.0</v>
      </c>
      <c r="C55" s="118" t="str">
        <f t="shared" ref="C55:C69" si="7">IF(B55="", "", TEXT(B55, "ddd"))</f>
        <v>Mon</v>
      </c>
      <c r="D55" s="143">
        <f t="shared" ref="D55:D69" si="8">IF(E55="Yes",0.05,0)
+IF(F55="Yes",0.1,0)
+IF(G55="Yes",0.15,0)
+IF(H55="Yes",0.15,0)
+IF(I55="Yes",0.05,0)
+IF(J55="Yes",0.05,0)
+IF(K55="Yes",0.15,0)
+IF(L55="Yes",0.3,0)
</f>
        <v>1</v>
      </c>
      <c r="E55" s="144" t="s">
        <v>142</v>
      </c>
      <c r="F55" s="134" t="s">
        <v>142</v>
      </c>
      <c r="G55" s="134" t="s">
        <v>142</v>
      </c>
      <c r="H55" s="134" t="s">
        <v>142</v>
      </c>
      <c r="I55" s="134" t="s">
        <v>142</v>
      </c>
      <c r="J55" s="134" t="s">
        <v>142</v>
      </c>
      <c r="K55" s="134" t="s">
        <v>142</v>
      </c>
      <c r="L55" s="134" t="s">
        <v>142</v>
      </c>
      <c r="M55" s="136"/>
      <c r="N55" s="137"/>
    </row>
    <row r="56" hidden="1" outlineLevel="1">
      <c r="A56" s="113" t="s">
        <v>1814</v>
      </c>
      <c r="B56" s="115">
        <v>46090.0</v>
      </c>
      <c r="C56" s="118" t="str">
        <f t="shared" si="7"/>
        <v>Mon</v>
      </c>
      <c r="D56" s="128">
        <f t="shared" si="8"/>
        <v>1</v>
      </c>
      <c r="E56" s="131" t="s">
        <v>142</v>
      </c>
      <c r="F56" s="134" t="s">
        <v>142</v>
      </c>
      <c r="G56" s="134" t="s">
        <v>142</v>
      </c>
      <c r="H56" s="134" t="s">
        <v>142</v>
      </c>
      <c r="I56" s="134" t="s">
        <v>142</v>
      </c>
      <c r="J56" s="134" t="s">
        <v>142</v>
      </c>
      <c r="K56" s="134" t="s">
        <v>142</v>
      </c>
      <c r="L56" s="134" t="s">
        <v>142</v>
      </c>
      <c r="M56" s="136"/>
      <c r="N56" s="131"/>
    </row>
    <row r="57" hidden="1" outlineLevel="1">
      <c r="A57" s="113" t="s">
        <v>1815</v>
      </c>
      <c r="B57" s="115">
        <v>46090.0</v>
      </c>
      <c r="C57" s="118" t="str">
        <f t="shared" si="7"/>
        <v>Mon</v>
      </c>
      <c r="D57" s="143">
        <f t="shared" si="8"/>
        <v>1</v>
      </c>
      <c r="E57" s="144" t="s">
        <v>142</v>
      </c>
      <c r="F57" s="134" t="s">
        <v>142</v>
      </c>
      <c r="G57" s="134" t="s">
        <v>142</v>
      </c>
      <c r="H57" s="134" t="s">
        <v>142</v>
      </c>
      <c r="I57" s="134" t="s">
        <v>142</v>
      </c>
      <c r="J57" s="134" t="s">
        <v>142</v>
      </c>
      <c r="K57" s="134" t="s">
        <v>142</v>
      </c>
      <c r="L57" s="134" t="s">
        <v>142</v>
      </c>
      <c r="M57" s="136"/>
      <c r="N57" s="131"/>
    </row>
    <row r="58" hidden="1" outlineLevel="1">
      <c r="A58" s="422" t="s">
        <v>1816</v>
      </c>
      <c r="B58" s="115">
        <v>46091.0</v>
      </c>
      <c r="C58" s="118" t="str">
        <f t="shared" si="7"/>
        <v>Tue</v>
      </c>
      <c r="D58" s="128">
        <f t="shared" si="8"/>
        <v>0.85</v>
      </c>
      <c r="E58" s="131" t="s">
        <v>142</v>
      </c>
      <c r="F58" s="134" t="s">
        <v>142</v>
      </c>
      <c r="G58" s="134" t="s">
        <v>142</v>
      </c>
      <c r="H58" s="134" t="s">
        <v>142</v>
      </c>
      <c r="I58" s="134" t="s">
        <v>142</v>
      </c>
      <c r="J58" s="134" t="s">
        <v>142</v>
      </c>
      <c r="K58" s="134" t="s">
        <v>945</v>
      </c>
      <c r="L58" s="134" t="s">
        <v>142</v>
      </c>
      <c r="M58" s="136"/>
      <c r="N58" s="131" t="s">
        <v>1818</v>
      </c>
    </row>
    <row r="59" hidden="1" outlineLevel="1">
      <c r="A59" s="422" t="s">
        <v>1819</v>
      </c>
      <c r="B59" s="115">
        <v>46091.0</v>
      </c>
      <c r="C59" s="118" t="str">
        <f t="shared" si="7"/>
        <v>Tue</v>
      </c>
      <c r="D59" s="143">
        <f t="shared" si="8"/>
        <v>1</v>
      </c>
      <c r="E59" s="144" t="s">
        <v>142</v>
      </c>
      <c r="F59" s="134" t="s">
        <v>142</v>
      </c>
      <c r="G59" s="134" t="s">
        <v>142</v>
      </c>
      <c r="H59" s="134" t="s">
        <v>142</v>
      </c>
      <c r="I59" s="134" t="s">
        <v>142</v>
      </c>
      <c r="J59" s="134" t="s">
        <v>142</v>
      </c>
      <c r="K59" s="134" t="s">
        <v>142</v>
      </c>
      <c r="L59" s="134" t="s">
        <v>142</v>
      </c>
      <c r="M59" s="136"/>
      <c r="N59" s="137"/>
    </row>
    <row r="60" hidden="1" outlineLevel="1">
      <c r="A60" s="422" t="s">
        <v>1821</v>
      </c>
      <c r="B60" s="115">
        <v>46091.0</v>
      </c>
      <c r="C60" s="118" t="str">
        <f t="shared" si="7"/>
        <v>Tue</v>
      </c>
      <c r="D60" s="128">
        <f t="shared" si="8"/>
        <v>1</v>
      </c>
      <c r="E60" s="131" t="s">
        <v>142</v>
      </c>
      <c r="F60" s="134" t="s">
        <v>142</v>
      </c>
      <c r="G60" s="134" t="s">
        <v>142</v>
      </c>
      <c r="H60" s="134" t="s">
        <v>142</v>
      </c>
      <c r="I60" s="134" t="s">
        <v>142</v>
      </c>
      <c r="J60" s="134" t="s">
        <v>142</v>
      </c>
      <c r="K60" s="134" t="s">
        <v>142</v>
      </c>
      <c r="L60" s="134" t="s">
        <v>142</v>
      </c>
      <c r="M60" s="136"/>
      <c r="N60" s="137"/>
    </row>
    <row r="61" hidden="1" outlineLevel="1">
      <c r="A61" s="113" t="s">
        <v>1822</v>
      </c>
      <c r="B61" s="115">
        <v>46092.0</v>
      </c>
      <c r="C61" s="118" t="str">
        <f t="shared" si="7"/>
        <v>Wed</v>
      </c>
      <c r="D61" s="143">
        <f t="shared" si="8"/>
        <v>1</v>
      </c>
      <c r="E61" s="144" t="s">
        <v>142</v>
      </c>
      <c r="F61" s="134" t="s">
        <v>142</v>
      </c>
      <c r="G61" s="134" t="s">
        <v>142</v>
      </c>
      <c r="H61" s="134" t="s">
        <v>142</v>
      </c>
      <c r="I61" s="134" t="s">
        <v>142</v>
      </c>
      <c r="J61" s="134" t="s">
        <v>142</v>
      </c>
      <c r="K61" s="134" t="s">
        <v>142</v>
      </c>
      <c r="L61" s="134" t="s">
        <v>142</v>
      </c>
      <c r="M61" s="136"/>
      <c r="N61" s="137"/>
    </row>
    <row r="62" hidden="1" outlineLevel="1">
      <c r="A62" s="113" t="s">
        <v>1825</v>
      </c>
      <c r="B62" s="115">
        <v>46092.0</v>
      </c>
      <c r="C62" s="118" t="str">
        <f t="shared" si="7"/>
        <v>Wed</v>
      </c>
      <c r="D62" s="128">
        <f t="shared" si="8"/>
        <v>1</v>
      </c>
      <c r="E62" s="131" t="s">
        <v>142</v>
      </c>
      <c r="F62" s="134" t="s">
        <v>142</v>
      </c>
      <c r="G62" s="134" t="s">
        <v>142</v>
      </c>
      <c r="H62" s="134" t="s">
        <v>142</v>
      </c>
      <c r="I62" s="134" t="s">
        <v>142</v>
      </c>
      <c r="J62" s="134" t="s">
        <v>142</v>
      </c>
      <c r="K62" s="134" t="s">
        <v>142</v>
      </c>
      <c r="L62" s="134" t="s">
        <v>142</v>
      </c>
      <c r="M62" s="136"/>
      <c r="N62" s="131"/>
    </row>
    <row r="63" hidden="1" outlineLevel="1">
      <c r="A63" s="492" t="s">
        <v>1827</v>
      </c>
      <c r="B63" s="115">
        <v>46092.0</v>
      </c>
      <c r="C63" s="118" t="str">
        <f t="shared" si="7"/>
        <v>Wed</v>
      </c>
      <c r="D63" s="143">
        <f t="shared" si="8"/>
        <v>1</v>
      </c>
      <c r="E63" s="144" t="s">
        <v>142</v>
      </c>
      <c r="F63" s="134" t="s">
        <v>142</v>
      </c>
      <c r="G63" s="134" t="s">
        <v>142</v>
      </c>
      <c r="H63" s="134" t="s">
        <v>142</v>
      </c>
      <c r="I63" s="134" t="s">
        <v>142</v>
      </c>
      <c r="J63" s="134" t="s">
        <v>142</v>
      </c>
      <c r="K63" s="134" t="s">
        <v>142</v>
      </c>
      <c r="L63" s="134" t="s">
        <v>142</v>
      </c>
      <c r="M63" s="136"/>
      <c r="N63" s="137"/>
    </row>
    <row r="64" hidden="1" outlineLevel="1">
      <c r="A64" s="422" t="s">
        <v>1829</v>
      </c>
      <c r="B64" s="115">
        <v>46094.0</v>
      </c>
      <c r="C64" s="118" t="str">
        <f t="shared" si="7"/>
        <v>Fri</v>
      </c>
      <c r="D64" s="128">
        <f t="shared" si="8"/>
        <v>1</v>
      </c>
      <c r="E64" s="131" t="s">
        <v>142</v>
      </c>
      <c r="F64" s="134" t="s">
        <v>142</v>
      </c>
      <c r="G64" s="134" t="s">
        <v>142</v>
      </c>
      <c r="H64" s="134" t="s">
        <v>142</v>
      </c>
      <c r="I64" s="134" t="s">
        <v>142</v>
      </c>
      <c r="J64" s="134" t="s">
        <v>142</v>
      </c>
      <c r="K64" s="134" t="s">
        <v>142</v>
      </c>
      <c r="L64" s="134" t="s">
        <v>142</v>
      </c>
      <c r="M64" s="136"/>
      <c r="N64" s="131"/>
    </row>
    <row r="65" hidden="1" outlineLevel="1">
      <c r="A65" s="422" t="s">
        <v>1830</v>
      </c>
      <c r="B65" s="115">
        <v>46094.0</v>
      </c>
      <c r="C65" s="118" t="str">
        <f t="shared" si="7"/>
        <v>Fri</v>
      </c>
      <c r="D65" s="143">
        <f t="shared" si="8"/>
        <v>1</v>
      </c>
      <c r="E65" s="144" t="s">
        <v>142</v>
      </c>
      <c r="F65" s="134" t="s">
        <v>142</v>
      </c>
      <c r="G65" s="134" t="s">
        <v>142</v>
      </c>
      <c r="H65" s="134" t="s">
        <v>142</v>
      </c>
      <c r="I65" s="134" t="s">
        <v>142</v>
      </c>
      <c r="J65" s="134" t="s">
        <v>142</v>
      </c>
      <c r="K65" s="134" t="s">
        <v>142</v>
      </c>
      <c r="L65" s="134" t="s">
        <v>142</v>
      </c>
      <c r="M65" s="136"/>
      <c r="N65" s="131"/>
    </row>
    <row r="66" hidden="1" outlineLevel="1">
      <c r="A66" s="422" t="s">
        <v>1831</v>
      </c>
      <c r="B66" s="115">
        <v>46094.0</v>
      </c>
      <c r="C66" s="118" t="str">
        <f t="shared" si="7"/>
        <v>Fri</v>
      </c>
      <c r="D66" s="128">
        <f t="shared" si="8"/>
        <v>1</v>
      </c>
      <c r="E66" s="131" t="s">
        <v>142</v>
      </c>
      <c r="F66" s="134" t="s">
        <v>142</v>
      </c>
      <c r="G66" s="134" t="s">
        <v>142</v>
      </c>
      <c r="H66" s="134" t="s">
        <v>142</v>
      </c>
      <c r="I66" s="134" t="s">
        <v>142</v>
      </c>
      <c r="J66" s="134" t="s">
        <v>142</v>
      </c>
      <c r="K66" s="134" t="s">
        <v>142</v>
      </c>
      <c r="L66" s="134" t="s">
        <v>142</v>
      </c>
      <c r="M66" s="136"/>
      <c r="N66" s="131"/>
    </row>
    <row r="67" hidden="1" outlineLevel="1">
      <c r="A67" s="113" t="s">
        <v>1833</v>
      </c>
      <c r="B67" s="115">
        <v>46095.0</v>
      </c>
      <c r="C67" s="118" t="str">
        <f t="shared" si="7"/>
        <v>Sat</v>
      </c>
      <c r="D67" s="143">
        <f t="shared" si="8"/>
        <v>1</v>
      </c>
      <c r="E67" s="144" t="s">
        <v>142</v>
      </c>
      <c r="F67" s="134" t="s">
        <v>142</v>
      </c>
      <c r="G67" s="134" t="s">
        <v>142</v>
      </c>
      <c r="H67" s="134" t="s">
        <v>142</v>
      </c>
      <c r="I67" s="134" t="s">
        <v>142</v>
      </c>
      <c r="J67" s="134" t="s">
        <v>142</v>
      </c>
      <c r="K67" s="134" t="s">
        <v>142</v>
      </c>
      <c r="L67" s="134" t="s">
        <v>142</v>
      </c>
      <c r="M67" s="136"/>
      <c r="N67" s="137"/>
    </row>
    <row r="68" hidden="1" outlineLevel="1">
      <c r="A68" s="113" t="s">
        <v>1835</v>
      </c>
      <c r="B68" s="115">
        <v>46095.0</v>
      </c>
      <c r="C68" s="118" t="str">
        <f t="shared" si="7"/>
        <v>Sat</v>
      </c>
      <c r="D68" s="128">
        <f t="shared" si="8"/>
        <v>1</v>
      </c>
      <c r="E68" s="131" t="s">
        <v>142</v>
      </c>
      <c r="F68" s="134" t="s">
        <v>142</v>
      </c>
      <c r="G68" s="134" t="s">
        <v>142</v>
      </c>
      <c r="H68" s="134" t="s">
        <v>142</v>
      </c>
      <c r="I68" s="134" t="s">
        <v>142</v>
      </c>
      <c r="J68" s="134" t="s">
        <v>142</v>
      </c>
      <c r="K68" s="134" t="s">
        <v>142</v>
      </c>
      <c r="L68" s="134" t="s">
        <v>142</v>
      </c>
      <c r="M68" s="136"/>
      <c r="N68" s="137"/>
    </row>
    <row r="69" ht="15.0" hidden="1" customHeight="1" outlineLevel="1">
      <c r="A69" s="113" t="s">
        <v>1837</v>
      </c>
      <c r="B69" s="115">
        <v>46095.0</v>
      </c>
      <c r="C69" s="118" t="str">
        <f t="shared" si="7"/>
        <v>Sat</v>
      </c>
      <c r="D69" s="143">
        <f t="shared" si="8"/>
        <v>0.7</v>
      </c>
      <c r="E69" s="144" t="s">
        <v>142</v>
      </c>
      <c r="F69" s="134" t="s">
        <v>142</v>
      </c>
      <c r="G69" s="134" t="s">
        <v>142</v>
      </c>
      <c r="H69" s="134" t="s">
        <v>142</v>
      </c>
      <c r="I69" s="134" t="s">
        <v>142</v>
      </c>
      <c r="J69" s="134" t="s">
        <v>142</v>
      </c>
      <c r="K69" s="134" t="s">
        <v>142</v>
      </c>
      <c r="L69" s="134" t="s">
        <v>945</v>
      </c>
      <c r="M69" s="136"/>
      <c r="N69" s="131" t="s">
        <v>1839</v>
      </c>
    </row>
    <row r="70" hidden="1" outlineLevel="1">
      <c r="B70" s="215"/>
      <c r="C70" s="216" t="s">
        <v>199</v>
      </c>
      <c r="D70" s="217">
        <f>AVERAGE(D55:D69)</f>
        <v>0.97</v>
      </c>
      <c r="E70" s="472"/>
      <c r="L70" s="216" t="s">
        <v>199</v>
      </c>
      <c r="M70" s="217">
        <f>SUM(M55:M69)/75*0.1</f>
        <v>0</v>
      </c>
    </row>
    <row r="71" hidden="1" collapsed="1">
      <c r="A71" s="85" t="s">
        <v>1656</v>
      </c>
      <c r="B71" s="86"/>
      <c r="C71" s="86"/>
      <c r="D71" s="359"/>
      <c r="E71" s="89"/>
      <c r="F71" s="89"/>
      <c r="G71" s="91"/>
      <c r="H71" s="91"/>
      <c r="I71" s="91"/>
      <c r="J71" s="91"/>
      <c r="K71" s="91"/>
      <c r="L71" s="91"/>
      <c r="M71" s="93"/>
      <c r="N71" s="95"/>
    </row>
    <row r="72" hidden="1" outlineLevel="1">
      <c r="A72" s="96" t="s">
        <v>89</v>
      </c>
      <c r="B72" s="98" t="s">
        <v>90</v>
      </c>
      <c r="C72" s="98" t="s">
        <v>91</v>
      </c>
      <c r="D72" s="101" t="s">
        <v>93</v>
      </c>
      <c r="E72" s="102" t="s">
        <v>94</v>
      </c>
      <c r="F72" s="102" t="s">
        <v>95</v>
      </c>
      <c r="G72" s="105" t="s">
        <v>96</v>
      </c>
      <c r="H72" s="107" t="s">
        <v>97</v>
      </c>
      <c r="I72" s="107" t="s">
        <v>104</v>
      </c>
      <c r="J72" s="105" t="s">
        <v>106</v>
      </c>
      <c r="K72" s="107" t="s">
        <v>109</v>
      </c>
      <c r="L72" s="105" t="s">
        <v>111</v>
      </c>
      <c r="M72" s="98" t="s">
        <v>114</v>
      </c>
      <c r="N72" s="101" t="s">
        <v>116</v>
      </c>
    </row>
    <row r="73" hidden="1" outlineLevel="1">
      <c r="A73" s="353" t="s">
        <v>1842</v>
      </c>
      <c r="B73" s="115">
        <v>46097.0</v>
      </c>
      <c r="C73" s="118" t="str">
        <f t="shared" ref="C73:C87" si="9">IF(B73="", "", TEXT(B73, "ddd"))</f>
        <v>Mon</v>
      </c>
      <c r="D73" s="143">
        <f t="shared" ref="D73:D87" si="10">IF(E73="Yes",0.05,0)
+IF(F73="Yes",0.1,0)
+IF(G73="Yes",0.15,0)
+IF(H73="Yes",0.15,0)
+IF(I73="Yes",0.05,0)
+IF(J73="Yes",0.05,0)
+IF(K73="Yes",0.15,0)
+IF(L73="Yes",0.3,0)
</f>
        <v>1</v>
      </c>
      <c r="E73" s="144" t="s">
        <v>142</v>
      </c>
      <c r="F73" s="134" t="s">
        <v>142</v>
      </c>
      <c r="G73" s="134" t="s">
        <v>142</v>
      </c>
      <c r="H73" s="134" t="s">
        <v>142</v>
      </c>
      <c r="I73" s="134" t="s">
        <v>142</v>
      </c>
      <c r="J73" s="134" t="s">
        <v>142</v>
      </c>
      <c r="K73" s="134" t="s">
        <v>142</v>
      </c>
      <c r="L73" s="134" t="s">
        <v>142</v>
      </c>
      <c r="M73" s="136"/>
      <c r="N73" s="137"/>
    </row>
    <row r="74" hidden="1" outlineLevel="1">
      <c r="A74" s="353" t="s">
        <v>1845</v>
      </c>
      <c r="B74" s="115">
        <v>46097.0</v>
      </c>
      <c r="C74" s="118" t="str">
        <f t="shared" si="9"/>
        <v>Mon</v>
      </c>
      <c r="D74" s="128">
        <f t="shared" si="10"/>
        <v>1</v>
      </c>
      <c r="E74" s="131" t="s">
        <v>142</v>
      </c>
      <c r="F74" s="134" t="s">
        <v>142</v>
      </c>
      <c r="G74" s="134" t="s">
        <v>142</v>
      </c>
      <c r="H74" s="134" t="s">
        <v>142</v>
      </c>
      <c r="I74" s="134" t="s">
        <v>142</v>
      </c>
      <c r="J74" s="134" t="s">
        <v>142</v>
      </c>
      <c r="K74" s="134" t="s">
        <v>142</v>
      </c>
      <c r="L74" s="134" t="s">
        <v>142</v>
      </c>
      <c r="M74" s="136"/>
      <c r="N74" s="131" t="s">
        <v>1846</v>
      </c>
    </row>
    <row r="75" hidden="1" outlineLevel="1">
      <c r="A75" s="353" t="s">
        <v>1847</v>
      </c>
      <c r="B75" s="115">
        <v>46097.0</v>
      </c>
      <c r="C75" s="118" t="str">
        <f t="shared" si="9"/>
        <v>Mon</v>
      </c>
      <c r="D75" s="143">
        <f t="shared" si="10"/>
        <v>1</v>
      </c>
      <c r="E75" s="144" t="s">
        <v>142</v>
      </c>
      <c r="F75" s="134" t="s">
        <v>142</v>
      </c>
      <c r="G75" s="134" t="s">
        <v>142</v>
      </c>
      <c r="H75" s="134" t="s">
        <v>142</v>
      </c>
      <c r="I75" s="134" t="s">
        <v>142</v>
      </c>
      <c r="J75" s="134" t="s">
        <v>142</v>
      </c>
      <c r="K75" s="134" t="s">
        <v>142</v>
      </c>
      <c r="L75" s="134" t="s">
        <v>142</v>
      </c>
      <c r="M75" s="136"/>
      <c r="N75" s="131"/>
    </row>
    <row r="76" hidden="1" outlineLevel="1">
      <c r="A76" s="422" t="s">
        <v>1849</v>
      </c>
      <c r="B76" s="115">
        <v>46098.0</v>
      </c>
      <c r="C76" s="118" t="str">
        <f t="shared" si="9"/>
        <v>Tue</v>
      </c>
      <c r="D76" s="128">
        <f t="shared" si="10"/>
        <v>1</v>
      </c>
      <c r="E76" s="131" t="s">
        <v>142</v>
      </c>
      <c r="F76" s="134" t="s">
        <v>142</v>
      </c>
      <c r="G76" s="134" t="s">
        <v>142</v>
      </c>
      <c r="H76" s="134" t="s">
        <v>142</v>
      </c>
      <c r="I76" s="134" t="s">
        <v>142</v>
      </c>
      <c r="J76" s="134" t="s">
        <v>142</v>
      </c>
      <c r="K76" s="134" t="s">
        <v>142</v>
      </c>
      <c r="L76" s="134" t="s">
        <v>142</v>
      </c>
      <c r="M76" s="136"/>
      <c r="N76" s="137"/>
    </row>
    <row r="77" hidden="1" outlineLevel="1">
      <c r="A77" s="422" t="s">
        <v>1851</v>
      </c>
      <c r="B77" s="115">
        <v>46098.0</v>
      </c>
      <c r="C77" s="118" t="str">
        <f t="shared" si="9"/>
        <v>Tue</v>
      </c>
      <c r="D77" s="143">
        <f t="shared" si="10"/>
        <v>1</v>
      </c>
      <c r="E77" s="144" t="s">
        <v>142</v>
      </c>
      <c r="F77" s="134" t="s">
        <v>142</v>
      </c>
      <c r="G77" s="134" t="s">
        <v>142</v>
      </c>
      <c r="H77" s="134" t="s">
        <v>142</v>
      </c>
      <c r="I77" s="134" t="s">
        <v>142</v>
      </c>
      <c r="J77" s="134" t="s">
        <v>142</v>
      </c>
      <c r="K77" s="134" t="s">
        <v>142</v>
      </c>
      <c r="L77" s="134" t="s">
        <v>142</v>
      </c>
      <c r="M77" s="136"/>
      <c r="N77" s="137"/>
    </row>
    <row r="78" hidden="1" outlineLevel="1">
      <c r="A78" s="422" t="s">
        <v>1852</v>
      </c>
      <c r="B78" s="115">
        <v>46098.0</v>
      </c>
      <c r="C78" s="118" t="str">
        <f t="shared" si="9"/>
        <v>Tue</v>
      </c>
      <c r="D78" s="128">
        <f t="shared" si="10"/>
        <v>1</v>
      </c>
      <c r="E78" s="131" t="s">
        <v>142</v>
      </c>
      <c r="F78" s="134" t="s">
        <v>142</v>
      </c>
      <c r="G78" s="134" t="s">
        <v>142</v>
      </c>
      <c r="H78" s="134" t="s">
        <v>142</v>
      </c>
      <c r="I78" s="134" t="s">
        <v>142</v>
      </c>
      <c r="J78" s="134" t="s">
        <v>142</v>
      </c>
      <c r="K78" s="134" t="s">
        <v>142</v>
      </c>
      <c r="L78" s="134" t="s">
        <v>142</v>
      </c>
      <c r="M78" s="136"/>
      <c r="N78" s="137"/>
    </row>
    <row r="79" hidden="1" outlineLevel="1">
      <c r="A79" s="113" t="s">
        <v>1853</v>
      </c>
      <c r="B79" s="115">
        <v>46099.0</v>
      </c>
      <c r="C79" s="118" t="str">
        <f t="shared" si="9"/>
        <v>Wed</v>
      </c>
      <c r="D79" s="143">
        <f t="shared" si="10"/>
        <v>1</v>
      </c>
      <c r="E79" s="144" t="s">
        <v>142</v>
      </c>
      <c r="F79" s="134" t="s">
        <v>142</v>
      </c>
      <c r="G79" s="134" t="s">
        <v>142</v>
      </c>
      <c r="H79" s="134" t="s">
        <v>142</v>
      </c>
      <c r="I79" s="134" t="s">
        <v>142</v>
      </c>
      <c r="J79" s="134" t="s">
        <v>142</v>
      </c>
      <c r="K79" s="134" t="s">
        <v>142</v>
      </c>
      <c r="L79" s="134" t="s">
        <v>142</v>
      </c>
      <c r="M79" s="136"/>
      <c r="N79" s="137"/>
    </row>
    <row r="80" hidden="1" outlineLevel="1">
      <c r="A80" s="113" t="s">
        <v>1854</v>
      </c>
      <c r="B80" s="115">
        <v>46099.0</v>
      </c>
      <c r="C80" s="118" t="str">
        <f t="shared" si="9"/>
        <v>Wed</v>
      </c>
      <c r="D80" s="128">
        <f t="shared" si="10"/>
        <v>1</v>
      </c>
      <c r="E80" s="131" t="s">
        <v>142</v>
      </c>
      <c r="F80" s="134" t="s">
        <v>142</v>
      </c>
      <c r="G80" s="134" t="s">
        <v>142</v>
      </c>
      <c r="H80" s="134" t="s">
        <v>142</v>
      </c>
      <c r="I80" s="134" t="s">
        <v>142</v>
      </c>
      <c r="J80" s="134" t="s">
        <v>142</v>
      </c>
      <c r="K80" s="134" t="s">
        <v>142</v>
      </c>
      <c r="L80" s="134" t="s">
        <v>142</v>
      </c>
      <c r="M80" s="136"/>
      <c r="N80" s="131"/>
    </row>
    <row r="81" hidden="1" outlineLevel="1">
      <c r="A81" s="113" t="s">
        <v>1855</v>
      </c>
      <c r="B81" s="115">
        <v>46099.0</v>
      </c>
      <c r="C81" s="118" t="str">
        <f t="shared" si="9"/>
        <v>Wed</v>
      </c>
      <c r="D81" s="143">
        <f t="shared" si="10"/>
        <v>1</v>
      </c>
      <c r="E81" s="144" t="s">
        <v>142</v>
      </c>
      <c r="F81" s="134" t="s">
        <v>142</v>
      </c>
      <c r="G81" s="134" t="s">
        <v>142</v>
      </c>
      <c r="H81" s="134" t="s">
        <v>142</v>
      </c>
      <c r="I81" s="134" t="s">
        <v>142</v>
      </c>
      <c r="J81" s="134" t="s">
        <v>142</v>
      </c>
      <c r="K81" s="134" t="s">
        <v>142</v>
      </c>
      <c r="L81" s="134" t="s">
        <v>142</v>
      </c>
      <c r="M81" s="136"/>
      <c r="N81" s="137"/>
    </row>
    <row r="82" hidden="1" outlineLevel="1">
      <c r="A82" s="113" t="s">
        <v>1856</v>
      </c>
      <c r="B82" s="115">
        <v>46101.0</v>
      </c>
      <c r="C82" s="118" t="str">
        <f t="shared" si="9"/>
        <v>Fri</v>
      </c>
      <c r="D82" s="128">
        <f t="shared" si="10"/>
        <v>1</v>
      </c>
      <c r="E82" s="131" t="s">
        <v>142</v>
      </c>
      <c r="F82" s="134" t="s">
        <v>142</v>
      </c>
      <c r="G82" s="134" t="s">
        <v>142</v>
      </c>
      <c r="H82" s="134" t="s">
        <v>142</v>
      </c>
      <c r="I82" s="134" t="s">
        <v>142</v>
      </c>
      <c r="J82" s="134" t="s">
        <v>142</v>
      </c>
      <c r="K82" s="134" t="s">
        <v>142</v>
      </c>
      <c r="L82" s="134" t="s">
        <v>142</v>
      </c>
      <c r="M82" s="136"/>
      <c r="N82" s="131"/>
    </row>
    <row r="83" hidden="1" outlineLevel="1">
      <c r="A83" s="113" t="s">
        <v>1858</v>
      </c>
      <c r="B83" s="115">
        <v>46101.0</v>
      </c>
      <c r="C83" s="118" t="str">
        <f t="shared" si="9"/>
        <v>Fri</v>
      </c>
      <c r="D83" s="143">
        <f t="shared" si="10"/>
        <v>1</v>
      </c>
      <c r="E83" s="144" t="s">
        <v>142</v>
      </c>
      <c r="F83" s="134" t="s">
        <v>142</v>
      </c>
      <c r="G83" s="134" t="s">
        <v>142</v>
      </c>
      <c r="H83" s="134" t="s">
        <v>142</v>
      </c>
      <c r="I83" s="134" t="s">
        <v>142</v>
      </c>
      <c r="J83" s="134" t="s">
        <v>142</v>
      </c>
      <c r="K83" s="134" t="s">
        <v>142</v>
      </c>
      <c r="L83" s="134" t="s">
        <v>142</v>
      </c>
      <c r="M83" s="136"/>
      <c r="N83" s="131"/>
    </row>
    <row r="84" hidden="1" outlineLevel="1">
      <c r="A84" s="113" t="s">
        <v>1860</v>
      </c>
      <c r="B84" s="115">
        <v>46101.0</v>
      </c>
      <c r="C84" s="118" t="str">
        <f t="shared" si="9"/>
        <v>Fri</v>
      </c>
      <c r="D84" s="128">
        <f t="shared" si="10"/>
        <v>1</v>
      </c>
      <c r="E84" s="131" t="s">
        <v>142</v>
      </c>
      <c r="F84" s="134" t="s">
        <v>142</v>
      </c>
      <c r="G84" s="134" t="s">
        <v>142</v>
      </c>
      <c r="H84" s="134" t="s">
        <v>142</v>
      </c>
      <c r="I84" s="134" t="s">
        <v>142</v>
      </c>
      <c r="J84" s="134" t="s">
        <v>142</v>
      </c>
      <c r="K84" s="134" t="s">
        <v>142</v>
      </c>
      <c r="L84" s="134" t="s">
        <v>142</v>
      </c>
      <c r="M84" s="136"/>
      <c r="N84" s="131"/>
    </row>
    <row r="85" hidden="1" outlineLevel="1">
      <c r="A85" s="113" t="s">
        <v>1861</v>
      </c>
      <c r="B85" s="115">
        <v>46102.0</v>
      </c>
      <c r="C85" s="118" t="str">
        <f t="shared" si="9"/>
        <v>Sat</v>
      </c>
      <c r="D85" s="143">
        <f t="shared" si="10"/>
        <v>1</v>
      </c>
      <c r="E85" s="144" t="s">
        <v>142</v>
      </c>
      <c r="F85" s="134" t="s">
        <v>142</v>
      </c>
      <c r="G85" s="134" t="s">
        <v>142</v>
      </c>
      <c r="H85" s="134" t="s">
        <v>142</v>
      </c>
      <c r="I85" s="134" t="s">
        <v>142</v>
      </c>
      <c r="J85" s="134" t="s">
        <v>142</v>
      </c>
      <c r="K85" s="134" t="s">
        <v>142</v>
      </c>
      <c r="L85" s="134" t="s">
        <v>142</v>
      </c>
      <c r="M85" s="136"/>
      <c r="N85" s="137"/>
    </row>
    <row r="86" hidden="1" outlineLevel="1">
      <c r="A86" s="113" t="s">
        <v>1862</v>
      </c>
      <c r="B86" s="115">
        <v>46102.0</v>
      </c>
      <c r="C86" s="118" t="str">
        <f t="shared" si="9"/>
        <v>Sat</v>
      </c>
      <c r="D86" s="128">
        <f t="shared" si="10"/>
        <v>1</v>
      </c>
      <c r="E86" s="131" t="s">
        <v>142</v>
      </c>
      <c r="F86" s="134" t="s">
        <v>142</v>
      </c>
      <c r="G86" s="134" t="s">
        <v>142</v>
      </c>
      <c r="H86" s="134" t="s">
        <v>142</v>
      </c>
      <c r="I86" s="134" t="s">
        <v>142</v>
      </c>
      <c r="J86" s="134" t="s">
        <v>142</v>
      </c>
      <c r="K86" s="134" t="s">
        <v>142</v>
      </c>
      <c r="L86" s="134" t="s">
        <v>142</v>
      </c>
      <c r="M86" s="136"/>
      <c r="N86" s="137"/>
    </row>
    <row r="87" ht="15.0" hidden="1" customHeight="1" outlineLevel="1">
      <c r="A87" s="113" t="s">
        <v>1863</v>
      </c>
      <c r="B87" s="115">
        <v>46102.0</v>
      </c>
      <c r="C87" s="118" t="str">
        <f t="shared" si="9"/>
        <v>Sat</v>
      </c>
      <c r="D87" s="143">
        <f t="shared" si="10"/>
        <v>1</v>
      </c>
      <c r="E87" s="144" t="s">
        <v>142</v>
      </c>
      <c r="F87" s="134" t="s">
        <v>142</v>
      </c>
      <c r="G87" s="134" t="s">
        <v>142</v>
      </c>
      <c r="H87" s="134" t="s">
        <v>142</v>
      </c>
      <c r="I87" s="134" t="s">
        <v>142</v>
      </c>
      <c r="J87" s="134" t="s">
        <v>142</v>
      </c>
      <c r="K87" s="134" t="s">
        <v>142</v>
      </c>
      <c r="L87" s="134" t="s">
        <v>142</v>
      </c>
      <c r="M87" s="136"/>
      <c r="N87" s="131"/>
    </row>
    <row r="88" hidden="1" outlineLevel="1">
      <c r="B88" s="215"/>
      <c r="C88" s="216" t="s">
        <v>199</v>
      </c>
      <c r="D88" s="217">
        <f>AVERAGE(D73:D87)</f>
        <v>1</v>
      </c>
      <c r="E88" s="472"/>
      <c r="L88" s="216" t="s">
        <v>199</v>
      </c>
      <c r="M88" s="217">
        <f>SUM(M73:M87)/75*0.1</f>
        <v>0</v>
      </c>
    </row>
    <row r="89" hidden="1" collapsed="1">
      <c r="A89" s="85" t="s">
        <v>1689</v>
      </c>
      <c r="B89" s="86"/>
      <c r="C89" s="86"/>
      <c r="D89" s="359"/>
      <c r="E89" s="89"/>
      <c r="F89" s="89"/>
      <c r="G89" s="91"/>
      <c r="H89" s="91"/>
      <c r="I89" s="91"/>
      <c r="J89" s="91"/>
      <c r="K89" s="91"/>
      <c r="L89" s="91"/>
      <c r="M89" s="93"/>
      <c r="N89" s="95"/>
    </row>
    <row r="90" hidden="1" outlineLevel="1">
      <c r="A90" s="96" t="s">
        <v>89</v>
      </c>
      <c r="B90" s="98" t="s">
        <v>90</v>
      </c>
      <c r="C90" s="98" t="s">
        <v>91</v>
      </c>
      <c r="D90" s="101" t="s">
        <v>93</v>
      </c>
      <c r="E90" s="102" t="s">
        <v>94</v>
      </c>
      <c r="F90" s="102" t="s">
        <v>95</v>
      </c>
      <c r="G90" s="105" t="s">
        <v>96</v>
      </c>
      <c r="H90" s="107" t="s">
        <v>97</v>
      </c>
      <c r="I90" s="107" t="s">
        <v>104</v>
      </c>
      <c r="J90" s="105" t="s">
        <v>106</v>
      </c>
      <c r="K90" s="107" t="s">
        <v>109</v>
      </c>
      <c r="L90" s="105" t="s">
        <v>111</v>
      </c>
      <c r="M90" s="98" t="s">
        <v>114</v>
      </c>
      <c r="N90" s="101" t="s">
        <v>116</v>
      </c>
    </row>
    <row r="91" hidden="1" outlineLevel="1">
      <c r="A91" s="113" t="s">
        <v>1866</v>
      </c>
      <c r="B91" s="115">
        <v>46104.0</v>
      </c>
      <c r="C91" s="118" t="str">
        <f t="shared" ref="C91:C105" si="11">IF(B91="", "", TEXT(B91, "ddd"))</f>
        <v>Mon</v>
      </c>
      <c r="D91" s="143">
        <f t="shared" ref="D91:D105" si="12">IF(E91="Yes",0.05,0)
+IF(F91="Yes",0.1,0)
+IF(G91="Yes",0.15,0)
+IF(H91="Yes",0.15,0)
+IF(I91="Yes",0.05,0)
+IF(J91="Yes",0.05,0)
+IF(K91="Yes",0.15,0)
+IF(L91="Yes",0.3,0)
</f>
        <v>1</v>
      </c>
      <c r="E91" s="144" t="s">
        <v>142</v>
      </c>
      <c r="F91" s="134" t="s">
        <v>142</v>
      </c>
      <c r="G91" s="134" t="s">
        <v>142</v>
      </c>
      <c r="H91" s="134" t="s">
        <v>142</v>
      </c>
      <c r="I91" s="134" t="s">
        <v>142</v>
      </c>
      <c r="J91" s="134" t="s">
        <v>142</v>
      </c>
      <c r="K91" s="134" t="s">
        <v>142</v>
      </c>
      <c r="L91" s="134" t="s">
        <v>142</v>
      </c>
      <c r="M91" s="136"/>
      <c r="N91" s="137"/>
    </row>
    <row r="92" hidden="1" outlineLevel="1">
      <c r="A92" s="113" t="s">
        <v>1869</v>
      </c>
      <c r="B92" s="115">
        <v>46104.0</v>
      </c>
      <c r="C92" s="118" t="str">
        <f t="shared" si="11"/>
        <v>Mon</v>
      </c>
      <c r="D92" s="128">
        <f t="shared" si="12"/>
        <v>1</v>
      </c>
      <c r="E92" s="131" t="s">
        <v>142</v>
      </c>
      <c r="F92" s="134" t="s">
        <v>142</v>
      </c>
      <c r="G92" s="134" t="s">
        <v>142</v>
      </c>
      <c r="H92" s="134" t="s">
        <v>142</v>
      </c>
      <c r="I92" s="134" t="s">
        <v>142</v>
      </c>
      <c r="J92" s="134" t="s">
        <v>142</v>
      </c>
      <c r="K92" s="134" t="s">
        <v>142</v>
      </c>
      <c r="L92" s="134" t="s">
        <v>142</v>
      </c>
      <c r="M92" s="136"/>
      <c r="N92" s="131"/>
    </row>
    <row r="93" hidden="1" outlineLevel="1">
      <c r="A93" s="113" t="s">
        <v>1871</v>
      </c>
      <c r="B93" s="115">
        <v>46104.0</v>
      </c>
      <c r="C93" s="118" t="str">
        <f t="shared" si="11"/>
        <v>Mon</v>
      </c>
      <c r="D93" s="143">
        <f t="shared" si="12"/>
        <v>1</v>
      </c>
      <c r="E93" s="144" t="s">
        <v>142</v>
      </c>
      <c r="F93" s="134" t="s">
        <v>142</v>
      </c>
      <c r="G93" s="134" t="s">
        <v>142</v>
      </c>
      <c r="H93" s="134" t="s">
        <v>142</v>
      </c>
      <c r="I93" s="134" t="s">
        <v>142</v>
      </c>
      <c r="J93" s="134" t="s">
        <v>142</v>
      </c>
      <c r="K93" s="134" t="s">
        <v>142</v>
      </c>
      <c r="L93" s="134" t="s">
        <v>142</v>
      </c>
      <c r="M93" s="136"/>
      <c r="N93" s="131"/>
    </row>
    <row r="94" hidden="1" outlineLevel="1">
      <c r="A94" s="113" t="s">
        <v>1872</v>
      </c>
      <c r="B94" s="115">
        <v>46106.0</v>
      </c>
      <c r="C94" s="118" t="str">
        <f t="shared" si="11"/>
        <v>Wed</v>
      </c>
      <c r="D94" s="128">
        <f t="shared" si="12"/>
        <v>1</v>
      </c>
      <c r="E94" s="131" t="s">
        <v>142</v>
      </c>
      <c r="F94" s="134" t="s">
        <v>142</v>
      </c>
      <c r="G94" s="134" t="s">
        <v>142</v>
      </c>
      <c r="H94" s="134" t="s">
        <v>142</v>
      </c>
      <c r="I94" s="134" t="s">
        <v>142</v>
      </c>
      <c r="J94" s="134" t="s">
        <v>142</v>
      </c>
      <c r="K94" s="134" t="s">
        <v>142</v>
      </c>
      <c r="L94" s="134" t="s">
        <v>142</v>
      </c>
      <c r="M94" s="136"/>
      <c r="N94" s="137"/>
    </row>
    <row r="95" hidden="1" outlineLevel="1">
      <c r="A95" s="113" t="s">
        <v>1874</v>
      </c>
      <c r="B95" s="115">
        <v>46106.0</v>
      </c>
      <c r="C95" s="118" t="str">
        <f t="shared" si="11"/>
        <v>Wed</v>
      </c>
      <c r="D95" s="143">
        <f t="shared" si="12"/>
        <v>1</v>
      </c>
      <c r="E95" s="144" t="s">
        <v>142</v>
      </c>
      <c r="F95" s="134" t="s">
        <v>142</v>
      </c>
      <c r="G95" s="134" t="s">
        <v>142</v>
      </c>
      <c r="H95" s="134" t="s">
        <v>142</v>
      </c>
      <c r="I95" s="134" t="s">
        <v>142</v>
      </c>
      <c r="J95" s="134" t="s">
        <v>142</v>
      </c>
      <c r="K95" s="134" t="s">
        <v>142</v>
      </c>
      <c r="L95" s="134" t="s">
        <v>142</v>
      </c>
      <c r="M95" s="136"/>
      <c r="N95" s="137"/>
    </row>
    <row r="96" hidden="1" outlineLevel="1">
      <c r="A96" s="113" t="s">
        <v>1876</v>
      </c>
      <c r="B96" s="115">
        <v>46106.0</v>
      </c>
      <c r="C96" s="118" t="str">
        <f t="shared" si="11"/>
        <v>Wed</v>
      </c>
      <c r="D96" s="128">
        <f t="shared" si="12"/>
        <v>1</v>
      </c>
      <c r="E96" s="131" t="s">
        <v>142</v>
      </c>
      <c r="F96" s="134" t="s">
        <v>142</v>
      </c>
      <c r="G96" s="134" t="s">
        <v>142</v>
      </c>
      <c r="H96" s="134" t="s">
        <v>142</v>
      </c>
      <c r="I96" s="134" t="s">
        <v>142</v>
      </c>
      <c r="J96" s="134" t="s">
        <v>142</v>
      </c>
      <c r="K96" s="134" t="s">
        <v>142</v>
      </c>
      <c r="L96" s="134" t="s">
        <v>142</v>
      </c>
      <c r="M96" s="136"/>
      <c r="N96" s="137"/>
    </row>
    <row r="97" hidden="1" outlineLevel="1">
      <c r="A97" s="113" t="s">
        <v>1878</v>
      </c>
      <c r="B97" s="115">
        <v>46107.0</v>
      </c>
      <c r="C97" s="118" t="str">
        <f t="shared" si="11"/>
        <v>Thu</v>
      </c>
      <c r="D97" s="143">
        <f t="shared" si="12"/>
        <v>1</v>
      </c>
      <c r="E97" s="144" t="s">
        <v>142</v>
      </c>
      <c r="F97" s="134" t="s">
        <v>142</v>
      </c>
      <c r="G97" s="134" t="s">
        <v>142</v>
      </c>
      <c r="H97" s="134" t="s">
        <v>142</v>
      </c>
      <c r="I97" s="134" t="s">
        <v>142</v>
      </c>
      <c r="J97" s="134" t="s">
        <v>142</v>
      </c>
      <c r="K97" s="134" t="s">
        <v>142</v>
      </c>
      <c r="L97" s="134" t="s">
        <v>142</v>
      </c>
      <c r="M97" s="136"/>
      <c r="N97" s="137"/>
    </row>
    <row r="98" hidden="1" outlineLevel="1">
      <c r="A98" s="113" t="s">
        <v>1880</v>
      </c>
      <c r="B98" s="115">
        <v>46107.0</v>
      </c>
      <c r="C98" s="118" t="str">
        <f t="shared" si="11"/>
        <v>Thu</v>
      </c>
      <c r="D98" s="128">
        <f t="shared" si="12"/>
        <v>1</v>
      </c>
      <c r="E98" s="131" t="s">
        <v>142</v>
      </c>
      <c r="F98" s="134" t="s">
        <v>142</v>
      </c>
      <c r="G98" s="134" t="s">
        <v>142</v>
      </c>
      <c r="H98" s="134" t="s">
        <v>142</v>
      </c>
      <c r="I98" s="134" t="s">
        <v>142</v>
      </c>
      <c r="J98" s="134" t="s">
        <v>142</v>
      </c>
      <c r="K98" s="134" t="s">
        <v>142</v>
      </c>
      <c r="L98" s="134" t="s">
        <v>142</v>
      </c>
      <c r="M98" s="136"/>
      <c r="N98" s="131"/>
    </row>
    <row r="99" hidden="1" outlineLevel="1">
      <c r="A99" s="113" t="s">
        <v>1881</v>
      </c>
      <c r="B99" s="115">
        <v>46107.0</v>
      </c>
      <c r="C99" s="118" t="str">
        <f t="shared" si="11"/>
        <v>Thu</v>
      </c>
      <c r="D99" s="143">
        <f t="shared" si="12"/>
        <v>1</v>
      </c>
      <c r="E99" s="144" t="s">
        <v>142</v>
      </c>
      <c r="F99" s="134" t="s">
        <v>142</v>
      </c>
      <c r="G99" s="134" t="s">
        <v>142</v>
      </c>
      <c r="H99" s="134" t="s">
        <v>142</v>
      </c>
      <c r="I99" s="134" t="s">
        <v>142</v>
      </c>
      <c r="J99" s="134" t="s">
        <v>142</v>
      </c>
      <c r="K99" s="134" t="s">
        <v>142</v>
      </c>
      <c r="L99" s="134" t="s">
        <v>142</v>
      </c>
      <c r="M99" s="136"/>
      <c r="N99" s="137"/>
    </row>
    <row r="100" hidden="1" outlineLevel="1">
      <c r="A100" s="422" t="s">
        <v>1882</v>
      </c>
      <c r="B100" s="115">
        <v>46109.0</v>
      </c>
      <c r="C100" s="118" t="str">
        <f t="shared" si="11"/>
        <v>Sat</v>
      </c>
      <c r="D100" s="128">
        <f t="shared" si="12"/>
        <v>1</v>
      </c>
      <c r="E100" s="131" t="s">
        <v>142</v>
      </c>
      <c r="F100" s="134" t="s">
        <v>142</v>
      </c>
      <c r="G100" s="134" t="s">
        <v>142</v>
      </c>
      <c r="H100" s="134" t="s">
        <v>142</v>
      </c>
      <c r="I100" s="134" t="s">
        <v>142</v>
      </c>
      <c r="J100" s="134" t="s">
        <v>142</v>
      </c>
      <c r="K100" s="134" t="s">
        <v>142</v>
      </c>
      <c r="L100" s="134" t="s">
        <v>142</v>
      </c>
      <c r="M100" s="136"/>
      <c r="N100" s="131"/>
    </row>
    <row r="101" hidden="1" outlineLevel="1">
      <c r="A101" s="422" t="s">
        <v>1885</v>
      </c>
      <c r="B101" s="115">
        <v>46109.0</v>
      </c>
      <c r="C101" s="118" t="str">
        <f t="shared" si="11"/>
        <v>Sat</v>
      </c>
      <c r="D101" s="143">
        <f t="shared" si="12"/>
        <v>1</v>
      </c>
      <c r="E101" s="144" t="s">
        <v>142</v>
      </c>
      <c r="F101" s="134" t="s">
        <v>142</v>
      </c>
      <c r="G101" s="134" t="s">
        <v>142</v>
      </c>
      <c r="H101" s="134" t="s">
        <v>142</v>
      </c>
      <c r="I101" s="134" t="s">
        <v>142</v>
      </c>
      <c r="J101" s="134" t="s">
        <v>142</v>
      </c>
      <c r="K101" s="134" t="s">
        <v>142</v>
      </c>
      <c r="L101" s="134" t="s">
        <v>142</v>
      </c>
      <c r="M101" s="136"/>
      <c r="N101" s="131"/>
    </row>
    <row r="102" hidden="1" outlineLevel="1">
      <c r="A102" s="571" t="s">
        <v>1886</v>
      </c>
      <c r="B102" s="115">
        <v>46109.0</v>
      </c>
      <c r="C102" s="118" t="str">
        <f t="shared" si="11"/>
        <v>Sat</v>
      </c>
      <c r="D102" s="128">
        <f t="shared" si="12"/>
        <v>1</v>
      </c>
      <c r="E102" s="131" t="s">
        <v>142</v>
      </c>
      <c r="F102" s="134" t="s">
        <v>142</v>
      </c>
      <c r="G102" s="134" t="s">
        <v>142</v>
      </c>
      <c r="H102" s="134" t="s">
        <v>142</v>
      </c>
      <c r="I102" s="134" t="s">
        <v>142</v>
      </c>
      <c r="J102" s="134" t="s">
        <v>142</v>
      </c>
      <c r="K102" s="134" t="s">
        <v>142</v>
      </c>
      <c r="L102" s="134" t="s">
        <v>142</v>
      </c>
      <c r="M102" s="136"/>
      <c r="N102" s="131"/>
    </row>
    <row r="103" hidden="1" outlineLevel="1">
      <c r="A103" s="422" t="s">
        <v>1887</v>
      </c>
      <c r="B103" s="115">
        <v>46110.0</v>
      </c>
      <c r="C103" s="118" t="str">
        <f t="shared" si="11"/>
        <v>Sun</v>
      </c>
      <c r="D103" s="143">
        <f t="shared" si="12"/>
        <v>1</v>
      </c>
      <c r="E103" s="144" t="s">
        <v>142</v>
      </c>
      <c r="F103" s="134" t="s">
        <v>142</v>
      </c>
      <c r="G103" s="134" t="s">
        <v>142</v>
      </c>
      <c r="H103" s="134" t="s">
        <v>142</v>
      </c>
      <c r="I103" s="134" t="s">
        <v>142</v>
      </c>
      <c r="J103" s="134" t="s">
        <v>142</v>
      </c>
      <c r="K103" s="134" t="s">
        <v>142</v>
      </c>
      <c r="L103" s="134" t="s">
        <v>142</v>
      </c>
      <c r="M103" s="136"/>
      <c r="N103" s="137"/>
    </row>
    <row r="104" hidden="1" outlineLevel="1">
      <c r="A104" s="571" t="s">
        <v>1890</v>
      </c>
      <c r="B104" s="115">
        <v>46110.0</v>
      </c>
      <c r="C104" s="118" t="str">
        <f t="shared" si="11"/>
        <v>Sun</v>
      </c>
      <c r="D104" s="128">
        <f t="shared" si="12"/>
        <v>1</v>
      </c>
      <c r="E104" s="131" t="s">
        <v>142</v>
      </c>
      <c r="F104" s="134" t="s">
        <v>142</v>
      </c>
      <c r="G104" s="134" t="s">
        <v>142</v>
      </c>
      <c r="H104" s="134" t="s">
        <v>142</v>
      </c>
      <c r="I104" s="134" t="s">
        <v>142</v>
      </c>
      <c r="J104" s="134" t="s">
        <v>142</v>
      </c>
      <c r="K104" s="134" t="s">
        <v>142</v>
      </c>
      <c r="L104" s="134" t="s">
        <v>142</v>
      </c>
      <c r="M104" s="136"/>
      <c r="N104" s="137"/>
    </row>
    <row r="105" ht="15.0" hidden="1" customHeight="1" outlineLevel="1">
      <c r="A105" s="422" t="s">
        <v>1891</v>
      </c>
      <c r="B105" s="115">
        <v>46110.0</v>
      </c>
      <c r="C105" s="118" t="str">
        <f t="shared" si="11"/>
        <v>Sun</v>
      </c>
      <c r="D105" s="143">
        <f t="shared" si="12"/>
        <v>0.55</v>
      </c>
      <c r="E105" s="144" t="s">
        <v>142</v>
      </c>
      <c r="F105" s="134" t="s">
        <v>142</v>
      </c>
      <c r="G105" s="134" t="s">
        <v>142</v>
      </c>
      <c r="H105" s="134" t="s">
        <v>142</v>
      </c>
      <c r="I105" s="134" t="s">
        <v>142</v>
      </c>
      <c r="J105" s="134" t="s">
        <v>142</v>
      </c>
      <c r="K105" s="134" t="s">
        <v>945</v>
      </c>
      <c r="L105" s="134" t="s">
        <v>945</v>
      </c>
      <c r="M105" s="136"/>
      <c r="N105" s="131"/>
    </row>
    <row r="106" hidden="1" outlineLevel="1">
      <c r="B106" s="215"/>
      <c r="C106" s="216" t="s">
        <v>199</v>
      </c>
      <c r="D106" s="217">
        <f>AVERAGE(D91:D105)</f>
        <v>0.97</v>
      </c>
      <c r="E106" s="472"/>
      <c r="L106" s="216" t="s">
        <v>199</v>
      </c>
      <c r="M106" s="217">
        <f>SUM(M91:M105)/75*0.1</f>
        <v>0</v>
      </c>
    </row>
    <row r="107" hidden="1" collapsed="1">
      <c r="A107" s="85" t="s">
        <v>1702</v>
      </c>
      <c r="B107" s="86"/>
      <c r="C107" s="86"/>
      <c r="D107" s="359"/>
      <c r="E107" s="89"/>
      <c r="F107" s="89"/>
      <c r="G107" s="91"/>
      <c r="H107" s="91"/>
      <c r="I107" s="91"/>
      <c r="J107" s="91"/>
      <c r="K107" s="91"/>
      <c r="L107" s="91"/>
      <c r="M107" s="93"/>
      <c r="N107" s="95"/>
    </row>
    <row r="108" hidden="1" outlineLevel="1">
      <c r="A108" s="96" t="s">
        <v>89</v>
      </c>
      <c r="B108" s="98" t="s">
        <v>90</v>
      </c>
      <c r="C108" s="98" t="s">
        <v>91</v>
      </c>
      <c r="D108" s="101" t="s">
        <v>93</v>
      </c>
      <c r="E108" s="102" t="s">
        <v>94</v>
      </c>
      <c r="F108" s="102" t="s">
        <v>95</v>
      </c>
      <c r="G108" s="105" t="s">
        <v>96</v>
      </c>
      <c r="H108" s="107" t="s">
        <v>97</v>
      </c>
      <c r="I108" s="107" t="s">
        <v>104</v>
      </c>
      <c r="J108" s="105" t="s">
        <v>106</v>
      </c>
      <c r="K108" s="107" t="s">
        <v>109</v>
      </c>
      <c r="L108" s="105" t="s">
        <v>111</v>
      </c>
      <c r="M108" s="98" t="s">
        <v>114</v>
      </c>
      <c r="N108" s="101" t="s">
        <v>116</v>
      </c>
    </row>
    <row r="109" hidden="1" outlineLevel="1">
      <c r="A109" s="113" t="s">
        <v>1893</v>
      </c>
      <c r="B109" s="115">
        <v>46111.0</v>
      </c>
      <c r="C109" s="118" t="str">
        <f t="shared" ref="C109:C123" si="13">IF(B109="", "", TEXT(B109, "ddd"))</f>
        <v>Mon</v>
      </c>
      <c r="D109" s="143">
        <f t="shared" ref="D109:D123" si="14">IF(E109="Yes",0.05,0)
+IF(F109="Yes",0.1,0)
+IF(G109="Yes",0.15,0)
+IF(H109="Yes",0.15,0)
+IF(I109="Yes",0.05,0)
+IF(J109="Yes",0.05,0)
+IF(K109="Yes",0.15,0)
+IF(L109="Yes",0.3,0)
</f>
        <v>1</v>
      </c>
      <c r="E109" s="144" t="s">
        <v>142</v>
      </c>
      <c r="F109" s="134" t="s">
        <v>142</v>
      </c>
      <c r="G109" s="134" t="s">
        <v>142</v>
      </c>
      <c r="H109" s="134" t="s">
        <v>142</v>
      </c>
      <c r="I109" s="134" t="s">
        <v>142</v>
      </c>
      <c r="J109" s="134" t="s">
        <v>142</v>
      </c>
      <c r="K109" s="134" t="s">
        <v>142</v>
      </c>
      <c r="L109" s="134" t="s">
        <v>142</v>
      </c>
      <c r="M109" s="136"/>
      <c r="N109" s="137"/>
    </row>
    <row r="110" hidden="1" outlineLevel="1">
      <c r="A110" s="113" t="s">
        <v>1894</v>
      </c>
      <c r="B110" s="115">
        <v>46111.0</v>
      </c>
      <c r="C110" s="118" t="str">
        <f t="shared" si="13"/>
        <v>Mon</v>
      </c>
      <c r="D110" s="128">
        <f t="shared" si="14"/>
        <v>1</v>
      </c>
      <c r="E110" s="131" t="s">
        <v>142</v>
      </c>
      <c r="F110" s="134" t="s">
        <v>142</v>
      </c>
      <c r="G110" s="134" t="s">
        <v>142</v>
      </c>
      <c r="H110" s="134" t="s">
        <v>142</v>
      </c>
      <c r="I110" s="134" t="s">
        <v>142</v>
      </c>
      <c r="J110" s="134" t="s">
        <v>142</v>
      </c>
      <c r="K110" s="134" t="s">
        <v>142</v>
      </c>
      <c r="L110" s="134" t="s">
        <v>142</v>
      </c>
      <c r="M110" s="136"/>
      <c r="N110" s="131"/>
    </row>
    <row r="111" hidden="1" outlineLevel="1">
      <c r="A111" s="113" t="s">
        <v>1895</v>
      </c>
      <c r="B111" s="115">
        <v>46111.0</v>
      </c>
      <c r="C111" s="118" t="str">
        <f t="shared" si="13"/>
        <v>Mon</v>
      </c>
      <c r="D111" s="143">
        <f t="shared" si="14"/>
        <v>1</v>
      </c>
      <c r="E111" s="144" t="s">
        <v>142</v>
      </c>
      <c r="F111" s="134" t="s">
        <v>142</v>
      </c>
      <c r="G111" s="134" t="s">
        <v>142</v>
      </c>
      <c r="H111" s="134" t="s">
        <v>142</v>
      </c>
      <c r="I111" s="134" t="s">
        <v>142</v>
      </c>
      <c r="J111" s="134" t="s">
        <v>142</v>
      </c>
      <c r="K111" s="134" t="s">
        <v>142</v>
      </c>
      <c r="L111" s="134" t="s">
        <v>142</v>
      </c>
      <c r="M111" s="136"/>
      <c r="N111" s="131"/>
    </row>
    <row r="112" hidden="1" outlineLevel="1">
      <c r="A112" s="113" t="s">
        <v>1896</v>
      </c>
      <c r="B112" s="115">
        <v>46112.0</v>
      </c>
      <c r="C112" s="118" t="str">
        <f t="shared" si="13"/>
        <v>Tue</v>
      </c>
      <c r="D112" s="128">
        <f t="shared" si="14"/>
        <v>1</v>
      </c>
      <c r="E112" s="131" t="s">
        <v>142</v>
      </c>
      <c r="F112" s="134" t="s">
        <v>142</v>
      </c>
      <c r="G112" s="134" t="s">
        <v>142</v>
      </c>
      <c r="H112" s="134" t="s">
        <v>142</v>
      </c>
      <c r="I112" s="134" t="s">
        <v>142</v>
      </c>
      <c r="J112" s="134" t="s">
        <v>142</v>
      </c>
      <c r="K112" s="134" t="s">
        <v>142</v>
      </c>
      <c r="L112" s="134" t="s">
        <v>142</v>
      </c>
      <c r="M112" s="136"/>
      <c r="N112" s="137"/>
    </row>
    <row r="113" hidden="1" outlineLevel="1">
      <c r="A113" s="113" t="s">
        <v>1897</v>
      </c>
      <c r="B113" s="115">
        <v>46112.0</v>
      </c>
      <c r="C113" s="118" t="str">
        <f t="shared" si="13"/>
        <v>Tue</v>
      </c>
      <c r="D113" s="143">
        <f t="shared" si="14"/>
        <v>1</v>
      </c>
      <c r="E113" s="144" t="s">
        <v>142</v>
      </c>
      <c r="F113" s="134" t="s">
        <v>142</v>
      </c>
      <c r="G113" s="134" t="s">
        <v>142</v>
      </c>
      <c r="H113" s="134" t="s">
        <v>142</v>
      </c>
      <c r="I113" s="134" t="s">
        <v>142</v>
      </c>
      <c r="J113" s="134" t="s">
        <v>142</v>
      </c>
      <c r="K113" s="134" t="s">
        <v>142</v>
      </c>
      <c r="L113" s="134" t="s">
        <v>142</v>
      </c>
      <c r="M113" s="136"/>
      <c r="N113" s="131" t="s">
        <v>1898</v>
      </c>
    </row>
    <row r="114" hidden="1" outlineLevel="1">
      <c r="A114" s="113" t="s">
        <v>1899</v>
      </c>
      <c r="B114" s="115">
        <v>46112.0</v>
      </c>
      <c r="C114" s="118" t="str">
        <f t="shared" si="13"/>
        <v>Tue</v>
      </c>
      <c r="D114" s="128">
        <f t="shared" si="14"/>
        <v>1</v>
      </c>
      <c r="E114" s="131" t="s">
        <v>142</v>
      </c>
      <c r="F114" s="134" t="s">
        <v>142</v>
      </c>
      <c r="G114" s="134" t="s">
        <v>142</v>
      </c>
      <c r="H114" s="134" t="s">
        <v>142</v>
      </c>
      <c r="I114" s="134" t="s">
        <v>142</v>
      </c>
      <c r="J114" s="134" t="s">
        <v>142</v>
      </c>
      <c r="K114" s="134" t="s">
        <v>142</v>
      </c>
      <c r="L114" s="134" t="s">
        <v>142</v>
      </c>
      <c r="M114" s="136"/>
      <c r="N114" s="137"/>
    </row>
    <row r="115" hidden="1" outlineLevel="1">
      <c r="A115" s="113" t="s">
        <v>1900</v>
      </c>
      <c r="B115" s="115">
        <v>46113.0</v>
      </c>
      <c r="C115" s="118" t="str">
        <f t="shared" si="13"/>
        <v>Wed</v>
      </c>
      <c r="D115" s="143">
        <f t="shared" si="14"/>
        <v>1</v>
      </c>
      <c r="E115" s="476" t="s">
        <v>142</v>
      </c>
      <c r="F115" s="478" t="s">
        <v>142</v>
      </c>
      <c r="G115" s="478" t="s">
        <v>142</v>
      </c>
      <c r="H115" s="478" t="s">
        <v>142</v>
      </c>
      <c r="I115" s="478" t="s">
        <v>142</v>
      </c>
      <c r="J115" s="478" t="s">
        <v>142</v>
      </c>
      <c r="K115" s="478" t="s">
        <v>142</v>
      </c>
      <c r="L115" s="478" t="s">
        <v>142</v>
      </c>
      <c r="M115" s="136"/>
      <c r="N115" s="137"/>
    </row>
    <row r="116" hidden="1" outlineLevel="1">
      <c r="A116" s="113" t="s">
        <v>1901</v>
      </c>
      <c r="B116" s="115">
        <v>46113.0</v>
      </c>
      <c r="C116" s="118" t="str">
        <f t="shared" si="13"/>
        <v>Wed</v>
      </c>
      <c r="D116" s="128">
        <f t="shared" si="14"/>
        <v>1</v>
      </c>
      <c r="E116" s="131" t="s">
        <v>142</v>
      </c>
      <c r="F116" s="134" t="s">
        <v>142</v>
      </c>
      <c r="G116" s="134" t="s">
        <v>142</v>
      </c>
      <c r="H116" s="134" t="s">
        <v>142</v>
      </c>
      <c r="I116" s="134" t="s">
        <v>142</v>
      </c>
      <c r="J116" s="134" t="s">
        <v>142</v>
      </c>
      <c r="K116" s="134" t="s">
        <v>142</v>
      </c>
      <c r="L116" s="134" t="s">
        <v>142</v>
      </c>
      <c r="M116" s="136"/>
      <c r="N116" s="131"/>
    </row>
    <row r="117" hidden="1" outlineLevel="1">
      <c r="A117" s="113" t="s">
        <v>1902</v>
      </c>
      <c r="B117" s="115">
        <v>46113.0</v>
      </c>
      <c r="C117" s="118" t="str">
        <f t="shared" si="13"/>
        <v>Wed</v>
      </c>
      <c r="D117" s="143">
        <f t="shared" si="14"/>
        <v>1</v>
      </c>
      <c r="E117" s="144" t="s">
        <v>142</v>
      </c>
      <c r="F117" s="134" t="s">
        <v>142</v>
      </c>
      <c r="G117" s="134" t="s">
        <v>142</v>
      </c>
      <c r="H117" s="134" t="s">
        <v>142</v>
      </c>
      <c r="I117" s="134" t="s">
        <v>142</v>
      </c>
      <c r="J117" s="134" t="s">
        <v>142</v>
      </c>
      <c r="K117" s="134" t="s">
        <v>142</v>
      </c>
      <c r="L117" s="134" t="s">
        <v>142</v>
      </c>
      <c r="M117" s="136"/>
      <c r="N117" s="137"/>
    </row>
    <row r="118" hidden="1" outlineLevel="1">
      <c r="A118" s="113" t="s">
        <v>1903</v>
      </c>
      <c r="B118" s="115">
        <v>46114.0</v>
      </c>
      <c r="C118" s="118" t="str">
        <f t="shared" si="13"/>
        <v>Thu</v>
      </c>
      <c r="D118" s="128">
        <f t="shared" si="14"/>
        <v>0.8</v>
      </c>
      <c r="E118" s="131" t="s">
        <v>142</v>
      </c>
      <c r="F118" s="134" t="s">
        <v>142</v>
      </c>
      <c r="G118" s="134" t="s">
        <v>142</v>
      </c>
      <c r="H118" s="134" t="s">
        <v>945</v>
      </c>
      <c r="I118" s="134" t="s">
        <v>945</v>
      </c>
      <c r="J118" s="134" t="s">
        <v>142</v>
      </c>
      <c r="K118" s="134" t="s">
        <v>142</v>
      </c>
      <c r="L118" s="134" t="s">
        <v>142</v>
      </c>
      <c r="M118" s="136"/>
      <c r="N118" s="131" t="s">
        <v>1904</v>
      </c>
    </row>
    <row r="119" hidden="1" outlineLevel="1">
      <c r="A119" s="113" t="s">
        <v>1905</v>
      </c>
      <c r="B119" s="115">
        <v>46114.0</v>
      </c>
      <c r="C119" s="118" t="str">
        <f t="shared" si="13"/>
        <v>Thu</v>
      </c>
      <c r="D119" s="143">
        <f t="shared" si="14"/>
        <v>1</v>
      </c>
      <c r="E119" s="144" t="s">
        <v>142</v>
      </c>
      <c r="F119" s="134" t="s">
        <v>142</v>
      </c>
      <c r="G119" s="134" t="s">
        <v>142</v>
      </c>
      <c r="H119" s="134" t="s">
        <v>142</v>
      </c>
      <c r="I119" s="134" t="s">
        <v>142</v>
      </c>
      <c r="J119" s="134" t="s">
        <v>142</v>
      </c>
      <c r="K119" s="134" t="s">
        <v>142</v>
      </c>
      <c r="L119" s="134" t="s">
        <v>142</v>
      </c>
      <c r="M119" s="136"/>
      <c r="N119" s="131"/>
    </row>
    <row r="120" hidden="1" outlineLevel="1">
      <c r="A120" s="113" t="s">
        <v>1906</v>
      </c>
      <c r="B120" s="115">
        <v>46114.0</v>
      </c>
      <c r="C120" s="118" t="str">
        <f t="shared" si="13"/>
        <v>Thu</v>
      </c>
      <c r="D120" s="128">
        <f t="shared" si="14"/>
        <v>1</v>
      </c>
      <c r="E120" s="131" t="s">
        <v>142</v>
      </c>
      <c r="F120" s="134" t="s">
        <v>142</v>
      </c>
      <c r="G120" s="134" t="s">
        <v>142</v>
      </c>
      <c r="H120" s="134" t="s">
        <v>142</v>
      </c>
      <c r="I120" s="134" t="s">
        <v>142</v>
      </c>
      <c r="J120" s="134" t="s">
        <v>142</v>
      </c>
      <c r="K120" s="134" t="s">
        <v>142</v>
      </c>
      <c r="L120" s="134" t="s">
        <v>142</v>
      </c>
      <c r="M120" s="136"/>
      <c r="N120" s="131"/>
    </row>
    <row r="121" hidden="1" outlineLevel="1">
      <c r="A121" s="113" t="s">
        <v>1907</v>
      </c>
      <c r="B121" s="115">
        <v>46117.0</v>
      </c>
      <c r="C121" s="118" t="str">
        <f t="shared" si="13"/>
        <v>Sun</v>
      </c>
      <c r="D121" s="143">
        <f t="shared" si="14"/>
        <v>1</v>
      </c>
      <c r="E121" s="144" t="s">
        <v>142</v>
      </c>
      <c r="F121" s="134" t="s">
        <v>142</v>
      </c>
      <c r="G121" s="134" t="s">
        <v>142</v>
      </c>
      <c r="H121" s="134" t="s">
        <v>142</v>
      </c>
      <c r="I121" s="134" t="s">
        <v>142</v>
      </c>
      <c r="J121" s="134" t="s">
        <v>142</v>
      </c>
      <c r="K121" s="134" t="s">
        <v>142</v>
      </c>
      <c r="L121" s="134" t="s">
        <v>142</v>
      </c>
      <c r="M121" s="136"/>
      <c r="N121" s="137"/>
    </row>
    <row r="122" hidden="1" outlineLevel="1">
      <c r="A122" s="113" t="s">
        <v>1908</v>
      </c>
      <c r="B122" s="115">
        <v>46117.0</v>
      </c>
      <c r="C122" s="118" t="str">
        <f t="shared" si="13"/>
        <v>Sun</v>
      </c>
      <c r="D122" s="128">
        <f t="shared" si="14"/>
        <v>1</v>
      </c>
      <c r="E122" s="131" t="s">
        <v>142</v>
      </c>
      <c r="F122" s="134" t="s">
        <v>142</v>
      </c>
      <c r="G122" s="134" t="s">
        <v>142</v>
      </c>
      <c r="H122" s="134" t="s">
        <v>142</v>
      </c>
      <c r="I122" s="134" t="s">
        <v>142</v>
      </c>
      <c r="J122" s="134" t="s">
        <v>142</v>
      </c>
      <c r="K122" s="134" t="s">
        <v>142</v>
      </c>
      <c r="L122" s="134" t="s">
        <v>142</v>
      </c>
      <c r="M122" s="136"/>
      <c r="N122" s="137"/>
    </row>
    <row r="123" ht="15.0" hidden="1" customHeight="1" outlineLevel="1">
      <c r="A123" s="113" t="s">
        <v>1909</v>
      </c>
      <c r="B123" s="115">
        <v>46117.0</v>
      </c>
      <c r="C123" s="118" t="str">
        <f t="shared" si="13"/>
        <v>Sun</v>
      </c>
      <c r="D123" s="143">
        <f t="shared" si="14"/>
        <v>1</v>
      </c>
      <c r="E123" s="144" t="s">
        <v>142</v>
      </c>
      <c r="F123" s="134" t="s">
        <v>142</v>
      </c>
      <c r="G123" s="134" t="s">
        <v>142</v>
      </c>
      <c r="H123" s="134" t="s">
        <v>142</v>
      </c>
      <c r="I123" s="134" t="s">
        <v>142</v>
      </c>
      <c r="J123" s="134" t="s">
        <v>142</v>
      </c>
      <c r="K123" s="134" t="s">
        <v>142</v>
      </c>
      <c r="L123" s="134" t="s">
        <v>142</v>
      </c>
      <c r="M123" s="136"/>
      <c r="N123" s="131"/>
    </row>
    <row r="124" hidden="1" outlineLevel="1">
      <c r="B124" s="215"/>
      <c r="C124" s="216" t="s">
        <v>199</v>
      </c>
      <c r="D124" s="217">
        <f>AVERAGE(D109:D123)</f>
        <v>0.9866666667</v>
      </c>
      <c r="E124" s="472"/>
      <c r="L124" s="216" t="s">
        <v>199</v>
      </c>
      <c r="M124" s="217">
        <f>SUM(M109:M123)/75*0.1</f>
        <v>0</v>
      </c>
    </row>
    <row r="125" hidden="1" collapsed="1">
      <c r="A125" s="85" t="s">
        <v>1723</v>
      </c>
      <c r="B125" s="86"/>
      <c r="C125" s="86"/>
      <c r="D125" s="359"/>
      <c r="E125" s="89"/>
      <c r="F125" s="89"/>
      <c r="G125" s="91"/>
      <c r="H125" s="91"/>
      <c r="I125" s="91"/>
      <c r="J125" s="91"/>
      <c r="K125" s="91"/>
      <c r="L125" s="91"/>
      <c r="M125" s="93"/>
      <c r="N125" s="95"/>
    </row>
    <row r="126" hidden="1" outlineLevel="1">
      <c r="A126" s="96" t="s">
        <v>89</v>
      </c>
      <c r="B126" s="98" t="s">
        <v>90</v>
      </c>
      <c r="C126" s="98" t="s">
        <v>91</v>
      </c>
      <c r="D126" s="101" t="s">
        <v>93</v>
      </c>
      <c r="E126" s="102" t="s">
        <v>94</v>
      </c>
      <c r="F126" s="102" t="s">
        <v>95</v>
      </c>
      <c r="G126" s="105" t="s">
        <v>96</v>
      </c>
      <c r="H126" s="107" t="s">
        <v>97</v>
      </c>
      <c r="I126" s="107" t="s">
        <v>104</v>
      </c>
      <c r="J126" s="105" t="s">
        <v>106</v>
      </c>
      <c r="K126" s="107" t="s">
        <v>109</v>
      </c>
      <c r="L126" s="105" t="s">
        <v>111</v>
      </c>
      <c r="M126" s="98" t="s">
        <v>114</v>
      </c>
      <c r="N126" s="101" t="s">
        <v>116</v>
      </c>
    </row>
    <row r="127" hidden="1" outlineLevel="1">
      <c r="A127" s="353" t="s">
        <v>1910</v>
      </c>
      <c r="B127" s="115">
        <v>46118.0</v>
      </c>
      <c r="C127" s="118" t="str">
        <f t="shared" ref="C127:C141" si="15">IF(B127="", "", TEXT(B127, "ddd"))</f>
        <v>Mon</v>
      </c>
      <c r="D127" s="143">
        <f t="shared" ref="D127:D141" si="16">IF(E127="Yes",0.05,0)
+IF(F127="Yes",0.1,0)
+IF(G127="Yes",0.15,0)
+IF(H127="Yes",0.15,0)
+IF(I127="Yes",0.05,0)
+IF(J127="Yes",0.05,0)
+IF(K127="Yes",0.15,0)
+IF(L127="Yes",0.3,0)
</f>
        <v>1</v>
      </c>
      <c r="E127" s="144" t="s">
        <v>142</v>
      </c>
      <c r="F127" s="134" t="s">
        <v>142</v>
      </c>
      <c r="G127" s="134" t="s">
        <v>142</v>
      </c>
      <c r="H127" s="134" t="s">
        <v>142</v>
      </c>
      <c r="I127" s="134" t="s">
        <v>142</v>
      </c>
      <c r="J127" s="134" t="s">
        <v>142</v>
      </c>
      <c r="K127" s="134" t="s">
        <v>142</v>
      </c>
      <c r="L127" s="134" t="s">
        <v>142</v>
      </c>
      <c r="M127" s="136"/>
      <c r="N127" s="137"/>
    </row>
    <row r="128" hidden="1" outlineLevel="1">
      <c r="A128" s="353" t="s">
        <v>1912</v>
      </c>
      <c r="B128" s="115">
        <v>46118.0</v>
      </c>
      <c r="C128" s="118" t="str">
        <f t="shared" si="15"/>
        <v>Mon</v>
      </c>
      <c r="D128" s="128">
        <f t="shared" si="16"/>
        <v>1</v>
      </c>
      <c r="E128" s="131" t="s">
        <v>142</v>
      </c>
      <c r="F128" s="134" t="s">
        <v>142</v>
      </c>
      <c r="G128" s="134" t="s">
        <v>142</v>
      </c>
      <c r="H128" s="134" t="s">
        <v>142</v>
      </c>
      <c r="I128" s="134" t="s">
        <v>142</v>
      </c>
      <c r="J128" s="134" t="s">
        <v>142</v>
      </c>
      <c r="K128" s="134" t="s">
        <v>142</v>
      </c>
      <c r="L128" s="134" t="s">
        <v>142</v>
      </c>
      <c r="M128" s="136"/>
      <c r="N128" s="131"/>
    </row>
    <row r="129" hidden="1" outlineLevel="1">
      <c r="A129" s="353" t="s">
        <v>1913</v>
      </c>
      <c r="B129" s="115">
        <v>46118.0</v>
      </c>
      <c r="C129" s="118" t="str">
        <f t="shared" si="15"/>
        <v>Mon</v>
      </c>
      <c r="D129" s="143">
        <f t="shared" si="16"/>
        <v>1</v>
      </c>
      <c r="E129" s="144" t="s">
        <v>142</v>
      </c>
      <c r="F129" s="134" t="s">
        <v>142</v>
      </c>
      <c r="G129" s="134" t="s">
        <v>142</v>
      </c>
      <c r="H129" s="134" t="s">
        <v>142</v>
      </c>
      <c r="I129" s="134" t="s">
        <v>142</v>
      </c>
      <c r="J129" s="134" t="s">
        <v>142</v>
      </c>
      <c r="K129" s="134" t="s">
        <v>142</v>
      </c>
      <c r="L129" s="134" t="s">
        <v>142</v>
      </c>
      <c r="M129" s="136"/>
      <c r="N129" s="131"/>
    </row>
    <row r="130" hidden="1" outlineLevel="1">
      <c r="A130" s="422" t="s">
        <v>1915</v>
      </c>
      <c r="B130" s="115">
        <v>46119.0</v>
      </c>
      <c r="C130" s="118" t="str">
        <f t="shared" si="15"/>
        <v>Tue</v>
      </c>
      <c r="D130" s="128">
        <f t="shared" si="16"/>
        <v>1</v>
      </c>
      <c r="E130" s="131" t="s">
        <v>142</v>
      </c>
      <c r="F130" s="134" t="s">
        <v>142</v>
      </c>
      <c r="G130" s="134" t="s">
        <v>142</v>
      </c>
      <c r="H130" s="134" t="s">
        <v>142</v>
      </c>
      <c r="I130" s="134" t="s">
        <v>142</v>
      </c>
      <c r="J130" s="134" t="s">
        <v>142</v>
      </c>
      <c r="K130" s="134" t="s">
        <v>142</v>
      </c>
      <c r="L130" s="134" t="s">
        <v>142</v>
      </c>
      <c r="M130" s="136"/>
      <c r="N130" s="137"/>
    </row>
    <row r="131" hidden="1" outlineLevel="1">
      <c r="A131" s="422" t="s">
        <v>1917</v>
      </c>
      <c r="B131" s="115">
        <v>46119.0</v>
      </c>
      <c r="C131" s="118" t="str">
        <f t="shared" si="15"/>
        <v>Tue</v>
      </c>
      <c r="D131" s="143">
        <f t="shared" si="16"/>
        <v>1</v>
      </c>
      <c r="E131" s="144" t="s">
        <v>142</v>
      </c>
      <c r="F131" s="134" t="s">
        <v>142</v>
      </c>
      <c r="G131" s="134" t="s">
        <v>142</v>
      </c>
      <c r="H131" s="134" t="s">
        <v>142</v>
      </c>
      <c r="I131" s="134" t="s">
        <v>142</v>
      </c>
      <c r="J131" s="134" t="s">
        <v>142</v>
      </c>
      <c r="K131" s="134" t="s">
        <v>142</v>
      </c>
      <c r="L131" s="134" t="s">
        <v>142</v>
      </c>
      <c r="M131" s="136"/>
      <c r="N131" s="137"/>
    </row>
    <row r="132" hidden="1" outlineLevel="1">
      <c r="A132" s="422" t="s">
        <v>1920</v>
      </c>
      <c r="B132" s="115">
        <v>46119.0</v>
      </c>
      <c r="C132" s="118" t="str">
        <f t="shared" si="15"/>
        <v>Tue</v>
      </c>
      <c r="D132" s="128">
        <f t="shared" si="16"/>
        <v>1</v>
      </c>
      <c r="E132" s="131" t="s">
        <v>142</v>
      </c>
      <c r="F132" s="134" t="s">
        <v>142</v>
      </c>
      <c r="G132" s="134" t="s">
        <v>142</v>
      </c>
      <c r="H132" s="134" t="s">
        <v>142</v>
      </c>
      <c r="I132" s="134" t="s">
        <v>142</v>
      </c>
      <c r="J132" s="134" t="s">
        <v>142</v>
      </c>
      <c r="K132" s="134" t="s">
        <v>142</v>
      </c>
      <c r="L132" s="134" t="s">
        <v>142</v>
      </c>
      <c r="M132" s="136"/>
      <c r="N132" s="137"/>
    </row>
    <row r="133" hidden="1" outlineLevel="1">
      <c r="A133" s="353" t="s">
        <v>1921</v>
      </c>
      <c r="B133" s="115">
        <v>46121.0</v>
      </c>
      <c r="C133" s="118" t="str">
        <f t="shared" si="15"/>
        <v>Thu</v>
      </c>
      <c r="D133" s="143">
        <f t="shared" si="16"/>
        <v>1</v>
      </c>
      <c r="E133" s="144" t="s">
        <v>142</v>
      </c>
      <c r="F133" s="134" t="s">
        <v>142</v>
      </c>
      <c r="G133" s="134" t="s">
        <v>142</v>
      </c>
      <c r="H133" s="134" t="s">
        <v>142</v>
      </c>
      <c r="I133" s="134" t="s">
        <v>142</v>
      </c>
      <c r="J133" s="134" t="s">
        <v>142</v>
      </c>
      <c r="K133" s="134" t="s">
        <v>142</v>
      </c>
      <c r="L133" s="134" t="s">
        <v>142</v>
      </c>
      <c r="M133" s="136"/>
      <c r="N133" s="137"/>
    </row>
    <row r="134" hidden="1" outlineLevel="1">
      <c r="A134" s="353" t="s">
        <v>1922</v>
      </c>
      <c r="B134" s="115">
        <v>46121.0</v>
      </c>
      <c r="C134" s="118" t="str">
        <f t="shared" si="15"/>
        <v>Thu</v>
      </c>
      <c r="D134" s="128">
        <f t="shared" si="16"/>
        <v>1</v>
      </c>
      <c r="E134" s="131" t="s">
        <v>142</v>
      </c>
      <c r="F134" s="134" t="s">
        <v>142</v>
      </c>
      <c r="G134" s="134" t="s">
        <v>142</v>
      </c>
      <c r="H134" s="134" t="s">
        <v>142</v>
      </c>
      <c r="I134" s="134" t="s">
        <v>142</v>
      </c>
      <c r="J134" s="134" t="s">
        <v>142</v>
      </c>
      <c r="K134" s="134" t="s">
        <v>142</v>
      </c>
      <c r="L134" s="134" t="s">
        <v>142</v>
      </c>
      <c r="M134" s="136"/>
      <c r="N134" s="131"/>
    </row>
    <row r="135" hidden="1" outlineLevel="1">
      <c r="A135" s="353" t="s">
        <v>1923</v>
      </c>
      <c r="B135" s="115">
        <v>46121.0</v>
      </c>
      <c r="C135" s="118" t="str">
        <f t="shared" si="15"/>
        <v>Thu</v>
      </c>
      <c r="D135" s="143">
        <f t="shared" si="16"/>
        <v>1</v>
      </c>
      <c r="E135" s="144" t="s">
        <v>142</v>
      </c>
      <c r="F135" s="134" t="s">
        <v>142</v>
      </c>
      <c r="G135" s="134" t="s">
        <v>142</v>
      </c>
      <c r="H135" s="134" t="s">
        <v>142</v>
      </c>
      <c r="I135" s="134" t="s">
        <v>142</v>
      </c>
      <c r="J135" s="134" t="s">
        <v>142</v>
      </c>
      <c r="K135" s="134" t="s">
        <v>142</v>
      </c>
      <c r="L135" s="134" t="s">
        <v>142</v>
      </c>
      <c r="M135" s="136"/>
      <c r="N135" s="137"/>
    </row>
    <row r="136" hidden="1" outlineLevel="1">
      <c r="A136" s="422" t="s">
        <v>1924</v>
      </c>
      <c r="B136" s="115">
        <v>46123.0</v>
      </c>
      <c r="C136" s="118" t="str">
        <f t="shared" si="15"/>
        <v>Sat</v>
      </c>
      <c r="D136" s="128">
        <f t="shared" si="16"/>
        <v>1</v>
      </c>
      <c r="E136" s="131" t="s">
        <v>142</v>
      </c>
      <c r="F136" s="134" t="s">
        <v>142</v>
      </c>
      <c r="G136" s="134" t="s">
        <v>142</v>
      </c>
      <c r="H136" s="134" t="s">
        <v>142</v>
      </c>
      <c r="I136" s="134" t="s">
        <v>142</v>
      </c>
      <c r="J136" s="134" t="s">
        <v>142</v>
      </c>
      <c r="K136" s="134" t="s">
        <v>142</v>
      </c>
      <c r="L136" s="134" t="s">
        <v>142</v>
      </c>
      <c r="M136" s="136"/>
      <c r="N136" s="131"/>
    </row>
    <row r="137" hidden="1" outlineLevel="1">
      <c r="A137" s="422" t="s">
        <v>1925</v>
      </c>
      <c r="B137" s="115">
        <v>46123.0</v>
      </c>
      <c r="C137" s="118" t="str">
        <f t="shared" si="15"/>
        <v>Sat</v>
      </c>
      <c r="D137" s="143">
        <f t="shared" si="16"/>
        <v>1</v>
      </c>
      <c r="E137" s="144" t="s">
        <v>142</v>
      </c>
      <c r="F137" s="134" t="s">
        <v>142</v>
      </c>
      <c r="G137" s="134" t="s">
        <v>142</v>
      </c>
      <c r="H137" s="134" t="s">
        <v>142</v>
      </c>
      <c r="I137" s="134" t="s">
        <v>142</v>
      </c>
      <c r="J137" s="134" t="s">
        <v>142</v>
      </c>
      <c r="K137" s="134" t="s">
        <v>142</v>
      </c>
      <c r="L137" s="134" t="s">
        <v>142</v>
      </c>
      <c r="M137" s="136"/>
      <c r="N137" s="131"/>
    </row>
    <row r="138" hidden="1" outlineLevel="1">
      <c r="A138" s="422" t="s">
        <v>1927</v>
      </c>
      <c r="B138" s="115">
        <v>46123.0</v>
      </c>
      <c r="C138" s="118" t="str">
        <f t="shared" si="15"/>
        <v>Sat</v>
      </c>
      <c r="D138" s="128">
        <f t="shared" si="16"/>
        <v>1</v>
      </c>
      <c r="E138" s="131" t="s">
        <v>142</v>
      </c>
      <c r="F138" s="134" t="s">
        <v>142</v>
      </c>
      <c r="G138" s="134" t="s">
        <v>142</v>
      </c>
      <c r="H138" s="134" t="s">
        <v>142</v>
      </c>
      <c r="I138" s="134" t="s">
        <v>142</v>
      </c>
      <c r="J138" s="134" t="s">
        <v>142</v>
      </c>
      <c r="K138" s="134" t="s">
        <v>142</v>
      </c>
      <c r="L138" s="134" t="s">
        <v>142</v>
      </c>
      <c r="M138" s="136"/>
      <c r="N138" s="131"/>
    </row>
    <row r="139" hidden="1" outlineLevel="1">
      <c r="A139" s="422" t="s">
        <v>1929</v>
      </c>
      <c r="B139" s="115">
        <v>46124.0</v>
      </c>
      <c r="C139" s="118" t="str">
        <f t="shared" si="15"/>
        <v>Sun</v>
      </c>
      <c r="D139" s="143">
        <f t="shared" si="16"/>
        <v>1</v>
      </c>
      <c r="E139" s="144" t="s">
        <v>142</v>
      </c>
      <c r="F139" s="134" t="s">
        <v>142</v>
      </c>
      <c r="G139" s="134" t="s">
        <v>142</v>
      </c>
      <c r="H139" s="134" t="s">
        <v>142</v>
      </c>
      <c r="I139" s="134" t="s">
        <v>142</v>
      </c>
      <c r="J139" s="134" t="s">
        <v>142</v>
      </c>
      <c r="K139" s="134" t="s">
        <v>142</v>
      </c>
      <c r="L139" s="134" t="s">
        <v>142</v>
      </c>
      <c r="M139" s="136"/>
      <c r="N139" s="137"/>
    </row>
    <row r="140" hidden="1" outlineLevel="1">
      <c r="A140" s="422" t="s">
        <v>1930</v>
      </c>
      <c r="B140" s="115">
        <v>46124.0</v>
      </c>
      <c r="C140" s="118" t="str">
        <f t="shared" si="15"/>
        <v>Sun</v>
      </c>
      <c r="D140" s="128">
        <f t="shared" si="16"/>
        <v>1</v>
      </c>
      <c r="E140" s="131" t="s">
        <v>142</v>
      </c>
      <c r="F140" s="134" t="s">
        <v>142</v>
      </c>
      <c r="G140" s="134" t="s">
        <v>142</v>
      </c>
      <c r="H140" s="134" t="s">
        <v>142</v>
      </c>
      <c r="I140" s="134" t="s">
        <v>142</v>
      </c>
      <c r="J140" s="134" t="s">
        <v>142</v>
      </c>
      <c r="K140" s="134" t="s">
        <v>142</v>
      </c>
      <c r="L140" s="134" t="s">
        <v>142</v>
      </c>
      <c r="M140" s="136"/>
      <c r="N140" s="137"/>
    </row>
    <row r="141" ht="17.25" hidden="1" customHeight="1" outlineLevel="1">
      <c r="A141" s="422" t="s">
        <v>1932</v>
      </c>
      <c r="B141" s="115">
        <v>46124.0</v>
      </c>
      <c r="C141" s="118" t="str">
        <f t="shared" si="15"/>
        <v>Sun</v>
      </c>
      <c r="D141" s="143">
        <f t="shared" si="16"/>
        <v>1</v>
      </c>
      <c r="E141" s="144" t="s">
        <v>142</v>
      </c>
      <c r="F141" s="134" t="s">
        <v>142</v>
      </c>
      <c r="G141" s="134" t="s">
        <v>142</v>
      </c>
      <c r="H141" s="134" t="s">
        <v>142</v>
      </c>
      <c r="I141" s="134" t="s">
        <v>142</v>
      </c>
      <c r="J141" s="134" t="s">
        <v>142</v>
      </c>
      <c r="K141" s="134" t="s">
        <v>142</v>
      </c>
      <c r="L141" s="134" t="s">
        <v>142</v>
      </c>
      <c r="M141" s="136"/>
      <c r="N141" s="131"/>
    </row>
    <row r="142" hidden="1" outlineLevel="1">
      <c r="B142" s="215"/>
      <c r="C142" s="216" t="s">
        <v>199</v>
      </c>
      <c r="D142" s="217">
        <f>AVERAGE(D127:D141)</f>
        <v>1</v>
      </c>
      <c r="E142" s="472"/>
      <c r="L142" s="216" t="s">
        <v>199</v>
      </c>
      <c r="M142" s="217">
        <f>SUM(M127:M141)/75*0.1</f>
        <v>0</v>
      </c>
    </row>
    <row r="143" hidden="1" collapsed="1">
      <c r="A143" s="85" t="s">
        <v>1811</v>
      </c>
      <c r="B143" s="86"/>
      <c r="C143" s="86"/>
      <c r="D143" s="359"/>
      <c r="E143" s="89"/>
      <c r="F143" s="89"/>
      <c r="G143" s="91"/>
      <c r="H143" s="91"/>
      <c r="I143" s="91"/>
      <c r="J143" s="91"/>
      <c r="K143" s="91"/>
      <c r="L143" s="91"/>
      <c r="M143" s="93"/>
      <c r="N143" s="95"/>
    </row>
    <row r="144" hidden="1" outlineLevel="1">
      <c r="A144" s="96" t="s">
        <v>89</v>
      </c>
      <c r="B144" s="98" t="s">
        <v>90</v>
      </c>
      <c r="C144" s="98" t="s">
        <v>91</v>
      </c>
      <c r="D144" s="101" t="s">
        <v>93</v>
      </c>
      <c r="E144" s="102" t="s">
        <v>94</v>
      </c>
      <c r="F144" s="102" t="s">
        <v>95</v>
      </c>
      <c r="G144" s="105" t="s">
        <v>96</v>
      </c>
      <c r="H144" s="107" t="s">
        <v>97</v>
      </c>
      <c r="I144" s="107" t="s">
        <v>104</v>
      </c>
      <c r="J144" s="105" t="s">
        <v>106</v>
      </c>
      <c r="K144" s="107" t="s">
        <v>109</v>
      </c>
      <c r="L144" s="105" t="s">
        <v>111</v>
      </c>
      <c r="M144" s="98" t="s">
        <v>114</v>
      </c>
      <c r="N144" s="101" t="s">
        <v>116</v>
      </c>
    </row>
    <row r="145" hidden="1" outlineLevel="1">
      <c r="A145" s="353" t="s">
        <v>1935</v>
      </c>
      <c r="B145" s="115">
        <v>46125.0</v>
      </c>
      <c r="C145" s="118" t="str">
        <f t="shared" ref="C145:C159" si="17">IF(B145="", "", TEXT(B145, "ddd"))</f>
        <v>Mon</v>
      </c>
      <c r="D145" s="143">
        <f t="shared" ref="D145:D159" si="18">IF(E145="Yes",0.05,0)
+IF(F145="Yes",0.1,0)
+IF(G145="Yes",0.15,0)
+IF(H145="Yes",0.15,0)
+IF(I145="Yes",0.05,0)
+IF(J145="Yes",0.05,0)
+IF(K145="Yes",0.15,0)
+IF(L145="Yes",0.3,0)
</f>
        <v>1</v>
      </c>
      <c r="E145" s="144" t="s">
        <v>142</v>
      </c>
      <c r="F145" s="134" t="s">
        <v>142</v>
      </c>
      <c r="G145" s="134" t="s">
        <v>142</v>
      </c>
      <c r="H145" s="134" t="s">
        <v>142</v>
      </c>
      <c r="I145" s="134" t="s">
        <v>142</v>
      </c>
      <c r="J145" s="134" t="s">
        <v>142</v>
      </c>
      <c r="K145" s="134" t="s">
        <v>142</v>
      </c>
      <c r="L145" s="134" t="s">
        <v>142</v>
      </c>
      <c r="M145" s="136"/>
      <c r="N145" s="137"/>
    </row>
    <row r="146" hidden="1" outlineLevel="1">
      <c r="A146" s="353" t="s">
        <v>1937</v>
      </c>
      <c r="B146" s="115">
        <v>46125.0</v>
      </c>
      <c r="C146" s="118" t="str">
        <f t="shared" si="17"/>
        <v>Mon</v>
      </c>
      <c r="D146" s="128">
        <f t="shared" si="18"/>
        <v>1</v>
      </c>
      <c r="E146" s="131" t="s">
        <v>142</v>
      </c>
      <c r="F146" s="134" t="s">
        <v>142</v>
      </c>
      <c r="G146" s="134" t="s">
        <v>142</v>
      </c>
      <c r="H146" s="134" t="s">
        <v>142</v>
      </c>
      <c r="I146" s="134" t="s">
        <v>142</v>
      </c>
      <c r="J146" s="134" t="s">
        <v>142</v>
      </c>
      <c r="K146" s="134" t="s">
        <v>142</v>
      </c>
      <c r="L146" s="134" t="s">
        <v>142</v>
      </c>
      <c r="M146" s="136"/>
      <c r="N146" s="131"/>
    </row>
    <row r="147" hidden="1" outlineLevel="1">
      <c r="A147" s="353" t="s">
        <v>1939</v>
      </c>
      <c r="B147" s="115">
        <v>46125.0</v>
      </c>
      <c r="C147" s="118" t="str">
        <f t="shared" si="17"/>
        <v>Mon</v>
      </c>
      <c r="D147" s="143">
        <f t="shared" si="18"/>
        <v>1</v>
      </c>
      <c r="E147" s="144" t="s">
        <v>142</v>
      </c>
      <c r="F147" s="134" t="s">
        <v>142</v>
      </c>
      <c r="G147" s="134" t="s">
        <v>142</v>
      </c>
      <c r="H147" s="134" t="s">
        <v>142</v>
      </c>
      <c r="I147" s="134" t="s">
        <v>142</v>
      </c>
      <c r="J147" s="134" t="s">
        <v>142</v>
      </c>
      <c r="K147" s="134" t="s">
        <v>142</v>
      </c>
      <c r="L147" s="134" t="s">
        <v>142</v>
      </c>
      <c r="M147" s="136"/>
      <c r="N147" s="131"/>
    </row>
    <row r="148" hidden="1" outlineLevel="1">
      <c r="A148" s="113" t="s">
        <v>1941</v>
      </c>
      <c r="B148" s="115">
        <v>46126.0</v>
      </c>
      <c r="C148" s="118" t="str">
        <f t="shared" si="17"/>
        <v>Tue</v>
      </c>
      <c r="D148" s="128">
        <f t="shared" si="18"/>
        <v>1</v>
      </c>
      <c r="E148" s="131" t="s">
        <v>142</v>
      </c>
      <c r="F148" s="134" t="s">
        <v>142</v>
      </c>
      <c r="G148" s="134" t="s">
        <v>142</v>
      </c>
      <c r="H148" s="134" t="s">
        <v>142</v>
      </c>
      <c r="I148" s="134" t="s">
        <v>142</v>
      </c>
      <c r="J148" s="134" t="s">
        <v>142</v>
      </c>
      <c r="K148" s="134" t="s">
        <v>142</v>
      </c>
      <c r="L148" s="134" t="s">
        <v>142</v>
      </c>
      <c r="M148" s="136"/>
      <c r="N148" s="137"/>
    </row>
    <row r="149" hidden="1" outlineLevel="1">
      <c r="A149" s="113" t="s">
        <v>1943</v>
      </c>
      <c r="B149" s="115">
        <v>46126.0</v>
      </c>
      <c r="C149" s="118" t="str">
        <f t="shared" si="17"/>
        <v>Tue</v>
      </c>
      <c r="D149" s="143">
        <f t="shared" si="18"/>
        <v>1</v>
      </c>
      <c r="E149" s="144" t="s">
        <v>142</v>
      </c>
      <c r="F149" s="134" t="s">
        <v>142</v>
      </c>
      <c r="G149" s="134" t="s">
        <v>142</v>
      </c>
      <c r="H149" s="134" t="s">
        <v>142</v>
      </c>
      <c r="I149" s="134" t="s">
        <v>142</v>
      </c>
      <c r="J149" s="134" t="s">
        <v>142</v>
      </c>
      <c r="K149" s="134" t="s">
        <v>142</v>
      </c>
      <c r="L149" s="134" t="s">
        <v>142</v>
      </c>
      <c r="M149" s="136"/>
      <c r="N149" s="137"/>
    </row>
    <row r="150" hidden="1" outlineLevel="1">
      <c r="A150" s="113" t="s">
        <v>1945</v>
      </c>
      <c r="B150" s="115">
        <v>46126.0</v>
      </c>
      <c r="C150" s="118" t="str">
        <f t="shared" si="17"/>
        <v>Tue</v>
      </c>
      <c r="D150" s="128">
        <f t="shared" si="18"/>
        <v>1</v>
      </c>
      <c r="E150" s="131" t="s">
        <v>142</v>
      </c>
      <c r="F150" s="134" t="s">
        <v>142</v>
      </c>
      <c r="G150" s="134" t="s">
        <v>142</v>
      </c>
      <c r="H150" s="134" t="s">
        <v>142</v>
      </c>
      <c r="I150" s="134" t="s">
        <v>142</v>
      </c>
      <c r="J150" s="134" t="s">
        <v>142</v>
      </c>
      <c r="K150" s="134" t="s">
        <v>142</v>
      </c>
      <c r="L150" s="134" t="s">
        <v>142</v>
      </c>
      <c r="M150" s="136"/>
      <c r="N150" s="137"/>
    </row>
    <row r="151" hidden="1" outlineLevel="1">
      <c r="A151" s="579" t="s">
        <v>1948</v>
      </c>
      <c r="B151" s="115">
        <v>46127.0</v>
      </c>
      <c r="C151" s="118" t="str">
        <f t="shared" si="17"/>
        <v>Wed</v>
      </c>
      <c r="D151" s="143">
        <f t="shared" si="18"/>
        <v>1</v>
      </c>
      <c r="E151" s="144" t="s">
        <v>142</v>
      </c>
      <c r="F151" s="134" t="s">
        <v>142</v>
      </c>
      <c r="G151" s="134" t="s">
        <v>142</v>
      </c>
      <c r="H151" s="134" t="s">
        <v>142</v>
      </c>
      <c r="I151" s="134" t="s">
        <v>142</v>
      </c>
      <c r="J151" s="134" t="s">
        <v>142</v>
      </c>
      <c r="K151" s="134" t="s">
        <v>142</v>
      </c>
      <c r="L151" s="134" t="s">
        <v>142</v>
      </c>
      <c r="M151" s="136"/>
      <c r="N151" s="137"/>
    </row>
    <row r="152" hidden="1" outlineLevel="1">
      <c r="A152" s="579" t="s">
        <v>1949</v>
      </c>
      <c r="B152" s="115">
        <v>46127.0</v>
      </c>
      <c r="C152" s="118" t="str">
        <f t="shared" si="17"/>
        <v>Wed</v>
      </c>
      <c r="D152" s="128">
        <f t="shared" si="18"/>
        <v>1</v>
      </c>
      <c r="E152" s="131" t="s">
        <v>142</v>
      </c>
      <c r="F152" s="134" t="s">
        <v>142</v>
      </c>
      <c r="G152" s="134" t="s">
        <v>142</v>
      </c>
      <c r="H152" s="134" t="s">
        <v>142</v>
      </c>
      <c r="I152" s="134" t="s">
        <v>142</v>
      </c>
      <c r="J152" s="134" t="s">
        <v>142</v>
      </c>
      <c r="K152" s="134" t="s">
        <v>142</v>
      </c>
      <c r="L152" s="134" t="s">
        <v>142</v>
      </c>
      <c r="M152" s="136"/>
      <c r="N152" s="131"/>
    </row>
    <row r="153" hidden="1" outlineLevel="1">
      <c r="A153" s="353" t="s">
        <v>1950</v>
      </c>
      <c r="B153" s="115">
        <v>46127.0</v>
      </c>
      <c r="C153" s="118" t="str">
        <f t="shared" si="17"/>
        <v>Wed</v>
      </c>
      <c r="D153" s="143">
        <f t="shared" si="18"/>
        <v>1</v>
      </c>
      <c r="E153" s="144" t="s">
        <v>142</v>
      </c>
      <c r="F153" s="134" t="s">
        <v>142</v>
      </c>
      <c r="G153" s="134" t="s">
        <v>142</v>
      </c>
      <c r="H153" s="134" t="s">
        <v>142</v>
      </c>
      <c r="I153" s="134" t="s">
        <v>142</v>
      </c>
      <c r="J153" s="134" t="s">
        <v>142</v>
      </c>
      <c r="K153" s="134" t="s">
        <v>142</v>
      </c>
      <c r="L153" s="134" t="s">
        <v>142</v>
      </c>
      <c r="M153" s="136"/>
      <c r="N153" s="137"/>
    </row>
    <row r="154" hidden="1" outlineLevel="1">
      <c r="A154" s="113" t="s">
        <v>1952</v>
      </c>
      <c r="B154" s="115">
        <v>46130.0</v>
      </c>
      <c r="C154" s="118" t="str">
        <f t="shared" si="17"/>
        <v>Sat</v>
      </c>
      <c r="D154" s="128">
        <f t="shared" si="18"/>
        <v>1</v>
      </c>
      <c r="E154" s="131" t="s">
        <v>142</v>
      </c>
      <c r="F154" s="134" t="s">
        <v>142</v>
      </c>
      <c r="G154" s="134" t="s">
        <v>142</v>
      </c>
      <c r="H154" s="134" t="s">
        <v>142</v>
      </c>
      <c r="I154" s="134" t="s">
        <v>142</v>
      </c>
      <c r="J154" s="134" t="s">
        <v>142</v>
      </c>
      <c r="K154" s="134" t="s">
        <v>142</v>
      </c>
      <c r="L154" s="134" t="s">
        <v>142</v>
      </c>
      <c r="M154" s="136"/>
      <c r="N154" s="131"/>
    </row>
    <row r="155" hidden="1" outlineLevel="1">
      <c r="A155" s="113" t="s">
        <v>1954</v>
      </c>
      <c r="B155" s="115">
        <v>46130.0</v>
      </c>
      <c r="C155" s="118" t="str">
        <f t="shared" si="17"/>
        <v>Sat</v>
      </c>
      <c r="D155" s="143">
        <f t="shared" si="18"/>
        <v>1</v>
      </c>
      <c r="E155" s="144" t="s">
        <v>142</v>
      </c>
      <c r="F155" s="134" t="s">
        <v>142</v>
      </c>
      <c r="G155" s="134" t="s">
        <v>142</v>
      </c>
      <c r="H155" s="134" t="s">
        <v>142</v>
      </c>
      <c r="I155" s="134" t="s">
        <v>142</v>
      </c>
      <c r="J155" s="134" t="s">
        <v>142</v>
      </c>
      <c r="K155" s="134" t="s">
        <v>142</v>
      </c>
      <c r="L155" s="134" t="s">
        <v>142</v>
      </c>
      <c r="M155" s="136"/>
      <c r="N155" s="131"/>
    </row>
    <row r="156" hidden="1" outlineLevel="1">
      <c r="A156" s="113" t="s">
        <v>1955</v>
      </c>
      <c r="B156" s="115">
        <v>46130.0</v>
      </c>
      <c r="C156" s="118" t="str">
        <f t="shared" si="17"/>
        <v>Sat</v>
      </c>
      <c r="D156" s="128">
        <f t="shared" si="18"/>
        <v>1</v>
      </c>
      <c r="E156" s="131" t="s">
        <v>142</v>
      </c>
      <c r="F156" s="134" t="s">
        <v>142</v>
      </c>
      <c r="G156" s="134" t="s">
        <v>142</v>
      </c>
      <c r="H156" s="134" t="s">
        <v>142</v>
      </c>
      <c r="I156" s="134" t="s">
        <v>142</v>
      </c>
      <c r="J156" s="134" t="s">
        <v>142</v>
      </c>
      <c r="K156" s="134" t="s">
        <v>142</v>
      </c>
      <c r="L156" s="134" t="s">
        <v>142</v>
      </c>
      <c r="M156" s="136"/>
      <c r="N156" s="131"/>
    </row>
    <row r="157" hidden="1" outlineLevel="1">
      <c r="A157" s="113" t="s">
        <v>1957</v>
      </c>
      <c r="B157" s="115">
        <v>46131.0</v>
      </c>
      <c r="C157" s="118" t="str">
        <f t="shared" si="17"/>
        <v>Sun</v>
      </c>
      <c r="D157" s="143">
        <f t="shared" si="18"/>
        <v>1</v>
      </c>
      <c r="E157" s="144" t="s">
        <v>142</v>
      </c>
      <c r="F157" s="134" t="s">
        <v>142</v>
      </c>
      <c r="G157" s="134" t="s">
        <v>142</v>
      </c>
      <c r="H157" s="134" t="s">
        <v>142</v>
      </c>
      <c r="I157" s="134" t="s">
        <v>142</v>
      </c>
      <c r="J157" s="134" t="s">
        <v>142</v>
      </c>
      <c r="K157" s="134" t="s">
        <v>142</v>
      </c>
      <c r="L157" s="134" t="s">
        <v>142</v>
      </c>
      <c r="M157" s="136"/>
      <c r="N157" s="137"/>
    </row>
    <row r="158" hidden="1" outlineLevel="1">
      <c r="A158" s="113" t="s">
        <v>1959</v>
      </c>
      <c r="B158" s="115">
        <v>46131.0</v>
      </c>
      <c r="C158" s="118" t="str">
        <f t="shared" si="17"/>
        <v>Sun</v>
      </c>
      <c r="D158" s="128">
        <f t="shared" si="18"/>
        <v>1</v>
      </c>
      <c r="E158" s="131" t="s">
        <v>142</v>
      </c>
      <c r="F158" s="134" t="s">
        <v>142</v>
      </c>
      <c r="G158" s="134" t="s">
        <v>142</v>
      </c>
      <c r="H158" s="134" t="s">
        <v>142</v>
      </c>
      <c r="I158" s="134" t="s">
        <v>142</v>
      </c>
      <c r="J158" s="134" t="s">
        <v>142</v>
      </c>
      <c r="K158" s="134" t="s">
        <v>142</v>
      </c>
      <c r="L158" s="134" t="s">
        <v>142</v>
      </c>
      <c r="M158" s="136"/>
      <c r="N158" s="137"/>
    </row>
    <row r="159" ht="15.0" hidden="1" customHeight="1" outlineLevel="1">
      <c r="A159" s="113" t="s">
        <v>1960</v>
      </c>
      <c r="B159" s="115">
        <v>46131.0</v>
      </c>
      <c r="C159" s="118" t="str">
        <f t="shared" si="17"/>
        <v>Sun</v>
      </c>
      <c r="D159" s="143">
        <f t="shared" si="18"/>
        <v>1</v>
      </c>
      <c r="E159" s="144" t="s">
        <v>142</v>
      </c>
      <c r="F159" s="134" t="s">
        <v>142</v>
      </c>
      <c r="G159" s="134" t="s">
        <v>142</v>
      </c>
      <c r="H159" s="134" t="s">
        <v>142</v>
      </c>
      <c r="I159" s="134" t="s">
        <v>142</v>
      </c>
      <c r="J159" s="134" t="s">
        <v>142</v>
      </c>
      <c r="K159" s="134" t="s">
        <v>142</v>
      </c>
      <c r="L159" s="134" t="s">
        <v>142</v>
      </c>
      <c r="M159" s="136"/>
      <c r="N159" s="131"/>
    </row>
    <row r="160" hidden="1" outlineLevel="1">
      <c r="B160" s="215"/>
      <c r="C160" s="216" t="s">
        <v>199</v>
      </c>
      <c r="D160" s="217">
        <f>AVERAGE(D145:D159)</f>
        <v>1</v>
      </c>
      <c r="E160" s="472"/>
      <c r="L160" s="216" t="s">
        <v>199</v>
      </c>
      <c r="M160" s="217">
        <f>SUM(M145:M159)/75*0.1</f>
        <v>0</v>
      </c>
    </row>
    <row r="161" ht="18.0" hidden="1" customHeight="1" collapsed="1">
      <c r="A161" s="85" t="s">
        <v>1848</v>
      </c>
      <c r="B161" s="86"/>
      <c r="C161" s="86"/>
      <c r="D161" s="359"/>
      <c r="E161" s="89"/>
      <c r="F161" s="89"/>
      <c r="G161" s="91"/>
      <c r="H161" s="91"/>
      <c r="I161" s="91"/>
      <c r="J161" s="91"/>
      <c r="K161" s="91"/>
      <c r="L161" s="91"/>
      <c r="M161" s="93"/>
      <c r="N161" s="95"/>
    </row>
    <row r="162" hidden="1" outlineLevel="1">
      <c r="A162" s="96" t="s">
        <v>89</v>
      </c>
      <c r="B162" s="98" t="s">
        <v>90</v>
      </c>
      <c r="C162" s="98" t="s">
        <v>91</v>
      </c>
      <c r="D162" s="101" t="s">
        <v>93</v>
      </c>
      <c r="E162" s="102" t="s">
        <v>94</v>
      </c>
      <c r="F162" s="102" t="s">
        <v>95</v>
      </c>
      <c r="G162" s="105" t="s">
        <v>96</v>
      </c>
      <c r="H162" s="107" t="s">
        <v>97</v>
      </c>
      <c r="I162" s="107" t="s">
        <v>104</v>
      </c>
      <c r="J162" s="105" t="s">
        <v>106</v>
      </c>
      <c r="K162" s="107" t="s">
        <v>109</v>
      </c>
      <c r="L162" s="105" t="s">
        <v>111</v>
      </c>
      <c r="M162" s="98" t="s">
        <v>114</v>
      </c>
      <c r="N162" s="101" t="s">
        <v>116</v>
      </c>
    </row>
    <row r="163" hidden="1" outlineLevel="1">
      <c r="A163" s="113"/>
      <c r="B163" s="115">
        <v>46132.0</v>
      </c>
      <c r="C163" s="118" t="str">
        <f t="shared" ref="C163:C177" si="19">IF(B163="", "", TEXT(B163, "ddd"))</f>
        <v>Mon</v>
      </c>
      <c r="D163" s="143">
        <f t="shared" ref="D163:D177" si="20">IF(E163="Yes",0.05,0)
+IF(F163="Yes",0.1,0)
+IF(G163="Yes",0.15,0)
+IF(H163="Yes",0.15,0)
+IF(I163="Yes",0.05,0)
+IF(J163="Yes",0.05,0)
+IF(K163="Yes",0.15,0)
+IF(L163="Yes",0.3,0)
</f>
        <v>0</v>
      </c>
      <c r="E163" s="144"/>
      <c r="F163" s="134"/>
      <c r="G163" s="134"/>
      <c r="H163" s="134"/>
      <c r="I163" s="134"/>
      <c r="J163" s="134"/>
      <c r="K163" s="134"/>
      <c r="L163" s="134"/>
      <c r="M163" s="136"/>
      <c r="N163" s="137"/>
    </row>
    <row r="164" hidden="1" outlineLevel="1">
      <c r="A164" s="113"/>
      <c r="B164" s="115">
        <v>46132.0</v>
      </c>
      <c r="C164" s="118" t="str">
        <f t="shared" si="19"/>
        <v>Mon</v>
      </c>
      <c r="D164" s="128">
        <f t="shared" si="20"/>
        <v>0</v>
      </c>
      <c r="E164" s="131"/>
      <c r="F164" s="134"/>
      <c r="G164" s="134"/>
      <c r="H164" s="134"/>
      <c r="I164" s="134"/>
      <c r="J164" s="134"/>
      <c r="K164" s="134"/>
      <c r="L164" s="134"/>
      <c r="M164" s="136"/>
      <c r="N164" s="131"/>
    </row>
    <row r="165" hidden="1" outlineLevel="1">
      <c r="A165" s="113"/>
      <c r="B165" s="115">
        <v>46132.0</v>
      </c>
      <c r="C165" s="118" t="str">
        <f t="shared" si="19"/>
        <v>Mon</v>
      </c>
      <c r="D165" s="143">
        <f t="shared" si="20"/>
        <v>0</v>
      </c>
      <c r="E165" s="144"/>
      <c r="F165" s="134"/>
      <c r="G165" s="134"/>
      <c r="H165" s="134"/>
      <c r="I165" s="134"/>
      <c r="J165" s="134"/>
      <c r="K165" s="134"/>
      <c r="L165" s="134"/>
      <c r="M165" s="136"/>
      <c r="N165" s="131"/>
    </row>
    <row r="166" hidden="1" outlineLevel="1">
      <c r="A166" s="581" t="s">
        <v>1964</v>
      </c>
      <c r="B166" s="115">
        <v>46133.0</v>
      </c>
      <c r="C166" s="118" t="str">
        <f t="shared" si="19"/>
        <v>Tue</v>
      </c>
      <c r="D166" s="128">
        <f t="shared" si="20"/>
        <v>1</v>
      </c>
      <c r="E166" s="131" t="s">
        <v>142</v>
      </c>
      <c r="F166" s="134" t="s">
        <v>142</v>
      </c>
      <c r="G166" s="134" t="s">
        <v>142</v>
      </c>
      <c r="H166" s="134" t="s">
        <v>142</v>
      </c>
      <c r="I166" s="134" t="s">
        <v>142</v>
      </c>
      <c r="J166" s="134" t="s">
        <v>142</v>
      </c>
      <c r="K166" s="134" t="s">
        <v>142</v>
      </c>
      <c r="L166" s="134" t="s">
        <v>142</v>
      </c>
      <c r="M166" s="136"/>
      <c r="N166" s="137"/>
    </row>
    <row r="167" hidden="1" outlineLevel="1">
      <c r="A167" s="582" t="s">
        <v>1967</v>
      </c>
      <c r="B167" s="115">
        <v>46133.0</v>
      </c>
      <c r="C167" s="118" t="str">
        <f t="shared" si="19"/>
        <v>Tue</v>
      </c>
      <c r="D167" s="143">
        <f t="shared" si="20"/>
        <v>1</v>
      </c>
      <c r="E167" s="144" t="s">
        <v>142</v>
      </c>
      <c r="F167" s="134" t="s">
        <v>142</v>
      </c>
      <c r="G167" s="134" t="s">
        <v>142</v>
      </c>
      <c r="H167" s="134" t="s">
        <v>142</v>
      </c>
      <c r="I167" s="134" t="s">
        <v>142</v>
      </c>
      <c r="J167" s="134" t="s">
        <v>142</v>
      </c>
      <c r="K167" s="134" t="s">
        <v>142</v>
      </c>
      <c r="L167" s="134" t="s">
        <v>142</v>
      </c>
      <c r="M167" s="136"/>
      <c r="N167" s="137"/>
    </row>
    <row r="168" hidden="1" outlineLevel="1">
      <c r="A168" s="581" t="s">
        <v>1968</v>
      </c>
      <c r="B168" s="115">
        <v>46133.0</v>
      </c>
      <c r="C168" s="118" t="str">
        <f t="shared" si="19"/>
        <v>Tue</v>
      </c>
      <c r="D168" s="128">
        <f t="shared" si="20"/>
        <v>1</v>
      </c>
      <c r="E168" s="131" t="s">
        <v>142</v>
      </c>
      <c r="F168" s="134" t="s">
        <v>142</v>
      </c>
      <c r="G168" s="134" t="s">
        <v>142</v>
      </c>
      <c r="H168" s="134" t="s">
        <v>142</v>
      </c>
      <c r="I168" s="134" t="s">
        <v>142</v>
      </c>
      <c r="J168" s="134" t="s">
        <v>142</v>
      </c>
      <c r="K168" s="134" t="s">
        <v>142</v>
      </c>
      <c r="L168" s="134" t="s">
        <v>142</v>
      </c>
      <c r="M168" s="136"/>
      <c r="N168" s="137"/>
    </row>
    <row r="169" hidden="1" outlineLevel="1">
      <c r="A169" s="583" t="s">
        <v>1969</v>
      </c>
      <c r="B169" s="115">
        <v>46134.0</v>
      </c>
      <c r="C169" s="118" t="str">
        <f t="shared" si="19"/>
        <v>Wed</v>
      </c>
      <c r="D169" s="143">
        <f t="shared" si="20"/>
        <v>1</v>
      </c>
      <c r="E169" s="144" t="s">
        <v>142</v>
      </c>
      <c r="F169" s="134" t="s">
        <v>142</v>
      </c>
      <c r="G169" s="134" t="s">
        <v>142</v>
      </c>
      <c r="H169" s="134" t="s">
        <v>142</v>
      </c>
      <c r="I169" s="134" t="s">
        <v>142</v>
      </c>
      <c r="J169" s="134" t="s">
        <v>142</v>
      </c>
      <c r="K169" s="134" t="s">
        <v>142</v>
      </c>
      <c r="L169" s="134" t="s">
        <v>142</v>
      </c>
      <c r="M169" s="136"/>
      <c r="N169" s="137"/>
    </row>
    <row r="170" hidden="1" outlineLevel="1">
      <c r="A170" s="581" t="s">
        <v>1971</v>
      </c>
      <c r="B170" s="115">
        <v>46134.0</v>
      </c>
      <c r="C170" s="118" t="str">
        <f t="shared" si="19"/>
        <v>Wed</v>
      </c>
      <c r="D170" s="128">
        <f t="shared" si="20"/>
        <v>1</v>
      </c>
      <c r="E170" s="131" t="s">
        <v>142</v>
      </c>
      <c r="F170" s="134" t="s">
        <v>142</v>
      </c>
      <c r="G170" s="134" t="s">
        <v>142</v>
      </c>
      <c r="H170" s="134" t="s">
        <v>142</v>
      </c>
      <c r="I170" s="134" t="s">
        <v>142</v>
      </c>
      <c r="J170" s="134" t="s">
        <v>142</v>
      </c>
      <c r="K170" s="134" t="s">
        <v>142</v>
      </c>
      <c r="L170" s="134" t="s">
        <v>142</v>
      </c>
      <c r="M170" s="136"/>
      <c r="N170" s="131"/>
    </row>
    <row r="171" hidden="1" outlineLevel="1">
      <c r="A171" s="581" t="s">
        <v>1973</v>
      </c>
      <c r="B171" s="115">
        <v>46134.0</v>
      </c>
      <c r="C171" s="118" t="str">
        <f t="shared" si="19"/>
        <v>Wed</v>
      </c>
      <c r="D171" s="143">
        <f t="shared" si="20"/>
        <v>1</v>
      </c>
      <c r="E171" s="144" t="s">
        <v>142</v>
      </c>
      <c r="F171" s="134" t="s">
        <v>142</v>
      </c>
      <c r="G171" s="134" t="s">
        <v>142</v>
      </c>
      <c r="H171" s="134" t="s">
        <v>142</v>
      </c>
      <c r="I171" s="134" t="s">
        <v>142</v>
      </c>
      <c r="J171" s="134" t="s">
        <v>142</v>
      </c>
      <c r="K171" s="134" t="s">
        <v>142</v>
      </c>
      <c r="L171" s="134" t="s">
        <v>142</v>
      </c>
      <c r="M171" s="136"/>
      <c r="N171" s="137"/>
    </row>
    <row r="172" hidden="1" outlineLevel="1">
      <c r="A172" s="581" t="s">
        <v>1974</v>
      </c>
      <c r="B172" s="115">
        <v>46135.0</v>
      </c>
      <c r="C172" s="118" t="str">
        <f t="shared" si="19"/>
        <v>Thu</v>
      </c>
      <c r="D172" s="128">
        <f t="shared" si="20"/>
        <v>1</v>
      </c>
      <c r="E172" s="131" t="s">
        <v>142</v>
      </c>
      <c r="F172" s="134" t="s">
        <v>142</v>
      </c>
      <c r="G172" s="134" t="s">
        <v>142</v>
      </c>
      <c r="H172" s="134" t="s">
        <v>142</v>
      </c>
      <c r="I172" s="134" t="s">
        <v>142</v>
      </c>
      <c r="J172" s="134" t="s">
        <v>142</v>
      </c>
      <c r="K172" s="134" t="s">
        <v>142</v>
      </c>
      <c r="L172" s="134" t="s">
        <v>142</v>
      </c>
      <c r="M172" s="136"/>
      <c r="N172" s="131"/>
    </row>
    <row r="173" hidden="1" outlineLevel="1">
      <c r="A173" s="581" t="s">
        <v>1976</v>
      </c>
      <c r="B173" s="115">
        <v>46135.0</v>
      </c>
      <c r="C173" s="118" t="str">
        <f t="shared" si="19"/>
        <v>Thu</v>
      </c>
      <c r="D173" s="143">
        <f t="shared" si="20"/>
        <v>1</v>
      </c>
      <c r="E173" s="144" t="s">
        <v>142</v>
      </c>
      <c r="F173" s="134" t="s">
        <v>142</v>
      </c>
      <c r="G173" s="134" t="s">
        <v>142</v>
      </c>
      <c r="H173" s="134" t="s">
        <v>142</v>
      </c>
      <c r="I173" s="134" t="s">
        <v>142</v>
      </c>
      <c r="J173" s="134" t="s">
        <v>142</v>
      </c>
      <c r="K173" s="134" t="s">
        <v>142</v>
      </c>
      <c r="L173" s="134" t="s">
        <v>142</v>
      </c>
      <c r="M173" s="136"/>
      <c r="N173" s="131"/>
    </row>
    <row r="174" hidden="1" outlineLevel="1">
      <c r="A174" s="581" t="s">
        <v>1979</v>
      </c>
      <c r="B174" s="115">
        <v>46135.0</v>
      </c>
      <c r="C174" s="118" t="str">
        <f t="shared" si="19"/>
        <v>Thu</v>
      </c>
      <c r="D174" s="128">
        <f t="shared" si="20"/>
        <v>1</v>
      </c>
      <c r="E174" s="131" t="s">
        <v>142</v>
      </c>
      <c r="F174" s="134" t="s">
        <v>142</v>
      </c>
      <c r="G174" s="134" t="s">
        <v>142</v>
      </c>
      <c r="H174" s="134" t="s">
        <v>142</v>
      </c>
      <c r="I174" s="134" t="s">
        <v>142</v>
      </c>
      <c r="J174" s="134" t="s">
        <v>142</v>
      </c>
      <c r="K174" s="134" t="s">
        <v>142</v>
      </c>
      <c r="L174" s="134" t="s">
        <v>142</v>
      </c>
      <c r="M174" s="136"/>
      <c r="N174" s="131"/>
    </row>
    <row r="175" hidden="1" outlineLevel="1">
      <c r="A175" s="353" t="s">
        <v>1981</v>
      </c>
      <c r="B175" s="115">
        <v>46136.0</v>
      </c>
      <c r="C175" s="118" t="str">
        <f t="shared" si="19"/>
        <v>Fri</v>
      </c>
      <c r="D175" s="143">
        <f t="shared" si="20"/>
        <v>1</v>
      </c>
      <c r="E175" s="144" t="s">
        <v>142</v>
      </c>
      <c r="F175" s="134" t="s">
        <v>142</v>
      </c>
      <c r="G175" s="134" t="s">
        <v>142</v>
      </c>
      <c r="H175" s="134" t="s">
        <v>142</v>
      </c>
      <c r="I175" s="134" t="s">
        <v>142</v>
      </c>
      <c r="J175" s="134" t="s">
        <v>142</v>
      </c>
      <c r="K175" s="134" t="s">
        <v>142</v>
      </c>
      <c r="L175" s="134" t="s">
        <v>142</v>
      </c>
      <c r="M175" s="136"/>
      <c r="N175" s="137"/>
    </row>
    <row r="176" hidden="1" outlineLevel="1">
      <c r="A176" s="353" t="s">
        <v>1983</v>
      </c>
      <c r="B176" s="115">
        <v>46136.0</v>
      </c>
      <c r="C176" s="118" t="str">
        <f t="shared" si="19"/>
        <v>Fri</v>
      </c>
      <c r="D176" s="128">
        <f t="shared" si="20"/>
        <v>1</v>
      </c>
      <c r="E176" s="131" t="s">
        <v>142</v>
      </c>
      <c r="F176" s="134" t="s">
        <v>142</v>
      </c>
      <c r="G176" s="134" t="s">
        <v>142</v>
      </c>
      <c r="H176" s="134" t="s">
        <v>142</v>
      </c>
      <c r="I176" s="134" t="s">
        <v>142</v>
      </c>
      <c r="J176" s="134" t="s">
        <v>142</v>
      </c>
      <c r="K176" s="134" t="s">
        <v>142</v>
      </c>
      <c r="L176" s="134" t="s">
        <v>142</v>
      </c>
      <c r="M176" s="136"/>
      <c r="N176" s="137"/>
    </row>
    <row r="177" ht="15.0" hidden="1" customHeight="1" outlineLevel="1">
      <c r="A177" s="353" t="s">
        <v>1985</v>
      </c>
      <c r="B177" s="115">
        <v>46136.0</v>
      </c>
      <c r="C177" s="118" t="str">
        <f t="shared" si="19"/>
        <v>Fri</v>
      </c>
      <c r="D177" s="143">
        <f t="shared" si="20"/>
        <v>1</v>
      </c>
      <c r="E177" s="144" t="s">
        <v>142</v>
      </c>
      <c r="F177" s="134" t="s">
        <v>142</v>
      </c>
      <c r="G177" s="134" t="s">
        <v>142</v>
      </c>
      <c r="H177" s="134" t="s">
        <v>142</v>
      </c>
      <c r="I177" s="134" t="s">
        <v>142</v>
      </c>
      <c r="J177" s="134" t="s">
        <v>142</v>
      </c>
      <c r="K177" s="134" t="s">
        <v>142</v>
      </c>
      <c r="L177" s="134" t="s">
        <v>142</v>
      </c>
      <c r="M177" s="136"/>
      <c r="N177" s="131"/>
    </row>
    <row r="178" hidden="1" outlineLevel="1">
      <c r="B178" s="215"/>
      <c r="C178" s="216" t="s">
        <v>199</v>
      </c>
      <c r="D178" s="217">
        <f>AVERAGE(D166:D177)</f>
        <v>1</v>
      </c>
      <c r="E178" s="472"/>
      <c r="L178" s="216" t="s">
        <v>199</v>
      </c>
      <c r="M178" s="217">
        <f>SUM(M163:M177)/75*0.1</f>
        <v>0</v>
      </c>
    </row>
    <row r="179" hidden="1" collapsed="1">
      <c r="A179" s="85" t="s">
        <v>1883</v>
      </c>
      <c r="B179" s="86"/>
      <c r="C179" s="86"/>
      <c r="D179" s="359"/>
      <c r="E179" s="89"/>
      <c r="F179" s="89"/>
      <c r="G179" s="91"/>
      <c r="H179" s="91"/>
      <c r="I179" s="91"/>
      <c r="J179" s="91"/>
      <c r="K179" s="91"/>
      <c r="L179" s="91"/>
      <c r="M179" s="93"/>
      <c r="N179" s="95"/>
    </row>
    <row r="180" hidden="1" outlineLevel="1">
      <c r="A180" s="96" t="s">
        <v>89</v>
      </c>
      <c r="B180" s="98" t="s">
        <v>90</v>
      </c>
      <c r="C180" s="98" t="s">
        <v>91</v>
      </c>
      <c r="D180" s="101" t="s">
        <v>93</v>
      </c>
      <c r="E180" s="102" t="s">
        <v>94</v>
      </c>
      <c r="F180" s="102" t="s">
        <v>95</v>
      </c>
      <c r="G180" s="105" t="s">
        <v>96</v>
      </c>
      <c r="H180" s="107" t="s">
        <v>97</v>
      </c>
      <c r="I180" s="107" t="s">
        <v>104</v>
      </c>
      <c r="J180" s="105" t="s">
        <v>106</v>
      </c>
      <c r="K180" s="107" t="s">
        <v>109</v>
      </c>
      <c r="L180" s="105" t="s">
        <v>111</v>
      </c>
      <c r="M180" s="98" t="s">
        <v>114</v>
      </c>
      <c r="N180" s="101" t="s">
        <v>116</v>
      </c>
    </row>
    <row r="181" hidden="1" outlineLevel="1">
      <c r="A181" s="353" t="s">
        <v>1986</v>
      </c>
      <c r="B181" s="115">
        <v>46139.0</v>
      </c>
      <c r="C181" s="118" t="str">
        <f t="shared" ref="C181:C195" si="21">IF(B181="", "", TEXT(B181, "ddd"))</f>
        <v>Mon</v>
      </c>
      <c r="D181" s="143">
        <f t="shared" ref="D181:D195" si="22">IF(E181="Yes",0.05,0)
+IF(F181="Yes",0.1,0)
+IF(G181="Yes",0.15,0)
+IF(H181="Yes",0.15,0)
+IF(I181="Yes",0.05,0)
+IF(J181="Yes",0.05,0)
+IF(K181="Yes",0.15,0)
+IF(L181="Yes",0.3,0)
</f>
        <v>1</v>
      </c>
      <c r="E181" s="144" t="s">
        <v>142</v>
      </c>
      <c r="F181" s="134" t="s">
        <v>142</v>
      </c>
      <c r="G181" s="134" t="s">
        <v>142</v>
      </c>
      <c r="H181" s="134" t="s">
        <v>142</v>
      </c>
      <c r="I181" s="134" t="s">
        <v>142</v>
      </c>
      <c r="J181" s="134" t="s">
        <v>142</v>
      </c>
      <c r="K181" s="134" t="s">
        <v>142</v>
      </c>
      <c r="L181" s="134" t="s">
        <v>142</v>
      </c>
      <c r="M181" s="136"/>
      <c r="N181" s="137"/>
    </row>
    <row r="182" hidden="1" outlineLevel="1">
      <c r="A182" s="353" t="s">
        <v>1989</v>
      </c>
      <c r="B182" s="115">
        <v>46139.0</v>
      </c>
      <c r="C182" s="118" t="str">
        <f t="shared" si="21"/>
        <v>Mon</v>
      </c>
      <c r="D182" s="128">
        <f t="shared" si="22"/>
        <v>1</v>
      </c>
      <c r="E182" s="131" t="s">
        <v>142</v>
      </c>
      <c r="F182" s="134" t="s">
        <v>142</v>
      </c>
      <c r="G182" s="134" t="s">
        <v>142</v>
      </c>
      <c r="H182" s="134" t="s">
        <v>142</v>
      </c>
      <c r="I182" s="134" t="s">
        <v>142</v>
      </c>
      <c r="J182" s="134" t="s">
        <v>142</v>
      </c>
      <c r="K182" s="134" t="s">
        <v>142</v>
      </c>
      <c r="L182" s="134" t="s">
        <v>142</v>
      </c>
      <c r="M182" s="136"/>
      <c r="N182" s="131"/>
    </row>
    <row r="183" hidden="1" outlineLevel="1">
      <c r="A183" s="113" t="s">
        <v>1990</v>
      </c>
      <c r="B183" s="115">
        <v>46139.0</v>
      </c>
      <c r="C183" s="118" t="str">
        <f t="shared" si="21"/>
        <v>Mon</v>
      </c>
      <c r="D183" s="143">
        <f t="shared" si="22"/>
        <v>1</v>
      </c>
      <c r="E183" s="144" t="s">
        <v>142</v>
      </c>
      <c r="F183" s="134" t="s">
        <v>142</v>
      </c>
      <c r="G183" s="134" t="s">
        <v>142</v>
      </c>
      <c r="H183" s="134" t="s">
        <v>142</v>
      </c>
      <c r="I183" s="134" t="s">
        <v>142</v>
      </c>
      <c r="J183" s="134" t="s">
        <v>142</v>
      </c>
      <c r="K183" s="134" t="s">
        <v>142</v>
      </c>
      <c r="L183" s="134" t="s">
        <v>142</v>
      </c>
      <c r="M183" s="136"/>
      <c r="N183" s="131"/>
    </row>
    <row r="184" hidden="1" outlineLevel="1">
      <c r="A184" s="575" t="s">
        <v>1992</v>
      </c>
      <c r="B184" s="115">
        <v>46140.0</v>
      </c>
      <c r="C184" s="118" t="str">
        <f t="shared" si="21"/>
        <v>Tue</v>
      </c>
      <c r="D184" s="128">
        <f t="shared" si="22"/>
        <v>1</v>
      </c>
      <c r="E184" s="131" t="s">
        <v>142</v>
      </c>
      <c r="F184" s="134" t="s">
        <v>142</v>
      </c>
      <c r="G184" s="134" t="s">
        <v>142</v>
      </c>
      <c r="H184" s="134" t="s">
        <v>142</v>
      </c>
      <c r="I184" s="134" t="s">
        <v>142</v>
      </c>
      <c r="J184" s="134" t="s">
        <v>142</v>
      </c>
      <c r="K184" s="134" t="s">
        <v>142</v>
      </c>
      <c r="L184" s="134" t="s">
        <v>142</v>
      </c>
      <c r="M184" s="136"/>
      <c r="N184" s="137"/>
    </row>
    <row r="185" hidden="1" outlineLevel="1">
      <c r="A185" s="576" t="s">
        <v>1994</v>
      </c>
      <c r="B185" s="115">
        <v>46140.0</v>
      </c>
      <c r="C185" s="118" t="str">
        <f t="shared" si="21"/>
        <v>Tue</v>
      </c>
      <c r="D185" s="143">
        <f t="shared" si="22"/>
        <v>1</v>
      </c>
      <c r="E185" s="144" t="s">
        <v>142</v>
      </c>
      <c r="F185" s="134" t="s">
        <v>142</v>
      </c>
      <c r="G185" s="134" t="s">
        <v>142</v>
      </c>
      <c r="H185" s="134" t="s">
        <v>142</v>
      </c>
      <c r="I185" s="134" t="s">
        <v>142</v>
      </c>
      <c r="J185" s="134" t="s">
        <v>142</v>
      </c>
      <c r="K185" s="134" t="s">
        <v>142</v>
      </c>
      <c r="L185" s="134" t="s">
        <v>142</v>
      </c>
      <c r="M185" s="136"/>
      <c r="N185" s="137"/>
    </row>
    <row r="186" hidden="1" outlineLevel="1">
      <c r="A186" s="575" t="s">
        <v>1996</v>
      </c>
      <c r="B186" s="115">
        <v>46140.0</v>
      </c>
      <c r="C186" s="118" t="str">
        <f t="shared" si="21"/>
        <v>Tue</v>
      </c>
      <c r="D186" s="128">
        <f t="shared" si="22"/>
        <v>1</v>
      </c>
      <c r="E186" s="131" t="s">
        <v>142</v>
      </c>
      <c r="F186" s="134" t="s">
        <v>142</v>
      </c>
      <c r="G186" s="134" t="s">
        <v>142</v>
      </c>
      <c r="H186" s="134" t="s">
        <v>142</v>
      </c>
      <c r="I186" s="134" t="s">
        <v>142</v>
      </c>
      <c r="J186" s="134" t="s">
        <v>142</v>
      </c>
      <c r="K186" s="134" t="s">
        <v>142</v>
      </c>
      <c r="L186" s="134" t="s">
        <v>142</v>
      </c>
      <c r="M186" s="136"/>
      <c r="N186" s="137"/>
    </row>
    <row r="187" hidden="1" outlineLevel="1">
      <c r="A187" s="575" t="s">
        <v>1998</v>
      </c>
      <c r="B187" s="115">
        <v>46141.0</v>
      </c>
      <c r="C187" s="118" t="str">
        <f t="shared" si="21"/>
        <v>Wed</v>
      </c>
      <c r="D187" s="143">
        <f t="shared" si="22"/>
        <v>1</v>
      </c>
      <c r="E187" s="144" t="s">
        <v>142</v>
      </c>
      <c r="F187" s="134" t="s">
        <v>142</v>
      </c>
      <c r="G187" s="134" t="s">
        <v>142</v>
      </c>
      <c r="H187" s="134" t="s">
        <v>142</v>
      </c>
      <c r="I187" s="134" t="s">
        <v>142</v>
      </c>
      <c r="J187" s="134" t="s">
        <v>142</v>
      </c>
      <c r="K187" s="134" t="s">
        <v>142</v>
      </c>
      <c r="L187" s="134" t="s">
        <v>142</v>
      </c>
      <c r="M187" s="136"/>
      <c r="N187" s="137"/>
    </row>
    <row r="188" hidden="1" outlineLevel="1">
      <c r="A188" s="576" t="s">
        <v>2000</v>
      </c>
      <c r="B188" s="115">
        <v>46141.0</v>
      </c>
      <c r="C188" s="118" t="str">
        <f t="shared" si="21"/>
        <v>Wed</v>
      </c>
      <c r="D188" s="128">
        <f t="shared" si="22"/>
        <v>1</v>
      </c>
      <c r="E188" s="131" t="s">
        <v>142</v>
      </c>
      <c r="F188" s="134" t="s">
        <v>142</v>
      </c>
      <c r="G188" s="134" t="s">
        <v>142</v>
      </c>
      <c r="H188" s="134" t="s">
        <v>142</v>
      </c>
      <c r="I188" s="134" t="s">
        <v>142</v>
      </c>
      <c r="J188" s="134" t="s">
        <v>142</v>
      </c>
      <c r="K188" s="134" t="s">
        <v>142</v>
      </c>
      <c r="L188" s="134" t="s">
        <v>142</v>
      </c>
      <c r="M188" s="136"/>
      <c r="N188" s="131"/>
    </row>
    <row r="189" hidden="1" outlineLevel="1">
      <c r="A189" s="575" t="s">
        <v>2002</v>
      </c>
      <c r="B189" s="115">
        <v>46141.0</v>
      </c>
      <c r="C189" s="118" t="str">
        <f t="shared" si="21"/>
        <v>Wed</v>
      </c>
      <c r="D189" s="143">
        <f t="shared" si="22"/>
        <v>1</v>
      </c>
      <c r="E189" s="144" t="s">
        <v>142</v>
      </c>
      <c r="F189" s="134" t="s">
        <v>142</v>
      </c>
      <c r="G189" s="134" t="s">
        <v>142</v>
      </c>
      <c r="H189" s="134" t="s">
        <v>142</v>
      </c>
      <c r="I189" s="134" t="s">
        <v>142</v>
      </c>
      <c r="J189" s="134" t="s">
        <v>142</v>
      </c>
      <c r="K189" s="134" t="s">
        <v>142</v>
      </c>
      <c r="L189" s="134" t="s">
        <v>142</v>
      </c>
      <c r="M189" s="136"/>
      <c r="N189" s="137"/>
    </row>
    <row r="190" hidden="1" outlineLevel="1">
      <c r="A190" s="575" t="s">
        <v>2003</v>
      </c>
      <c r="B190" s="115">
        <v>46142.0</v>
      </c>
      <c r="C190" s="118" t="str">
        <f t="shared" si="21"/>
        <v>Thu</v>
      </c>
      <c r="D190" s="128">
        <f t="shared" si="22"/>
        <v>1</v>
      </c>
      <c r="E190" s="131" t="s">
        <v>142</v>
      </c>
      <c r="F190" s="134" t="s">
        <v>142</v>
      </c>
      <c r="G190" s="134" t="s">
        <v>142</v>
      </c>
      <c r="H190" s="134" t="s">
        <v>142</v>
      </c>
      <c r="I190" s="134" t="s">
        <v>142</v>
      </c>
      <c r="J190" s="134" t="s">
        <v>142</v>
      </c>
      <c r="K190" s="134" t="s">
        <v>142</v>
      </c>
      <c r="L190" s="134" t="s">
        <v>142</v>
      </c>
      <c r="M190" s="136"/>
      <c r="N190" s="131"/>
    </row>
    <row r="191" hidden="1" outlineLevel="1">
      <c r="A191" s="576" t="s">
        <v>2005</v>
      </c>
      <c r="B191" s="115">
        <v>46142.0</v>
      </c>
      <c r="C191" s="118" t="str">
        <f t="shared" si="21"/>
        <v>Thu</v>
      </c>
      <c r="D191" s="143">
        <f t="shared" si="22"/>
        <v>1</v>
      </c>
      <c r="E191" s="144" t="s">
        <v>142</v>
      </c>
      <c r="F191" s="134" t="s">
        <v>142</v>
      </c>
      <c r="G191" s="134" t="s">
        <v>142</v>
      </c>
      <c r="H191" s="134" t="s">
        <v>142</v>
      </c>
      <c r="I191" s="134" t="s">
        <v>142</v>
      </c>
      <c r="J191" s="134" t="s">
        <v>142</v>
      </c>
      <c r="K191" s="134" t="s">
        <v>142</v>
      </c>
      <c r="L191" s="134" t="s">
        <v>142</v>
      </c>
      <c r="M191" s="136"/>
      <c r="N191" s="131"/>
    </row>
    <row r="192" hidden="1" outlineLevel="1">
      <c r="A192" s="576" t="s">
        <v>2007</v>
      </c>
      <c r="B192" s="115">
        <v>46142.0</v>
      </c>
      <c r="C192" s="118" t="str">
        <f t="shared" si="21"/>
        <v>Thu</v>
      </c>
      <c r="D192" s="128">
        <f t="shared" si="22"/>
        <v>1</v>
      </c>
      <c r="E192" s="131" t="s">
        <v>142</v>
      </c>
      <c r="F192" s="134" t="s">
        <v>142</v>
      </c>
      <c r="G192" s="134" t="s">
        <v>142</v>
      </c>
      <c r="H192" s="134" t="s">
        <v>142</v>
      </c>
      <c r="I192" s="134" t="s">
        <v>142</v>
      </c>
      <c r="J192" s="134" t="s">
        <v>142</v>
      </c>
      <c r="K192" s="134" t="s">
        <v>142</v>
      </c>
      <c r="L192" s="134" t="s">
        <v>142</v>
      </c>
      <c r="M192" s="136"/>
      <c r="N192" s="131"/>
    </row>
    <row r="193" hidden="1" outlineLevel="1">
      <c r="A193" s="585" t="s">
        <v>2009</v>
      </c>
      <c r="B193" s="115">
        <v>46145.0</v>
      </c>
      <c r="C193" s="118" t="str">
        <f t="shared" si="21"/>
        <v>Sun</v>
      </c>
      <c r="D193" s="143">
        <f t="shared" si="22"/>
        <v>1</v>
      </c>
      <c r="E193" s="144" t="s">
        <v>142</v>
      </c>
      <c r="F193" s="134" t="s">
        <v>142</v>
      </c>
      <c r="G193" s="134" t="s">
        <v>142</v>
      </c>
      <c r="H193" s="134" t="s">
        <v>142</v>
      </c>
      <c r="I193" s="134" t="s">
        <v>142</v>
      </c>
      <c r="J193" s="134" t="s">
        <v>142</v>
      </c>
      <c r="K193" s="134" t="s">
        <v>142</v>
      </c>
      <c r="L193" s="134" t="s">
        <v>142</v>
      </c>
      <c r="M193" s="136"/>
      <c r="N193" s="137"/>
    </row>
    <row r="194" hidden="1" outlineLevel="1">
      <c r="A194" s="584" t="s">
        <v>2011</v>
      </c>
      <c r="B194" s="115">
        <v>46145.0</v>
      </c>
      <c r="C194" s="118" t="str">
        <f t="shared" si="21"/>
        <v>Sun</v>
      </c>
      <c r="D194" s="128">
        <f t="shared" si="22"/>
        <v>1</v>
      </c>
      <c r="E194" s="131" t="s">
        <v>142</v>
      </c>
      <c r="F194" s="134" t="s">
        <v>142</v>
      </c>
      <c r="G194" s="134" t="s">
        <v>142</v>
      </c>
      <c r="H194" s="134" t="s">
        <v>142</v>
      </c>
      <c r="I194" s="134" t="s">
        <v>142</v>
      </c>
      <c r="J194" s="134" t="s">
        <v>142</v>
      </c>
      <c r="K194" s="134" t="s">
        <v>142</v>
      </c>
      <c r="L194" s="134" t="s">
        <v>142</v>
      </c>
      <c r="M194" s="136"/>
      <c r="N194" s="137"/>
    </row>
    <row r="195" ht="15.0" hidden="1" customHeight="1" outlineLevel="1">
      <c r="A195" s="585" t="s">
        <v>2012</v>
      </c>
      <c r="B195" s="115">
        <v>46145.0</v>
      </c>
      <c r="C195" s="118" t="str">
        <f t="shared" si="21"/>
        <v>Sun</v>
      </c>
      <c r="D195" s="143">
        <f t="shared" si="22"/>
        <v>1</v>
      </c>
      <c r="E195" s="144" t="s">
        <v>142</v>
      </c>
      <c r="F195" s="134" t="s">
        <v>142</v>
      </c>
      <c r="G195" s="134" t="s">
        <v>142</v>
      </c>
      <c r="H195" s="134" t="s">
        <v>142</v>
      </c>
      <c r="I195" s="134" t="s">
        <v>142</v>
      </c>
      <c r="J195" s="134" t="s">
        <v>142</v>
      </c>
      <c r="K195" s="134" t="s">
        <v>142</v>
      </c>
      <c r="L195" s="134" t="s">
        <v>142</v>
      </c>
      <c r="M195" s="136"/>
      <c r="N195" s="131"/>
    </row>
    <row r="196" hidden="1" outlineLevel="1">
      <c r="B196" s="215"/>
      <c r="C196" s="216" t="s">
        <v>199</v>
      </c>
      <c r="D196" s="217">
        <f>AVERAGE(D181:D195)</f>
        <v>1</v>
      </c>
      <c r="E196" s="472"/>
      <c r="L196" s="216" t="s">
        <v>199</v>
      </c>
      <c r="M196" s="217">
        <f>SUM(M181:M195)/75*0.1</f>
        <v>0</v>
      </c>
    </row>
    <row r="197" hidden="1" collapsed="1">
      <c r="A197" s="85" t="s">
        <v>1926</v>
      </c>
      <c r="B197" s="86"/>
      <c r="C197" s="86"/>
      <c r="D197" s="359"/>
      <c r="E197" s="89"/>
      <c r="F197" s="89"/>
      <c r="G197" s="91"/>
      <c r="H197" s="91"/>
      <c r="I197" s="91"/>
      <c r="J197" s="91"/>
      <c r="K197" s="91"/>
      <c r="L197" s="91"/>
      <c r="M197" s="93"/>
      <c r="N197" s="95"/>
    </row>
    <row r="198" hidden="1" outlineLevel="1">
      <c r="A198" s="96" t="s">
        <v>89</v>
      </c>
      <c r="B198" s="98" t="s">
        <v>90</v>
      </c>
      <c r="C198" s="98" t="s">
        <v>91</v>
      </c>
      <c r="D198" s="101" t="s">
        <v>93</v>
      </c>
      <c r="E198" s="102" t="s">
        <v>94</v>
      </c>
      <c r="F198" s="102" t="s">
        <v>95</v>
      </c>
      <c r="G198" s="105" t="s">
        <v>96</v>
      </c>
      <c r="H198" s="107" t="s">
        <v>97</v>
      </c>
      <c r="I198" s="107" t="s">
        <v>104</v>
      </c>
      <c r="J198" s="105" t="s">
        <v>106</v>
      </c>
      <c r="K198" s="107" t="s">
        <v>109</v>
      </c>
      <c r="L198" s="105" t="s">
        <v>111</v>
      </c>
      <c r="M198" s="98" t="s">
        <v>114</v>
      </c>
      <c r="N198" s="101" t="s">
        <v>116</v>
      </c>
    </row>
    <row r="199" hidden="1" outlineLevel="1">
      <c r="A199" s="576" t="s">
        <v>2014</v>
      </c>
      <c r="B199" s="115">
        <v>46146.0</v>
      </c>
      <c r="C199" s="118" t="str">
        <f t="shared" ref="C199:C213" si="23">IF(B199="", "", TEXT(B199, "ddd"))</f>
        <v>Mon</v>
      </c>
      <c r="D199" s="143">
        <f t="shared" ref="D199:D213" si="24">IF(E199="Yes",0.05,0)
+IF(F199="Yes",0.1,0)
+IF(G199="Yes",0.15,0)
+IF(H199="Yes",0.15,0)
+IF(I199="Yes",0.05,0)
+IF(J199="Yes",0.05,0)
+IF(K199="Yes",0.15,0)
+IF(L199="Yes",0.3,0)
</f>
        <v>1</v>
      </c>
      <c r="E199" s="144" t="s">
        <v>142</v>
      </c>
      <c r="F199" s="134" t="s">
        <v>142</v>
      </c>
      <c r="G199" s="134" t="s">
        <v>142</v>
      </c>
      <c r="H199" s="134" t="s">
        <v>142</v>
      </c>
      <c r="I199" s="134" t="s">
        <v>142</v>
      </c>
      <c r="J199" s="134" t="s">
        <v>142</v>
      </c>
      <c r="K199" s="134" t="s">
        <v>142</v>
      </c>
      <c r="L199" s="134" t="s">
        <v>142</v>
      </c>
      <c r="M199" s="136"/>
      <c r="N199" s="137"/>
    </row>
    <row r="200" hidden="1" outlineLevel="1">
      <c r="A200" s="576" t="s">
        <v>2017</v>
      </c>
      <c r="B200" s="115">
        <v>46146.0</v>
      </c>
      <c r="C200" s="118" t="str">
        <f t="shared" si="23"/>
        <v>Mon</v>
      </c>
      <c r="D200" s="128">
        <f t="shared" si="24"/>
        <v>1</v>
      </c>
      <c r="E200" s="131" t="s">
        <v>142</v>
      </c>
      <c r="F200" s="134" t="s">
        <v>142</v>
      </c>
      <c r="G200" s="134" t="s">
        <v>142</v>
      </c>
      <c r="H200" s="134" t="s">
        <v>142</v>
      </c>
      <c r="I200" s="134" t="s">
        <v>142</v>
      </c>
      <c r="J200" s="134" t="s">
        <v>142</v>
      </c>
      <c r="K200" s="134" t="s">
        <v>142</v>
      </c>
      <c r="L200" s="134" t="s">
        <v>142</v>
      </c>
      <c r="M200" s="136"/>
      <c r="N200" s="131"/>
    </row>
    <row r="201" hidden="1" outlineLevel="1">
      <c r="A201" s="575" t="s">
        <v>2018</v>
      </c>
      <c r="B201" s="115">
        <v>46146.0</v>
      </c>
      <c r="C201" s="118" t="str">
        <f t="shared" si="23"/>
        <v>Mon</v>
      </c>
      <c r="D201" s="143">
        <f t="shared" si="24"/>
        <v>1</v>
      </c>
      <c r="E201" s="144" t="s">
        <v>142</v>
      </c>
      <c r="F201" s="134" t="s">
        <v>142</v>
      </c>
      <c r="G201" s="134" t="s">
        <v>142</v>
      </c>
      <c r="H201" s="134" t="s">
        <v>142</v>
      </c>
      <c r="I201" s="134" t="s">
        <v>142</v>
      </c>
      <c r="J201" s="134" t="s">
        <v>142</v>
      </c>
      <c r="K201" s="134" t="s">
        <v>142</v>
      </c>
      <c r="L201" s="134" t="s">
        <v>142</v>
      </c>
      <c r="M201" s="136"/>
      <c r="N201" s="131"/>
    </row>
    <row r="202" hidden="1" outlineLevel="1">
      <c r="A202" s="576" t="s">
        <v>2019</v>
      </c>
      <c r="B202" s="115">
        <v>46147.0</v>
      </c>
      <c r="C202" s="118" t="str">
        <f t="shared" si="23"/>
        <v>Tue</v>
      </c>
      <c r="D202" s="128">
        <f t="shared" si="24"/>
        <v>1</v>
      </c>
      <c r="E202" s="131" t="s">
        <v>142</v>
      </c>
      <c r="F202" s="134" t="s">
        <v>142</v>
      </c>
      <c r="G202" s="134" t="s">
        <v>142</v>
      </c>
      <c r="H202" s="134" t="s">
        <v>142</v>
      </c>
      <c r="I202" s="134" t="s">
        <v>142</v>
      </c>
      <c r="J202" s="134" t="s">
        <v>142</v>
      </c>
      <c r="K202" s="134" t="s">
        <v>142</v>
      </c>
      <c r="L202" s="134" t="s">
        <v>142</v>
      </c>
      <c r="M202" s="136"/>
      <c r="N202" s="137"/>
    </row>
    <row r="203" hidden="1" outlineLevel="1">
      <c r="A203" s="575" t="s">
        <v>2021</v>
      </c>
      <c r="B203" s="115">
        <v>46147.0</v>
      </c>
      <c r="C203" s="118" t="str">
        <f t="shared" si="23"/>
        <v>Tue</v>
      </c>
      <c r="D203" s="143">
        <f t="shared" si="24"/>
        <v>1</v>
      </c>
      <c r="E203" s="144" t="s">
        <v>142</v>
      </c>
      <c r="F203" s="134" t="s">
        <v>142</v>
      </c>
      <c r="G203" s="134" t="s">
        <v>142</v>
      </c>
      <c r="H203" s="134" t="s">
        <v>142</v>
      </c>
      <c r="I203" s="134" t="s">
        <v>142</v>
      </c>
      <c r="J203" s="134" t="s">
        <v>142</v>
      </c>
      <c r="K203" s="134" t="s">
        <v>142</v>
      </c>
      <c r="L203" s="134" t="s">
        <v>142</v>
      </c>
      <c r="M203" s="136"/>
      <c r="N203" s="137"/>
    </row>
    <row r="204" hidden="1" outlineLevel="1">
      <c r="A204" s="576" t="s">
        <v>2023</v>
      </c>
      <c r="B204" s="115">
        <v>46147.0</v>
      </c>
      <c r="C204" s="118" t="str">
        <f t="shared" si="23"/>
        <v>Tue</v>
      </c>
      <c r="D204" s="128">
        <f t="shared" si="24"/>
        <v>1</v>
      </c>
      <c r="E204" s="131" t="s">
        <v>142</v>
      </c>
      <c r="F204" s="134" t="s">
        <v>142</v>
      </c>
      <c r="G204" s="134" t="s">
        <v>142</v>
      </c>
      <c r="H204" s="134" t="s">
        <v>142</v>
      </c>
      <c r="I204" s="134" t="s">
        <v>142</v>
      </c>
      <c r="J204" s="134" t="s">
        <v>142</v>
      </c>
      <c r="K204" s="134" t="s">
        <v>142</v>
      </c>
      <c r="L204" s="134" t="s">
        <v>142</v>
      </c>
      <c r="M204" s="136"/>
      <c r="N204" s="137"/>
    </row>
    <row r="205" hidden="1" outlineLevel="1">
      <c r="A205" s="575" t="s">
        <v>2024</v>
      </c>
      <c r="B205" s="115">
        <v>46148.0</v>
      </c>
      <c r="C205" s="118" t="str">
        <f t="shared" si="23"/>
        <v>Wed</v>
      </c>
      <c r="D205" s="143">
        <f t="shared" si="24"/>
        <v>1</v>
      </c>
      <c r="E205" s="144" t="s">
        <v>142</v>
      </c>
      <c r="F205" s="134" t="s">
        <v>142</v>
      </c>
      <c r="G205" s="134" t="s">
        <v>142</v>
      </c>
      <c r="H205" s="134" t="s">
        <v>142</v>
      </c>
      <c r="I205" s="134" t="s">
        <v>142</v>
      </c>
      <c r="J205" s="134" t="s">
        <v>142</v>
      </c>
      <c r="K205" s="134" t="s">
        <v>142</v>
      </c>
      <c r="L205" s="134" t="s">
        <v>142</v>
      </c>
      <c r="M205" s="136"/>
      <c r="N205" s="137"/>
    </row>
    <row r="206" hidden="1" outlineLevel="1">
      <c r="A206" s="575" t="s">
        <v>2026</v>
      </c>
      <c r="B206" s="115">
        <v>46148.0</v>
      </c>
      <c r="C206" s="118" t="str">
        <f t="shared" si="23"/>
        <v>Wed</v>
      </c>
      <c r="D206" s="128">
        <f t="shared" si="24"/>
        <v>1</v>
      </c>
      <c r="E206" s="131" t="s">
        <v>142</v>
      </c>
      <c r="F206" s="134" t="s">
        <v>142</v>
      </c>
      <c r="G206" s="134" t="s">
        <v>142</v>
      </c>
      <c r="H206" s="134" t="s">
        <v>142</v>
      </c>
      <c r="I206" s="134" t="s">
        <v>142</v>
      </c>
      <c r="J206" s="134" t="s">
        <v>142</v>
      </c>
      <c r="K206" s="134" t="s">
        <v>142</v>
      </c>
      <c r="L206" s="134" t="s">
        <v>142</v>
      </c>
      <c r="M206" s="136"/>
      <c r="N206" s="131"/>
    </row>
    <row r="207" hidden="1" outlineLevel="1">
      <c r="A207" s="576" t="s">
        <v>2028</v>
      </c>
      <c r="B207" s="115">
        <v>46148.0</v>
      </c>
      <c r="C207" s="118" t="str">
        <f t="shared" si="23"/>
        <v>Wed</v>
      </c>
      <c r="D207" s="143">
        <f t="shared" si="24"/>
        <v>1</v>
      </c>
      <c r="E207" s="144" t="s">
        <v>142</v>
      </c>
      <c r="F207" s="134" t="s">
        <v>142</v>
      </c>
      <c r="G207" s="134" t="s">
        <v>142</v>
      </c>
      <c r="H207" s="134" t="s">
        <v>142</v>
      </c>
      <c r="I207" s="134" t="s">
        <v>142</v>
      </c>
      <c r="J207" s="134" t="s">
        <v>142</v>
      </c>
      <c r="K207" s="134" t="s">
        <v>142</v>
      </c>
      <c r="L207" s="134" t="s">
        <v>142</v>
      </c>
      <c r="M207" s="136"/>
      <c r="N207" s="137"/>
    </row>
    <row r="208" hidden="1" outlineLevel="1">
      <c r="A208" s="575" t="s">
        <v>2030</v>
      </c>
      <c r="B208" s="115">
        <v>46149.0</v>
      </c>
      <c r="C208" s="118" t="str">
        <f t="shared" si="23"/>
        <v>Thu</v>
      </c>
      <c r="D208" s="128">
        <f t="shared" si="24"/>
        <v>1</v>
      </c>
      <c r="E208" s="131" t="s">
        <v>142</v>
      </c>
      <c r="F208" s="134" t="s">
        <v>142</v>
      </c>
      <c r="G208" s="134" t="s">
        <v>142</v>
      </c>
      <c r="H208" s="134" t="s">
        <v>142</v>
      </c>
      <c r="I208" s="134" t="s">
        <v>142</v>
      </c>
      <c r="J208" s="134" t="s">
        <v>142</v>
      </c>
      <c r="K208" s="134" t="s">
        <v>142</v>
      </c>
      <c r="L208" s="134" t="s">
        <v>142</v>
      </c>
      <c r="M208" s="136"/>
      <c r="N208" s="131"/>
    </row>
    <row r="209" hidden="1" outlineLevel="1">
      <c r="A209" s="575" t="s">
        <v>2032</v>
      </c>
      <c r="B209" s="115">
        <v>46149.0</v>
      </c>
      <c r="C209" s="118" t="str">
        <f t="shared" si="23"/>
        <v>Thu</v>
      </c>
      <c r="D209" s="143">
        <f t="shared" si="24"/>
        <v>1</v>
      </c>
      <c r="E209" s="144" t="s">
        <v>142</v>
      </c>
      <c r="F209" s="134" t="s">
        <v>142</v>
      </c>
      <c r="G209" s="134" t="s">
        <v>142</v>
      </c>
      <c r="H209" s="134" t="s">
        <v>142</v>
      </c>
      <c r="I209" s="134" t="s">
        <v>142</v>
      </c>
      <c r="J209" s="134" t="s">
        <v>142</v>
      </c>
      <c r="K209" s="134" t="s">
        <v>142</v>
      </c>
      <c r="L209" s="134" t="s">
        <v>142</v>
      </c>
      <c r="M209" s="136"/>
      <c r="N209" s="131"/>
    </row>
    <row r="210" hidden="1" outlineLevel="1">
      <c r="A210" s="576" t="s">
        <v>2033</v>
      </c>
      <c r="B210" s="115">
        <v>46149.0</v>
      </c>
      <c r="C210" s="118" t="str">
        <f t="shared" si="23"/>
        <v>Thu</v>
      </c>
      <c r="D210" s="128">
        <f t="shared" si="24"/>
        <v>1</v>
      </c>
      <c r="E210" s="131" t="s">
        <v>142</v>
      </c>
      <c r="F210" s="134" t="s">
        <v>142</v>
      </c>
      <c r="G210" s="134" t="s">
        <v>142</v>
      </c>
      <c r="H210" s="134" t="s">
        <v>142</v>
      </c>
      <c r="I210" s="134" t="s">
        <v>142</v>
      </c>
      <c r="J210" s="134" t="s">
        <v>142</v>
      </c>
      <c r="K210" s="134" t="s">
        <v>142</v>
      </c>
      <c r="L210" s="134" t="s">
        <v>142</v>
      </c>
      <c r="M210" s="136"/>
      <c r="N210" s="131"/>
    </row>
    <row r="211" hidden="1" outlineLevel="1">
      <c r="A211" s="576" t="s">
        <v>2035</v>
      </c>
      <c r="B211" s="115">
        <v>46150.0</v>
      </c>
      <c r="C211" s="118" t="str">
        <f t="shared" si="23"/>
        <v>Fri</v>
      </c>
      <c r="D211" s="143">
        <f t="shared" si="24"/>
        <v>1</v>
      </c>
      <c r="E211" s="144" t="s">
        <v>142</v>
      </c>
      <c r="F211" s="134" t="s">
        <v>142</v>
      </c>
      <c r="G211" s="134" t="s">
        <v>142</v>
      </c>
      <c r="H211" s="134" t="s">
        <v>142</v>
      </c>
      <c r="I211" s="134" t="s">
        <v>142</v>
      </c>
      <c r="J211" s="134" t="s">
        <v>142</v>
      </c>
      <c r="K211" s="134" t="s">
        <v>142</v>
      </c>
      <c r="L211" s="134" t="s">
        <v>142</v>
      </c>
      <c r="M211" s="136"/>
      <c r="N211" s="137"/>
    </row>
    <row r="212" hidden="1" outlineLevel="1">
      <c r="A212" s="575" t="s">
        <v>2037</v>
      </c>
      <c r="B212" s="115">
        <v>46150.0</v>
      </c>
      <c r="C212" s="118" t="str">
        <f t="shared" si="23"/>
        <v>Fri</v>
      </c>
      <c r="D212" s="128">
        <f t="shared" si="24"/>
        <v>1</v>
      </c>
      <c r="E212" s="131" t="s">
        <v>142</v>
      </c>
      <c r="F212" s="134" t="s">
        <v>142</v>
      </c>
      <c r="G212" s="134" t="s">
        <v>142</v>
      </c>
      <c r="H212" s="134" t="s">
        <v>142</v>
      </c>
      <c r="I212" s="134" t="s">
        <v>142</v>
      </c>
      <c r="J212" s="134" t="s">
        <v>142</v>
      </c>
      <c r="K212" s="134" t="s">
        <v>142</v>
      </c>
      <c r="L212" s="134" t="s">
        <v>142</v>
      </c>
      <c r="M212" s="136"/>
      <c r="N212" s="137"/>
    </row>
    <row r="213" ht="15.0" hidden="1" customHeight="1" outlineLevel="1">
      <c r="A213" s="575" t="s">
        <v>2039</v>
      </c>
      <c r="B213" s="115">
        <v>46150.0</v>
      </c>
      <c r="C213" s="118" t="str">
        <f t="shared" si="23"/>
        <v>Fri</v>
      </c>
      <c r="D213" s="143">
        <f t="shared" si="24"/>
        <v>1</v>
      </c>
      <c r="E213" s="144" t="s">
        <v>142</v>
      </c>
      <c r="F213" s="134" t="s">
        <v>142</v>
      </c>
      <c r="G213" s="134" t="s">
        <v>142</v>
      </c>
      <c r="H213" s="134" t="s">
        <v>142</v>
      </c>
      <c r="I213" s="134" t="s">
        <v>142</v>
      </c>
      <c r="J213" s="134" t="s">
        <v>142</v>
      </c>
      <c r="K213" s="134" t="s">
        <v>142</v>
      </c>
      <c r="L213" s="134" t="s">
        <v>142</v>
      </c>
      <c r="M213" s="136"/>
      <c r="N213" s="131"/>
    </row>
    <row r="214" hidden="1" outlineLevel="1">
      <c r="B214" s="215"/>
      <c r="C214" s="216" t="s">
        <v>199</v>
      </c>
      <c r="D214" s="217">
        <f>AVERAGE(D199:D213)</f>
        <v>1</v>
      </c>
      <c r="E214" s="472"/>
      <c r="L214" s="216" t="s">
        <v>199</v>
      </c>
      <c r="M214" s="217">
        <f>SUM(M199:M213)/75*0.1</f>
        <v>0</v>
      </c>
    </row>
    <row r="215" hidden="1" collapsed="1">
      <c r="A215" s="85" t="s">
        <v>1961</v>
      </c>
      <c r="B215" s="86"/>
      <c r="C215" s="86"/>
      <c r="D215" s="359"/>
      <c r="E215" s="89"/>
      <c r="F215" s="89"/>
      <c r="G215" s="91"/>
      <c r="H215" s="91"/>
      <c r="I215" s="91"/>
      <c r="J215" s="91"/>
      <c r="K215" s="91"/>
      <c r="L215" s="91"/>
      <c r="M215" s="93"/>
      <c r="N215" s="95"/>
    </row>
    <row r="216" hidden="1" outlineLevel="1">
      <c r="A216" s="96" t="s">
        <v>89</v>
      </c>
      <c r="B216" s="98" t="s">
        <v>90</v>
      </c>
      <c r="C216" s="98" t="s">
        <v>91</v>
      </c>
      <c r="D216" s="101" t="s">
        <v>93</v>
      </c>
      <c r="E216" s="102" t="s">
        <v>94</v>
      </c>
      <c r="F216" s="102" t="s">
        <v>95</v>
      </c>
      <c r="G216" s="105" t="s">
        <v>96</v>
      </c>
      <c r="H216" s="107" t="s">
        <v>97</v>
      </c>
      <c r="I216" s="107" t="s">
        <v>104</v>
      </c>
      <c r="J216" s="105" t="s">
        <v>106</v>
      </c>
      <c r="K216" s="107" t="s">
        <v>109</v>
      </c>
      <c r="L216" s="105" t="s">
        <v>111</v>
      </c>
      <c r="M216" s="98" t="s">
        <v>114</v>
      </c>
      <c r="N216" s="101" t="s">
        <v>116</v>
      </c>
    </row>
    <row r="217" hidden="1" outlineLevel="1">
      <c r="A217" s="576" t="s">
        <v>2043</v>
      </c>
      <c r="B217" s="115">
        <v>46153.0</v>
      </c>
      <c r="C217" s="118" t="str">
        <f t="shared" ref="C217:C231" si="25">IF(B217="", "", TEXT(B217, "ddd"))</f>
        <v>Mon</v>
      </c>
      <c r="D217" s="143">
        <f t="shared" ref="D217:D231" si="26">IF(E217="Yes",0.05,0)
+IF(F217="Yes",0.1,0)
+IF(G217="Yes",0.15,0)
+IF(H217="Yes",0.15,0)
+IF(I217="Yes",0.05,0)
+IF(J217="Yes",0.05,0)
+IF(K217="Yes",0.15,0)
+IF(L217="Yes",0.3,0)
</f>
        <v>1</v>
      </c>
      <c r="E217" s="144" t="s">
        <v>142</v>
      </c>
      <c r="F217" s="134" t="s">
        <v>142</v>
      </c>
      <c r="G217" s="134" t="s">
        <v>142</v>
      </c>
      <c r="H217" s="134" t="s">
        <v>142</v>
      </c>
      <c r="I217" s="134" t="s">
        <v>142</v>
      </c>
      <c r="J217" s="134" t="s">
        <v>142</v>
      </c>
      <c r="K217" s="134" t="s">
        <v>142</v>
      </c>
      <c r="L217" s="134" t="s">
        <v>142</v>
      </c>
      <c r="M217" s="136"/>
      <c r="N217" s="137"/>
    </row>
    <row r="218" hidden="1" outlineLevel="1">
      <c r="A218" s="576" t="s">
        <v>2046</v>
      </c>
      <c r="B218" s="115">
        <v>46153.0</v>
      </c>
      <c r="C218" s="118" t="str">
        <f t="shared" si="25"/>
        <v>Mon</v>
      </c>
      <c r="D218" s="128">
        <f t="shared" si="26"/>
        <v>1</v>
      </c>
      <c r="E218" s="131" t="s">
        <v>142</v>
      </c>
      <c r="F218" s="134" t="s">
        <v>142</v>
      </c>
      <c r="G218" s="134" t="s">
        <v>142</v>
      </c>
      <c r="H218" s="134" t="s">
        <v>142</v>
      </c>
      <c r="I218" s="134" t="s">
        <v>142</v>
      </c>
      <c r="J218" s="134" t="s">
        <v>142</v>
      </c>
      <c r="K218" s="134" t="s">
        <v>142</v>
      </c>
      <c r="L218" s="134" t="s">
        <v>142</v>
      </c>
      <c r="M218" s="136"/>
      <c r="N218" s="131"/>
    </row>
    <row r="219" hidden="1" outlineLevel="1">
      <c r="A219" s="575" t="s">
        <v>2048</v>
      </c>
      <c r="B219" s="115">
        <v>46153.0</v>
      </c>
      <c r="C219" s="118" t="str">
        <f t="shared" si="25"/>
        <v>Mon</v>
      </c>
      <c r="D219" s="143">
        <f t="shared" si="26"/>
        <v>1</v>
      </c>
      <c r="E219" s="144" t="s">
        <v>142</v>
      </c>
      <c r="F219" s="134" t="s">
        <v>142</v>
      </c>
      <c r="G219" s="134" t="s">
        <v>142</v>
      </c>
      <c r="H219" s="134" t="s">
        <v>142</v>
      </c>
      <c r="I219" s="134" t="s">
        <v>142</v>
      </c>
      <c r="J219" s="134" t="s">
        <v>142</v>
      </c>
      <c r="K219" s="134" t="s">
        <v>142</v>
      </c>
      <c r="L219" s="134" t="s">
        <v>142</v>
      </c>
      <c r="M219" s="136"/>
      <c r="N219" s="131"/>
    </row>
    <row r="220" hidden="1" outlineLevel="1">
      <c r="A220" s="575" t="s">
        <v>2049</v>
      </c>
      <c r="B220" s="115">
        <v>46154.0</v>
      </c>
      <c r="C220" s="118" t="str">
        <f t="shared" si="25"/>
        <v>Tue</v>
      </c>
      <c r="D220" s="128">
        <f t="shared" si="26"/>
        <v>1</v>
      </c>
      <c r="E220" s="131" t="s">
        <v>142</v>
      </c>
      <c r="F220" s="134" t="s">
        <v>142</v>
      </c>
      <c r="G220" s="134" t="s">
        <v>142</v>
      </c>
      <c r="H220" s="134" t="s">
        <v>142</v>
      </c>
      <c r="I220" s="134" t="s">
        <v>142</v>
      </c>
      <c r="J220" s="134" t="s">
        <v>142</v>
      </c>
      <c r="K220" s="134" t="s">
        <v>142</v>
      </c>
      <c r="L220" s="134" t="s">
        <v>142</v>
      </c>
      <c r="M220" s="136"/>
      <c r="N220" s="137"/>
    </row>
    <row r="221" hidden="1" outlineLevel="1">
      <c r="A221" s="575" t="s">
        <v>2050</v>
      </c>
      <c r="B221" s="115">
        <v>46154.0</v>
      </c>
      <c r="C221" s="118" t="str">
        <f t="shared" si="25"/>
        <v>Tue</v>
      </c>
      <c r="D221" s="143">
        <f t="shared" si="26"/>
        <v>1</v>
      </c>
      <c r="E221" s="144" t="s">
        <v>142</v>
      </c>
      <c r="F221" s="134" t="s">
        <v>142</v>
      </c>
      <c r="G221" s="134" t="s">
        <v>142</v>
      </c>
      <c r="H221" s="134" t="s">
        <v>142</v>
      </c>
      <c r="I221" s="134" t="s">
        <v>142</v>
      </c>
      <c r="J221" s="134" t="s">
        <v>142</v>
      </c>
      <c r="K221" s="134" t="s">
        <v>142</v>
      </c>
      <c r="L221" s="134" t="s">
        <v>142</v>
      </c>
      <c r="M221" s="136"/>
      <c r="N221" s="137"/>
    </row>
    <row r="222" hidden="1" outlineLevel="1">
      <c r="A222" s="576" t="s">
        <v>2051</v>
      </c>
      <c r="B222" s="115">
        <v>46154.0</v>
      </c>
      <c r="C222" s="118" t="str">
        <f t="shared" si="25"/>
        <v>Tue</v>
      </c>
      <c r="D222" s="128">
        <f t="shared" si="26"/>
        <v>1</v>
      </c>
      <c r="E222" s="131" t="s">
        <v>142</v>
      </c>
      <c r="F222" s="134" t="s">
        <v>142</v>
      </c>
      <c r="G222" s="134" t="s">
        <v>142</v>
      </c>
      <c r="H222" s="134" t="s">
        <v>142</v>
      </c>
      <c r="I222" s="134" t="s">
        <v>142</v>
      </c>
      <c r="J222" s="134" t="s">
        <v>142</v>
      </c>
      <c r="K222" s="134" t="s">
        <v>142</v>
      </c>
      <c r="L222" s="134" t="s">
        <v>142</v>
      </c>
      <c r="M222" s="136"/>
      <c r="N222" s="137"/>
    </row>
    <row r="223" hidden="1" outlineLevel="1">
      <c r="A223" s="576" t="s">
        <v>2052</v>
      </c>
      <c r="B223" s="115">
        <v>46155.0</v>
      </c>
      <c r="C223" s="118" t="str">
        <f t="shared" si="25"/>
        <v>Wed</v>
      </c>
      <c r="D223" s="143">
        <f t="shared" si="26"/>
        <v>1</v>
      </c>
      <c r="E223" s="144" t="s">
        <v>142</v>
      </c>
      <c r="F223" s="134" t="s">
        <v>142</v>
      </c>
      <c r="G223" s="134" t="s">
        <v>142</v>
      </c>
      <c r="H223" s="134" t="s">
        <v>142</v>
      </c>
      <c r="I223" s="134" t="s">
        <v>142</v>
      </c>
      <c r="J223" s="134" t="s">
        <v>142</v>
      </c>
      <c r="K223" s="134" t="s">
        <v>142</v>
      </c>
      <c r="L223" s="134" t="s">
        <v>142</v>
      </c>
      <c r="M223" s="136"/>
      <c r="N223" s="137"/>
    </row>
    <row r="224" hidden="1" outlineLevel="1">
      <c r="A224" s="576" t="s">
        <v>2054</v>
      </c>
      <c r="B224" s="115">
        <v>46155.0</v>
      </c>
      <c r="C224" s="118" t="str">
        <f t="shared" si="25"/>
        <v>Wed</v>
      </c>
      <c r="D224" s="128">
        <f t="shared" si="26"/>
        <v>1</v>
      </c>
      <c r="E224" s="131" t="s">
        <v>142</v>
      </c>
      <c r="F224" s="134" t="s">
        <v>142</v>
      </c>
      <c r="G224" s="134" t="s">
        <v>142</v>
      </c>
      <c r="H224" s="134" t="s">
        <v>142</v>
      </c>
      <c r="I224" s="134" t="s">
        <v>142</v>
      </c>
      <c r="J224" s="134" t="s">
        <v>142</v>
      </c>
      <c r="K224" s="134" t="s">
        <v>142</v>
      </c>
      <c r="L224" s="134" t="s">
        <v>142</v>
      </c>
      <c r="M224" s="136"/>
      <c r="N224" s="131"/>
    </row>
    <row r="225" hidden="1" outlineLevel="1">
      <c r="A225" s="576" t="s">
        <v>2055</v>
      </c>
      <c r="B225" s="115">
        <v>46155.0</v>
      </c>
      <c r="C225" s="118" t="str">
        <f t="shared" si="25"/>
        <v>Wed</v>
      </c>
      <c r="D225" s="143">
        <f t="shared" si="26"/>
        <v>1</v>
      </c>
      <c r="E225" s="144" t="s">
        <v>142</v>
      </c>
      <c r="F225" s="134" t="s">
        <v>142</v>
      </c>
      <c r="G225" s="134" t="s">
        <v>142</v>
      </c>
      <c r="H225" s="134" t="s">
        <v>142</v>
      </c>
      <c r="I225" s="134" t="s">
        <v>142</v>
      </c>
      <c r="J225" s="134" t="s">
        <v>142</v>
      </c>
      <c r="K225" s="134" t="s">
        <v>142</v>
      </c>
      <c r="L225" s="134" t="s">
        <v>142</v>
      </c>
      <c r="M225" s="136"/>
      <c r="N225" s="137"/>
    </row>
    <row r="226" hidden="1" outlineLevel="1">
      <c r="A226" s="576" t="s">
        <v>2056</v>
      </c>
      <c r="B226" s="115">
        <v>46156.0</v>
      </c>
      <c r="C226" s="118" t="str">
        <f t="shared" si="25"/>
        <v>Thu</v>
      </c>
      <c r="D226" s="128">
        <f t="shared" si="26"/>
        <v>1</v>
      </c>
      <c r="E226" s="131" t="s">
        <v>142</v>
      </c>
      <c r="F226" s="134" t="s">
        <v>142</v>
      </c>
      <c r="G226" s="134" t="s">
        <v>142</v>
      </c>
      <c r="H226" s="134" t="s">
        <v>142</v>
      </c>
      <c r="I226" s="134" t="s">
        <v>142</v>
      </c>
      <c r="J226" s="134" t="s">
        <v>142</v>
      </c>
      <c r="K226" s="134" t="s">
        <v>142</v>
      </c>
      <c r="L226" s="134" t="s">
        <v>142</v>
      </c>
      <c r="M226" s="136"/>
      <c r="N226" s="131"/>
    </row>
    <row r="227" hidden="1" outlineLevel="1">
      <c r="A227" s="575" t="s">
        <v>2058</v>
      </c>
      <c r="B227" s="115">
        <v>46156.0</v>
      </c>
      <c r="C227" s="118" t="str">
        <f t="shared" si="25"/>
        <v>Thu</v>
      </c>
      <c r="D227" s="143">
        <f t="shared" si="26"/>
        <v>1</v>
      </c>
      <c r="E227" s="144" t="s">
        <v>142</v>
      </c>
      <c r="F227" s="134" t="s">
        <v>142</v>
      </c>
      <c r="G227" s="134" t="s">
        <v>142</v>
      </c>
      <c r="H227" s="134" t="s">
        <v>142</v>
      </c>
      <c r="I227" s="134" t="s">
        <v>142</v>
      </c>
      <c r="J227" s="134" t="s">
        <v>142</v>
      </c>
      <c r="K227" s="134" t="s">
        <v>142</v>
      </c>
      <c r="L227" s="134" t="s">
        <v>142</v>
      </c>
      <c r="M227" s="136"/>
      <c r="N227" s="131"/>
    </row>
    <row r="228" hidden="1" outlineLevel="1">
      <c r="A228" s="576" t="s">
        <v>2059</v>
      </c>
      <c r="B228" s="115">
        <v>46156.0</v>
      </c>
      <c r="C228" s="118" t="str">
        <f t="shared" si="25"/>
        <v>Thu</v>
      </c>
      <c r="D228" s="128">
        <f t="shared" si="26"/>
        <v>1</v>
      </c>
      <c r="E228" s="131" t="s">
        <v>142</v>
      </c>
      <c r="F228" s="134" t="s">
        <v>142</v>
      </c>
      <c r="G228" s="134" t="s">
        <v>142</v>
      </c>
      <c r="H228" s="134" t="s">
        <v>142</v>
      </c>
      <c r="I228" s="134" t="s">
        <v>142</v>
      </c>
      <c r="J228" s="134" t="s">
        <v>142</v>
      </c>
      <c r="K228" s="134" t="s">
        <v>142</v>
      </c>
      <c r="L228" s="134" t="s">
        <v>142</v>
      </c>
      <c r="M228" s="136"/>
      <c r="N228" s="131"/>
    </row>
    <row r="229" hidden="1" outlineLevel="1">
      <c r="A229" s="575" t="s">
        <v>2062</v>
      </c>
      <c r="B229" s="115">
        <v>46157.0</v>
      </c>
      <c r="C229" s="118" t="str">
        <f t="shared" si="25"/>
        <v>Fri</v>
      </c>
      <c r="D229" s="143">
        <f t="shared" si="26"/>
        <v>1</v>
      </c>
      <c r="E229" s="144" t="s">
        <v>142</v>
      </c>
      <c r="F229" s="134" t="s">
        <v>142</v>
      </c>
      <c r="G229" s="134" t="s">
        <v>142</v>
      </c>
      <c r="H229" s="134" t="s">
        <v>142</v>
      </c>
      <c r="I229" s="134" t="s">
        <v>142</v>
      </c>
      <c r="J229" s="134" t="s">
        <v>142</v>
      </c>
      <c r="K229" s="134" t="s">
        <v>142</v>
      </c>
      <c r="L229" s="134" t="s">
        <v>142</v>
      </c>
      <c r="M229" s="136"/>
      <c r="N229" s="137"/>
    </row>
    <row r="230" hidden="1" outlineLevel="1">
      <c r="A230" s="575" t="s">
        <v>2064</v>
      </c>
      <c r="B230" s="115">
        <v>46157.0</v>
      </c>
      <c r="C230" s="118" t="str">
        <f t="shared" si="25"/>
        <v>Fri</v>
      </c>
      <c r="D230" s="128">
        <f t="shared" si="26"/>
        <v>1</v>
      </c>
      <c r="E230" s="131" t="s">
        <v>142</v>
      </c>
      <c r="F230" s="134" t="s">
        <v>142</v>
      </c>
      <c r="G230" s="134" t="s">
        <v>142</v>
      </c>
      <c r="H230" s="134" t="s">
        <v>142</v>
      </c>
      <c r="I230" s="134" t="s">
        <v>142</v>
      </c>
      <c r="J230" s="134" t="s">
        <v>142</v>
      </c>
      <c r="K230" s="134" t="s">
        <v>142</v>
      </c>
      <c r="L230" s="134" t="s">
        <v>142</v>
      </c>
      <c r="M230" s="136"/>
      <c r="N230" s="137"/>
    </row>
    <row r="231" ht="15.0" hidden="1" customHeight="1" outlineLevel="1">
      <c r="A231" s="576" t="s">
        <v>2066</v>
      </c>
      <c r="B231" s="115">
        <v>46157.0</v>
      </c>
      <c r="C231" s="118" t="str">
        <f t="shared" si="25"/>
        <v>Fri</v>
      </c>
      <c r="D231" s="143">
        <f t="shared" si="26"/>
        <v>1</v>
      </c>
      <c r="E231" s="144" t="s">
        <v>142</v>
      </c>
      <c r="F231" s="134" t="s">
        <v>142</v>
      </c>
      <c r="G231" s="134" t="s">
        <v>142</v>
      </c>
      <c r="H231" s="134" t="s">
        <v>142</v>
      </c>
      <c r="I231" s="134" t="s">
        <v>142</v>
      </c>
      <c r="J231" s="134" t="s">
        <v>142</v>
      </c>
      <c r="K231" s="134" t="s">
        <v>142</v>
      </c>
      <c r="L231" s="134" t="s">
        <v>142</v>
      </c>
      <c r="M231" s="136"/>
      <c r="N231" s="131"/>
    </row>
    <row r="232" hidden="1" outlineLevel="1">
      <c r="B232" s="215"/>
      <c r="C232" s="216" t="s">
        <v>199</v>
      </c>
      <c r="D232" s="217">
        <f>AVERAGE(D217:D231)</f>
        <v>1</v>
      </c>
      <c r="E232" s="472"/>
      <c r="L232" s="216" t="s">
        <v>199</v>
      </c>
      <c r="M232" s="217">
        <f>SUM(M217:M231)/75*0.1</f>
        <v>0</v>
      </c>
    </row>
    <row r="233" hidden="1" collapsed="1">
      <c r="A233" s="85" t="s">
        <v>1987</v>
      </c>
      <c r="B233" s="86"/>
      <c r="C233" s="86"/>
      <c r="D233" s="359"/>
      <c r="E233" s="89"/>
      <c r="F233" s="89"/>
      <c r="G233" s="91"/>
      <c r="H233" s="91"/>
      <c r="I233" s="91"/>
      <c r="J233" s="91"/>
      <c r="K233" s="91"/>
      <c r="L233" s="91"/>
      <c r="M233" s="93"/>
      <c r="N233" s="95"/>
    </row>
    <row r="234" hidden="1" outlineLevel="1">
      <c r="A234" s="96" t="s">
        <v>89</v>
      </c>
      <c r="B234" s="98" t="s">
        <v>90</v>
      </c>
      <c r="C234" s="98" t="s">
        <v>91</v>
      </c>
      <c r="D234" s="101" t="s">
        <v>93</v>
      </c>
      <c r="E234" s="102" t="s">
        <v>94</v>
      </c>
      <c r="F234" s="102" t="s">
        <v>95</v>
      </c>
      <c r="G234" s="105" t="s">
        <v>96</v>
      </c>
      <c r="H234" s="107" t="s">
        <v>97</v>
      </c>
      <c r="I234" s="107" t="s">
        <v>104</v>
      </c>
      <c r="J234" s="105" t="s">
        <v>106</v>
      </c>
      <c r="K234" s="107" t="s">
        <v>109</v>
      </c>
      <c r="L234" s="105" t="s">
        <v>111</v>
      </c>
      <c r="M234" s="98" t="s">
        <v>114</v>
      </c>
      <c r="N234" s="101" t="s">
        <v>116</v>
      </c>
    </row>
    <row r="235" hidden="1" outlineLevel="1">
      <c r="A235" s="584" t="s">
        <v>2069</v>
      </c>
      <c r="B235" s="115">
        <v>46161.0</v>
      </c>
      <c r="C235" s="118" t="str">
        <f t="shared" ref="C235:C249" si="27">IF(B235="", "", TEXT(B235, "ddd"))</f>
        <v>Tue</v>
      </c>
      <c r="D235" s="143">
        <f t="shared" ref="D235:D249" si="28">IF(E235="Yes",0.05,0)
+IF(F235="Yes",0.1,0)
+IF(G235="Yes",0.15,0)
+IF(H235="Yes",0.15,0)
+IF(I235="Yes",0.05,0)
+IF(J235="Yes",0.05,0)
+IF(K235="Yes",0.15,0)
+IF(L235="Yes",0.3,0)
</f>
        <v>1</v>
      </c>
      <c r="E235" s="144" t="s">
        <v>142</v>
      </c>
      <c r="F235" s="134" t="s">
        <v>142</v>
      </c>
      <c r="G235" s="134" t="s">
        <v>142</v>
      </c>
      <c r="H235" s="134" t="s">
        <v>142</v>
      </c>
      <c r="I235" s="134" t="s">
        <v>142</v>
      </c>
      <c r="J235" s="134" t="s">
        <v>142</v>
      </c>
      <c r="K235" s="134" t="s">
        <v>142</v>
      </c>
      <c r="L235" s="134" t="s">
        <v>142</v>
      </c>
      <c r="M235" s="136"/>
      <c r="N235" s="137"/>
    </row>
    <row r="236" hidden="1" outlineLevel="1">
      <c r="A236" s="585" t="s">
        <v>2073</v>
      </c>
      <c r="B236" s="115">
        <v>46161.0</v>
      </c>
      <c r="C236" s="118" t="str">
        <f t="shared" si="27"/>
        <v>Tue</v>
      </c>
      <c r="D236" s="128">
        <f t="shared" si="28"/>
        <v>1</v>
      </c>
      <c r="E236" s="131" t="s">
        <v>142</v>
      </c>
      <c r="F236" s="134" t="s">
        <v>142</v>
      </c>
      <c r="G236" s="134" t="s">
        <v>142</v>
      </c>
      <c r="H236" s="134" t="s">
        <v>142</v>
      </c>
      <c r="I236" s="134" t="s">
        <v>142</v>
      </c>
      <c r="J236" s="134" t="s">
        <v>142</v>
      </c>
      <c r="K236" s="134" t="s">
        <v>142</v>
      </c>
      <c r="L236" s="134" t="s">
        <v>142</v>
      </c>
      <c r="M236" s="136"/>
      <c r="N236" s="131"/>
    </row>
    <row r="237" hidden="1" outlineLevel="1">
      <c r="A237" s="585" t="s">
        <v>2075</v>
      </c>
      <c r="B237" s="115">
        <v>46161.0</v>
      </c>
      <c r="C237" s="118" t="str">
        <f t="shared" si="27"/>
        <v>Tue</v>
      </c>
      <c r="D237" s="143">
        <f t="shared" si="28"/>
        <v>1</v>
      </c>
      <c r="E237" s="144" t="s">
        <v>142</v>
      </c>
      <c r="F237" s="134" t="s">
        <v>142</v>
      </c>
      <c r="G237" s="134" t="s">
        <v>142</v>
      </c>
      <c r="H237" s="134" t="s">
        <v>142</v>
      </c>
      <c r="I237" s="134" t="s">
        <v>142</v>
      </c>
      <c r="J237" s="134" t="s">
        <v>142</v>
      </c>
      <c r="K237" s="134" t="s">
        <v>142</v>
      </c>
      <c r="L237" s="134" t="s">
        <v>142</v>
      </c>
      <c r="M237" s="136"/>
      <c r="N237" s="131"/>
    </row>
    <row r="238" hidden="1" outlineLevel="1">
      <c r="A238" s="584" t="s">
        <v>2077</v>
      </c>
      <c r="B238" s="115">
        <v>46161.0</v>
      </c>
      <c r="C238" s="118" t="str">
        <f t="shared" si="27"/>
        <v>Tue</v>
      </c>
      <c r="D238" s="128">
        <f t="shared" si="28"/>
        <v>1</v>
      </c>
      <c r="E238" s="131" t="s">
        <v>142</v>
      </c>
      <c r="F238" s="134" t="s">
        <v>142</v>
      </c>
      <c r="G238" s="134" t="s">
        <v>142</v>
      </c>
      <c r="H238" s="134" t="s">
        <v>142</v>
      </c>
      <c r="I238" s="134" t="s">
        <v>142</v>
      </c>
      <c r="J238" s="134" t="s">
        <v>142</v>
      </c>
      <c r="K238" s="134" t="s">
        <v>142</v>
      </c>
      <c r="L238" s="134" t="s">
        <v>142</v>
      </c>
      <c r="M238" s="136"/>
      <c r="N238" s="137"/>
    </row>
    <row r="239" hidden="1" outlineLevel="1">
      <c r="A239" s="585" t="s">
        <v>2078</v>
      </c>
      <c r="B239" s="115">
        <v>46161.0</v>
      </c>
      <c r="C239" s="118" t="str">
        <f t="shared" si="27"/>
        <v>Tue</v>
      </c>
      <c r="D239" s="143">
        <f t="shared" si="28"/>
        <v>1</v>
      </c>
      <c r="E239" s="144" t="s">
        <v>142</v>
      </c>
      <c r="F239" s="134" t="s">
        <v>142</v>
      </c>
      <c r="G239" s="134" t="s">
        <v>142</v>
      </c>
      <c r="H239" s="134" t="s">
        <v>142</v>
      </c>
      <c r="I239" s="134" t="s">
        <v>142</v>
      </c>
      <c r="J239" s="134" t="s">
        <v>142</v>
      </c>
      <c r="K239" s="134" t="s">
        <v>142</v>
      </c>
      <c r="L239" s="134" t="s">
        <v>142</v>
      </c>
      <c r="M239" s="136"/>
      <c r="N239" s="137"/>
    </row>
    <row r="240" hidden="1" outlineLevel="1">
      <c r="A240" s="584" t="s">
        <v>2080</v>
      </c>
      <c r="B240" s="115">
        <v>46161.0</v>
      </c>
      <c r="C240" s="118" t="str">
        <f t="shared" si="27"/>
        <v>Tue</v>
      </c>
      <c r="D240" s="128">
        <f t="shared" si="28"/>
        <v>1</v>
      </c>
      <c r="E240" s="131" t="s">
        <v>142</v>
      </c>
      <c r="F240" s="134" t="s">
        <v>142</v>
      </c>
      <c r="G240" s="134" t="s">
        <v>142</v>
      </c>
      <c r="H240" s="134" t="s">
        <v>142</v>
      </c>
      <c r="I240" s="134" t="s">
        <v>142</v>
      </c>
      <c r="J240" s="134" t="s">
        <v>142</v>
      </c>
      <c r="K240" s="134" t="s">
        <v>142</v>
      </c>
      <c r="L240" s="134" t="s">
        <v>142</v>
      </c>
      <c r="M240" s="136"/>
      <c r="N240" s="137"/>
    </row>
    <row r="241" hidden="1" outlineLevel="1">
      <c r="A241" s="353" t="s">
        <v>2082</v>
      </c>
      <c r="B241" s="115">
        <v>46163.0</v>
      </c>
      <c r="C241" s="118" t="str">
        <f t="shared" si="27"/>
        <v>Thu</v>
      </c>
      <c r="D241" s="143">
        <f t="shared" si="28"/>
        <v>1</v>
      </c>
      <c r="E241" s="144" t="s">
        <v>142</v>
      </c>
      <c r="F241" s="134" t="s">
        <v>142</v>
      </c>
      <c r="G241" s="134" t="s">
        <v>142</v>
      </c>
      <c r="H241" s="134" t="s">
        <v>142</v>
      </c>
      <c r="I241" s="134" t="s">
        <v>142</v>
      </c>
      <c r="J241" s="134" t="s">
        <v>142</v>
      </c>
      <c r="K241" s="134" t="s">
        <v>142</v>
      </c>
      <c r="L241" s="134" t="s">
        <v>142</v>
      </c>
      <c r="M241" s="136"/>
      <c r="N241" s="137"/>
    </row>
    <row r="242" hidden="1" outlineLevel="1">
      <c r="A242" s="353" t="s">
        <v>2084</v>
      </c>
      <c r="B242" s="115">
        <v>46163.0</v>
      </c>
      <c r="C242" s="118" t="str">
        <f t="shared" si="27"/>
        <v>Thu</v>
      </c>
      <c r="D242" s="128">
        <f t="shared" si="28"/>
        <v>1</v>
      </c>
      <c r="E242" s="131" t="s">
        <v>142</v>
      </c>
      <c r="F242" s="134" t="s">
        <v>142</v>
      </c>
      <c r="G242" s="134" t="s">
        <v>142</v>
      </c>
      <c r="H242" s="134" t="s">
        <v>142</v>
      </c>
      <c r="I242" s="134" t="s">
        <v>142</v>
      </c>
      <c r="J242" s="134" t="s">
        <v>142</v>
      </c>
      <c r="K242" s="134" t="s">
        <v>142</v>
      </c>
      <c r="L242" s="134" t="s">
        <v>142</v>
      </c>
      <c r="M242" s="136"/>
      <c r="N242" s="131"/>
    </row>
    <row r="243" hidden="1" outlineLevel="1">
      <c r="A243" s="353" t="s">
        <v>2085</v>
      </c>
      <c r="B243" s="115">
        <v>46163.0</v>
      </c>
      <c r="C243" s="118" t="str">
        <f t="shared" si="27"/>
        <v>Thu</v>
      </c>
      <c r="D243" s="143">
        <f t="shared" si="28"/>
        <v>1</v>
      </c>
      <c r="E243" s="144" t="s">
        <v>142</v>
      </c>
      <c r="F243" s="134" t="s">
        <v>142</v>
      </c>
      <c r="G243" s="134" t="s">
        <v>142</v>
      </c>
      <c r="H243" s="134" t="s">
        <v>142</v>
      </c>
      <c r="I243" s="134" t="s">
        <v>142</v>
      </c>
      <c r="J243" s="134" t="s">
        <v>142</v>
      </c>
      <c r="K243" s="134" t="s">
        <v>142</v>
      </c>
      <c r="L243" s="134" t="s">
        <v>142</v>
      </c>
      <c r="M243" s="136"/>
      <c r="N243" s="137"/>
    </row>
    <row r="244" hidden="1" outlineLevel="1">
      <c r="A244" s="353" t="s">
        <v>2086</v>
      </c>
      <c r="B244" s="115">
        <v>46164.0</v>
      </c>
      <c r="C244" s="118" t="str">
        <f t="shared" si="27"/>
        <v>Fri</v>
      </c>
      <c r="D244" s="128">
        <f t="shared" si="28"/>
        <v>1</v>
      </c>
      <c r="E244" s="131" t="s">
        <v>142</v>
      </c>
      <c r="F244" s="134" t="s">
        <v>142</v>
      </c>
      <c r="G244" s="134" t="s">
        <v>142</v>
      </c>
      <c r="H244" s="134" t="s">
        <v>142</v>
      </c>
      <c r="I244" s="134" t="s">
        <v>142</v>
      </c>
      <c r="J244" s="134" t="s">
        <v>142</v>
      </c>
      <c r="K244" s="134" t="s">
        <v>142</v>
      </c>
      <c r="L244" s="134" t="s">
        <v>142</v>
      </c>
      <c r="M244" s="136"/>
      <c r="N244" s="131"/>
    </row>
    <row r="245" hidden="1" outlineLevel="1">
      <c r="A245" s="353" t="s">
        <v>2087</v>
      </c>
      <c r="B245" s="115">
        <v>46164.0</v>
      </c>
      <c r="C245" s="118" t="str">
        <f t="shared" si="27"/>
        <v>Fri</v>
      </c>
      <c r="D245" s="143">
        <f t="shared" si="28"/>
        <v>1</v>
      </c>
      <c r="E245" s="144" t="s">
        <v>142</v>
      </c>
      <c r="F245" s="134" t="s">
        <v>142</v>
      </c>
      <c r="G245" s="134" t="s">
        <v>142</v>
      </c>
      <c r="H245" s="134" t="s">
        <v>142</v>
      </c>
      <c r="I245" s="134" t="s">
        <v>142</v>
      </c>
      <c r="J245" s="134" t="s">
        <v>142</v>
      </c>
      <c r="K245" s="134" t="s">
        <v>142</v>
      </c>
      <c r="L245" s="134" t="s">
        <v>142</v>
      </c>
      <c r="M245" s="136"/>
      <c r="N245" s="131"/>
    </row>
    <row r="246" hidden="1" outlineLevel="1">
      <c r="A246" s="353" t="s">
        <v>2088</v>
      </c>
      <c r="B246" s="115">
        <v>46164.0</v>
      </c>
      <c r="C246" s="118" t="str">
        <f t="shared" si="27"/>
        <v>Fri</v>
      </c>
      <c r="D246" s="128">
        <f t="shared" si="28"/>
        <v>1</v>
      </c>
      <c r="E246" s="131" t="s">
        <v>142</v>
      </c>
      <c r="F246" s="134" t="s">
        <v>142</v>
      </c>
      <c r="G246" s="134" t="s">
        <v>142</v>
      </c>
      <c r="H246" s="134" t="s">
        <v>142</v>
      </c>
      <c r="I246" s="134" t="s">
        <v>142</v>
      </c>
      <c r="J246" s="134" t="s">
        <v>142</v>
      </c>
      <c r="K246" s="134" t="s">
        <v>142</v>
      </c>
      <c r="L246" s="134" t="s">
        <v>142</v>
      </c>
      <c r="M246" s="136"/>
      <c r="N246" s="131"/>
    </row>
    <row r="247" hidden="1" outlineLevel="1">
      <c r="A247" s="353" t="s">
        <v>2089</v>
      </c>
      <c r="B247" s="115">
        <v>46165.0</v>
      </c>
      <c r="C247" s="118" t="str">
        <f t="shared" si="27"/>
        <v>Sat</v>
      </c>
      <c r="D247" s="143">
        <f t="shared" si="28"/>
        <v>1</v>
      </c>
      <c r="E247" s="144" t="s">
        <v>142</v>
      </c>
      <c r="F247" s="134" t="s">
        <v>142</v>
      </c>
      <c r="G247" s="134" t="s">
        <v>142</v>
      </c>
      <c r="H247" s="134" t="s">
        <v>142</v>
      </c>
      <c r="I247" s="134" t="s">
        <v>142</v>
      </c>
      <c r="J247" s="134" t="s">
        <v>142</v>
      </c>
      <c r="K247" s="134" t="s">
        <v>142</v>
      </c>
      <c r="L247" s="134" t="s">
        <v>142</v>
      </c>
      <c r="M247" s="136"/>
      <c r="N247" s="137"/>
    </row>
    <row r="248" hidden="1" outlineLevel="1">
      <c r="A248" s="353" t="s">
        <v>2090</v>
      </c>
      <c r="B248" s="115">
        <v>46165.0</v>
      </c>
      <c r="C248" s="118" t="str">
        <f t="shared" si="27"/>
        <v>Sat</v>
      </c>
      <c r="D248" s="128">
        <f t="shared" si="28"/>
        <v>1</v>
      </c>
      <c r="E248" s="131" t="s">
        <v>142</v>
      </c>
      <c r="F248" s="134" t="s">
        <v>142</v>
      </c>
      <c r="G248" s="134" t="s">
        <v>142</v>
      </c>
      <c r="H248" s="134" t="s">
        <v>142</v>
      </c>
      <c r="I248" s="134" t="s">
        <v>142</v>
      </c>
      <c r="J248" s="134" t="s">
        <v>142</v>
      </c>
      <c r="K248" s="134" t="s">
        <v>142</v>
      </c>
      <c r="L248" s="134" t="s">
        <v>142</v>
      </c>
      <c r="M248" s="136"/>
      <c r="N248" s="137"/>
    </row>
    <row r="249" ht="15.0" hidden="1" customHeight="1" outlineLevel="1">
      <c r="A249" s="353" t="s">
        <v>2091</v>
      </c>
      <c r="B249" s="115">
        <v>46165.0</v>
      </c>
      <c r="C249" s="118" t="str">
        <f t="shared" si="27"/>
        <v>Sat</v>
      </c>
      <c r="D249" s="143">
        <f t="shared" si="28"/>
        <v>1</v>
      </c>
      <c r="E249" s="144" t="s">
        <v>142</v>
      </c>
      <c r="F249" s="134" t="s">
        <v>142</v>
      </c>
      <c r="G249" s="134" t="s">
        <v>142</v>
      </c>
      <c r="H249" s="134" t="s">
        <v>142</v>
      </c>
      <c r="I249" s="134" t="s">
        <v>142</v>
      </c>
      <c r="J249" s="134" t="s">
        <v>142</v>
      </c>
      <c r="K249" s="134" t="s">
        <v>142</v>
      </c>
      <c r="L249" s="134" t="s">
        <v>142</v>
      </c>
      <c r="M249" s="136"/>
      <c r="N249" s="131"/>
    </row>
    <row r="250" hidden="1" outlineLevel="1">
      <c r="B250" s="215"/>
      <c r="C250" s="216" t="s">
        <v>199</v>
      </c>
      <c r="D250" s="217">
        <f>AVERAGE(D235:D249)</f>
        <v>1</v>
      </c>
      <c r="E250" s="472"/>
      <c r="L250" s="216" t="s">
        <v>199</v>
      </c>
      <c r="M250" s="217">
        <f>SUM(M235:M249)/75*0.1</f>
        <v>0</v>
      </c>
    </row>
    <row r="251" hidden="1" collapsed="1">
      <c r="A251" s="85" t="s">
        <v>2015</v>
      </c>
      <c r="B251" s="86"/>
      <c r="C251" s="86"/>
      <c r="D251" s="359"/>
      <c r="E251" s="89"/>
      <c r="F251" s="89"/>
      <c r="G251" s="91"/>
      <c r="H251" s="91"/>
      <c r="I251" s="91"/>
      <c r="J251" s="91"/>
      <c r="K251" s="91"/>
      <c r="L251" s="91"/>
      <c r="M251" s="93"/>
      <c r="N251" s="95"/>
    </row>
    <row r="252" hidden="1" outlineLevel="1">
      <c r="A252" s="96" t="s">
        <v>89</v>
      </c>
      <c r="B252" s="98" t="s">
        <v>90</v>
      </c>
      <c r="C252" s="98" t="s">
        <v>91</v>
      </c>
      <c r="D252" s="101" t="s">
        <v>93</v>
      </c>
      <c r="E252" s="102" t="s">
        <v>94</v>
      </c>
      <c r="F252" s="102" t="s">
        <v>95</v>
      </c>
      <c r="G252" s="105" t="s">
        <v>96</v>
      </c>
      <c r="H252" s="107" t="s">
        <v>97</v>
      </c>
      <c r="I252" s="107" t="s">
        <v>104</v>
      </c>
      <c r="J252" s="105" t="s">
        <v>106</v>
      </c>
      <c r="K252" s="107" t="s">
        <v>109</v>
      </c>
      <c r="L252" s="105" t="s">
        <v>111</v>
      </c>
      <c r="M252" s="98" t="s">
        <v>114</v>
      </c>
      <c r="N252" s="101" t="s">
        <v>116</v>
      </c>
    </row>
    <row r="253" hidden="1" outlineLevel="1">
      <c r="A253" s="353" t="s">
        <v>2094</v>
      </c>
      <c r="B253" s="115">
        <v>46168.0</v>
      </c>
      <c r="C253" s="118" t="str">
        <f t="shared" ref="C253:C267" si="29">IF(B253="", "", TEXT(B253, "ddd"))</f>
        <v>Tue</v>
      </c>
      <c r="D253" s="143">
        <f t="shared" ref="D253:D267" si="30">IF(E253="Yes",0.05,0)
+IF(F253="Yes",0.1,0)
+IF(G253="Yes",0.15,0)
+IF(H253="Yes",0.15,0)
+IF(I253="Yes",0.05,0)
+IF(J253="Yes",0.05,0)
+IF(K253="Yes",0.15,0)
+IF(L253="Yes",0.3,0)
</f>
        <v>1</v>
      </c>
      <c r="E253" s="144" t="s">
        <v>142</v>
      </c>
      <c r="F253" s="134" t="s">
        <v>142</v>
      </c>
      <c r="G253" s="134" t="s">
        <v>142</v>
      </c>
      <c r="H253" s="134" t="s">
        <v>142</v>
      </c>
      <c r="I253" s="134" t="s">
        <v>142</v>
      </c>
      <c r="J253" s="134" t="s">
        <v>142</v>
      </c>
      <c r="K253" s="134" t="s">
        <v>142</v>
      </c>
      <c r="L253" s="134" t="s">
        <v>142</v>
      </c>
      <c r="M253" s="136"/>
      <c r="N253" s="137"/>
    </row>
    <row r="254" hidden="1" outlineLevel="1">
      <c r="A254" s="353" t="s">
        <v>2095</v>
      </c>
      <c r="B254" s="115">
        <v>46168.0</v>
      </c>
      <c r="C254" s="118" t="str">
        <f t="shared" si="29"/>
        <v>Tue</v>
      </c>
      <c r="D254" s="128">
        <f t="shared" si="30"/>
        <v>1</v>
      </c>
      <c r="E254" s="131" t="s">
        <v>142</v>
      </c>
      <c r="F254" s="134" t="s">
        <v>142</v>
      </c>
      <c r="G254" s="134" t="s">
        <v>142</v>
      </c>
      <c r="H254" s="134" t="s">
        <v>142</v>
      </c>
      <c r="I254" s="134" t="s">
        <v>142</v>
      </c>
      <c r="J254" s="134" t="s">
        <v>142</v>
      </c>
      <c r="K254" s="134" t="s">
        <v>142</v>
      </c>
      <c r="L254" s="134" t="s">
        <v>142</v>
      </c>
      <c r="M254" s="136"/>
      <c r="N254" s="131"/>
    </row>
    <row r="255" hidden="1" outlineLevel="1">
      <c r="A255" s="353" t="s">
        <v>2096</v>
      </c>
      <c r="B255" s="115">
        <v>46168.0</v>
      </c>
      <c r="C255" s="118" t="str">
        <f t="shared" si="29"/>
        <v>Tue</v>
      </c>
      <c r="D255" s="143">
        <f t="shared" si="30"/>
        <v>1</v>
      </c>
      <c r="E255" s="144" t="s">
        <v>142</v>
      </c>
      <c r="F255" s="134" t="s">
        <v>142</v>
      </c>
      <c r="G255" s="134" t="s">
        <v>142</v>
      </c>
      <c r="H255" s="134" t="s">
        <v>142</v>
      </c>
      <c r="I255" s="134" t="s">
        <v>142</v>
      </c>
      <c r="J255" s="134" t="s">
        <v>142</v>
      </c>
      <c r="K255" s="134" t="s">
        <v>142</v>
      </c>
      <c r="L255" s="134" t="s">
        <v>142</v>
      </c>
      <c r="M255" s="136"/>
      <c r="N255" s="131"/>
    </row>
    <row r="256" hidden="1" outlineLevel="1">
      <c r="A256" s="353" t="s">
        <v>2097</v>
      </c>
      <c r="B256" s="115">
        <v>46169.0</v>
      </c>
      <c r="C256" s="118" t="str">
        <f t="shared" si="29"/>
        <v>Wed</v>
      </c>
      <c r="D256" s="128">
        <f t="shared" si="30"/>
        <v>1</v>
      </c>
      <c r="E256" s="131" t="s">
        <v>142</v>
      </c>
      <c r="F256" s="134" t="s">
        <v>142</v>
      </c>
      <c r="G256" s="134" t="s">
        <v>142</v>
      </c>
      <c r="H256" s="134" t="s">
        <v>142</v>
      </c>
      <c r="I256" s="134" t="s">
        <v>142</v>
      </c>
      <c r="J256" s="134" t="s">
        <v>142</v>
      </c>
      <c r="K256" s="134" t="s">
        <v>142</v>
      </c>
      <c r="L256" s="134" t="s">
        <v>142</v>
      </c>
      <c r="M256" s="136"/>
      <c r="N256" s="137"/>
    </row>
    <row r="257" hidden="1" outlineLevel="1">
      <c r="A257" s="353" t="s">
        <v>2098</v>
      </c>
      <c r="B257" s="115">
        <v>46169.0</v>
      </c>
      <c r="C257" s="118" t="str">
        <f t="shared" si="29"/>
        <v>Wed</v>
      </c>
      <c r="D257" s="143">
        <f t="shared" si="30"/>
        <v>1</v>
      </c>
      <c r="E257" s="144" t="s">
        <v>142</v>
      </c>
      <c r="F257" s="134" t="s">
        <v>142</v>
      </c>
      <c r="G257" s="134" t="s">
        <v>142</v>
      </c>
      <c r="H257" s="134" t="s">
        <v>142</v>
      </c>
      <c r="I257" s="134" t="s">
        <v>142</v>
      </c>
      <c r="J257" s="134" t="s">
        <v>142</v>
      </c>
      <c r="K257" s="134" t="s">
        <v>142</v>
      </c>
      <c r="L257" s="134" t="s">
        <v>142</v>
      </c>
      <c r="M257" s="136"/>
      <c r="N257" s="137"/>
    </row>
    <row r="258" hidden="1" outlineLevel="1">
      <c r="A258" s="353" t="s">
        <v>2100</v>
      </c>
      <c r="B258" s="115">
        <v>46169.0</v>
      </c>
      <c r="C258" s="118" t="str">
        <f t="shared" si="29"/>
        <v>Wed</v>
      </c>
      <c r="D258" s="128">
        <f t="shared" si="30"/>
        <v>1</v>
      </c>
      <c r="E258" s="131" t="s">
        <v>142</v>
      </c>
      <c r="F258" s="134" t="s">
        <v>142</v>
      </c>
      <c r="G258" s="134" t="s">
        <v>142</v>
      </c>
      <c r="H258" s="134" t="s">
        <v>142</v>
      </c>
      <c r="I258" s="134" t="s">
        <v>142</v>
      </c>
      <c r="J258" s="134" t="s">
        <v>142</v>
      </c>
      <c r="K258" s="134" t="s">
        <v>142</v>
      </c>
      <c r="L258" s="134" t="s">
        <v>142</v>
      </c>
      <c r="M258" s="136"/>
      <c r="N258" s="137"/>
    </row>
    <row r="259" hidden="1" outlineLevel="1">
      <c r="A259" s="353" t="s">
        <v>2101</v>
      </c>
      <c r="B259" s="115">
        <v>46170.0</v>
      </c>
      <c r="C259" s="118" t="str">
        <f t="shared" si="29"/>
        <v>Thu</v>
      </c>
      <c r="D259" s="143">
        <f t="shared" si="30"/>
        <v>1</v>
      </c>
      <c r="E259" s="144" t="s">
        <v>142</v>
      </c>
      <c r="F259" s="134" t="s">
        <v>142</v>
      </c>
      <c r="G259" s="134" t="s">
        <v>142</v>
      </c>
      <c r="H259" s="134" t="s">
        <v>142</v>
      </c>
      <c r="I259" s="134" t="s">
        <v>142</v>
      </c>
      <c r="J259" s="134" t="s">
        <v>142</v>
      </c>
      <c r="K259" s="134" t="s">
        <v>142</v>
      </c>
      <c r="L259" s="134" t="s">
        <v>142</v>
      </c>
      <c r="M259" s="136"/>
      <c r="N259" s="137"/>
    </row>
    <row r="260" hidden="1" outlineLevel="1">
      <c r="A260" s="353" t="s">
        <v>2103</v>
      </c>
      <c r="B260" s="115">
        <v>46170.0</v>
      </c>
      <c r="C260" s="118" t="str">
        <f t="shared" si="29"/>
        <v>Thu</v>
      </c>
      <c r="D260" s="128">
        <f t="shared" si="30"/>
        <v>1</v>
      </c>
      <c r="E260" s="131" t="s">
        <v>142</v>
      </c>
      <c r="F260" s="134" t="s">
        <v>142</v>
      </c>
      <c r="G260" s="134" t="s">
        <v>142</v>
      </c>
      <c r="H260" s="134" t="s">
        <v>142</v>
      </c>
      <c r="I260" s="134" t="s">
        <v>142</v>
      </c>
      <c r="J260" s="134" t="s">
        <v>142</v>
      </c>
      <c r="K260" s="134" t="s">
        <v>142</v>
      </c>
      <c r="L260" s="134" t="s">
        <v>142</v>
      </c>
      <c r="M260" s="136"/>
      <c r="N260" s="131"/>
    </row>
    <row r="261" hidden="1" outlineLevel="1">
      <c r="A261" s="353" t="s">
        <v>2105</v>
      </c>
      <c r="B261" s="115">
        <v>46170.0</v>
      </c>
      <c r="C261" s="118" t="str">
        <f t="shared" si="29"/>
        <v>Thu</v>
      </c>
      <c r="D261" s="143">
        <f t="shared" si="30"/>
        <v>1</v>
      </c>
      <c r="E261" s="144" t="s">
        <v>142</v>
      </c>
      <c r="F261" s="134" t="s">
        <v>142</v>
      </c>
      <c r="G261" s="134" t="s">
        <v>142</v>
      </c>
      <c r="H261" s="134" t="s">
        <v>142</v>
      </c>
      <c r="I261" s="134" t="s">
        <v>142</v>
      </c>
      <c r="J261" s="134" t="s">
        <v>142</v>
      </c>
      <c r="K261" s="134" t="s">
        <v>142</v>
      </c>
      <c r="L261" s="134" t="s">
        <v>142</v>
      </c>
      <c r="M261" s="136"/>
      <c r="N261" s="137"/>
    </row>
    <row r="262" hidden="1" outlineLevel="1">
      <c r="A262" s="353" t="s">
        <v>2107</v>
      </c>
      <c r="B262" s="115">
        <v>46171.0</v>
      </c>
      <c r="C262" s="118" t="str">
        <f t="shared" si="29"/>
        <v>Fri</v>
      </c>
      <c r="D262" s="128">
        <f t="shared" si="30"/>
        <v>1</v>
      </c>
      <c r="E262" s="131" t="s">
        <v>142</v>
      </c>
      <c r="F262" s="134" t="s">
        <v>142</v>
      </c>
      <c r="G262" s="134" t="s">
        <v>142</v>
      </c>
      <c r="H262" s="134" t="s">
        <v>142</v>
      </c>
      <c r="I262" s="134" t="s">
        <v>142</v>
      </c>
      <c r="J262" s="134" t="s">
        <v>142</v>
      </c>
      <c r="K262" s="134" t="s">
        <v>142</v>
      </c>
      <c r="L262" s="134" t="s">
        <v>142</v>
      </c>
      <c r="M262" s="136"/>
      <c r="N262" s="131"/>
    </row>
    <row r="263" hidden="1" outlineLevel="1">
      <c r="A263" s="353" t="s">
        <v>2110</v>
      </c>
      <c r="B263" s="115">
        <v>46171.0</v>
      </c>
      <c r="C263" s="118" t="str">
        <f t="shared" si="29"/>
        <v>Fri</v>
      </c>
      <c r="D263" s="143">
        <f t="shared" si="30"/>
        <v>1</v>
      </c>
      <c r="E263" s="144" t="s">
        <v>142</v>
      </c>
      <c r="F263" s="134" t="s">
        <v>142</v>
      </c>
      <c r="G263" s="134" t="s">
        <v>142</v>
      </c>
      <c r="H263" s="134" t="s">
        <v>142</v>
      </c>
      <c r="I263" s="134" t="s">
        <v>142</v>
      </c>
      <c r="J263" s="134" t="s">
        <v>142</v>
      </c>
      <c r="K263" s="134" t="s">
        <v>142</v>
      </c>
      <c r="L263" s="134" t="s">
        <v>142</v>
      </c>
      <c r="M263" s="136"/>
      <c r="N263" s="131"/>
    </row>
    <row r="264" hidden="1" outlineLevel="1">
      <c r="A264" s="353" t="s">
        <v>2113</v>
      </c>
      <c r="B264" s="115">
        <v>46171.0</v>
      </c>
      <c r="C264" s="118" t="str">
        <f t="shared" si="29"/>
        <v>Fri</v>
      </c>
      <c r="D264" s="128">
        <f t="shared" si="30"/>
        <v>1</v>
      </c>
      <c r="E264" s="131" t="s">
        <v>142</v>
      </c>
      <c r="F264" s="134" t="s">
        <v>142</v>
      </c>
      <c r="G264" s="134" t="s">
        <v>142</v>
      </c>
      <c r="H264" s="134" t="s">
        <v>142</v>
      </c>
      <c r="I264" s="134" t="s">
        <v>142</v>
      </c>
      <c r="J264" s="134" t="s">
        <v>142</v>
      </c>
      <c r="K264" s="134" t="s">
        <v>142</v>
      </c>
      <c r="L264" s="134" t="s">
        <v>142</v>
      </c>
      <c r="M264" s="136"/>
      <c r="N264" s="131"/>
    </row>
    <row r="265" hidden="1" outlineLevel="1">
      <c r="A265" s="353" t="s">
        <v>2115</v>
      </c>
      <c r="B265" s="115">
        <v>46172.0</v>
      </c>
      <c r="C265" s="118" t="str">
        <f t="shared" si="29"/>
        <v>Sat</v>
      </c>
      <c r="D265" s="143">
        <f t="shared" si="30"/>
        <v>1</v>
      </c>
      <c r="E265" s="144" t="s">
        <v>142</v>
      </c>
      <c r="F265" s="134" t="s">
        <v>142</v>
      </c>
      <c r="G265" s="134" t="s">
        <v>142</v>
      </c>
      <c r="H265" s="134" t="s">
        <v>142</v>
      </c>
      <c r="I265" s="134" t="s">
        <v>142</v>
      </c>
      <c r="J265" s="134" t="s">
        <v>142</v>
      </c>
      <c r="K265" s="134" t="s">
        <v>142</v>
      </c>
      <c r="L265" s="134" t="s">
        <v>142</v>
      </c>
      <c r="M265" s="136"/>
      <c r="N265" s="137"/>
    </row>
    <row r="266" hidden="1" outlineLevel="1">
      <c r="A266" s="353" t="s">
        <v>2116</v>
      </c>
      <c r="B266" s="115">
        <v>46172.0</v>
      </c>
      <c r="C266" s="118" t="str">
        <f t="shared" si="29"/>
        <v>Sat</v>
      </c>
      <c r="D266" s="128">
        <f t="shared" si="30"/>
        <v>1</v>
      </c>
      <c r="E266" s="131" t="s">
        <v>142</v>
      </c>
      <c r="F266" s="134" t="s">
        <v>142</v>
      </c>
      <c r="G266" s="134" t="s">
        <v>142</v>
      </c>
      <c r="H266" s="134" t="s">
        <v>142</v>
      </c>
      <c r="I266" s="134" t="s">
        <v>142</v>
      </c>
      <c r="J266" s="134" t="s">
        <v>142</v>
      </c>
      <c r="K266" s="134" t="s">
        <v>142</v>
      </c>
      <c r="L266" s="134" t="s">
        <v>142</v>
      </c>
      <c r="M266" s="136"/>
      <c r="N266" s="137"/>
    </row>
    <row r="267" ht="15.0" hidden="1" customHeight="1" outlineLevel="1">
      <c r="A267" s="353" t="s">
        <v>2117</v>
      </c>
      <c r="B267" s="115">
        <v>46172.0</v>
      </c>
      <c r="C267" s="118" t="str">
        <f t="shared" si="29"/>
        <v>Sat</v>
      </c>
      <c r="D267" s="143">
        <f t="shared" si="30"/>
        <v>1</v>
      </c>
      <c r="E267" s="144" t="s">
        <v>142</v>
      </c>
      <c r="F267" s="134" t="s">
        <v>142</v>
      </c>
      <c r="G267" s="134" t="s">
        <v>142</v>
      </c>
      <c r="H267" s="134" t="s">
        <v>142</v>
      </c>
      <c r="I267" s="134" t="s">
        <v>142</v>
      </c>
      <c r="J267" s="134" t="s">
        <v>142</v>
      </c>
      <c r="K267" s="134" t="s">
        <v>142</v>
      </c>
      <c r="L267" s="134" t="s">
        <v>142</v>
      </c>
      <c r="M267" s="136"/>
      <c r="N267" s="131"/>
    </row>
    <row r="268" hidden="1" outlineLevel="1">
      <c r="B268" s="215"/>
      <c r="C268" s="216" t="s">
        <v>199</v>
      </c>
      <c r="D268" s="217">
        <f>AVERAGE(D253:D267)</f>
        <v>1</v>
      </c>
      <c r="E268" s="472"/>
      <c r="L268" s="216" t="s">
        <v>199</v>
      </c>
      <c r="M268" s="217">
        <f>SUM(M253:M267)/75*0.1</f>
        <v>0</v>
      </c>
    </row>
    <row r="269" hidden="1" collapsed="1">
      <c r="A269" s="85" t="s">
        <v>2047</v>
      </c>
      <c r="B269" s="86"/>
      <c r="C269" s="86"/>
      <c r="D269" s="359"/>
      <c r="E269" s="89"/>
      <c r="F269" s="89"/>
      <c r="G269" s="91"/>
      <c r="H269" s="91"/>
      <c r="I269" s="91"/>
      <c r="J269" s="91"/>
      <c r="K269" s="91"/>
      <c r="L269" s="91"/>
      <c r="M269" s="93"/>
      <c r="N269" s="95"/>
    </row>
    <row r="270" hidden="1" outlineLevel="1">
      <c r="A270" s="96" t="s">
        <v>89</v>
      </c>
      <c r="B270" s="98" t="s">
        <v>90</v>
      </c>
      <c r="C270" s="98" t="s">
        <v>91</v>
      </c>
      <c r="D270" s="101" t="s">
        <v>93</v>
      </c>
      <c r="E270" s="102" t="s">
        <v>94</v>
      </c>
      <c r="F270" s="102" t="s">
        <v>95</v>
      </c>
      <c r="G270" s="105" t="s">
        <v>96</v>
      </c>
      <c r="H270" s="107" t="s">
        <v>97</v>
      </c>
      <c r="I270" s="107" t="s">
        <v>104</v>
      </c>
      <c r="J270" s="105" t="s">
        <v>106</v>
      </c>
      <c r="K270" s="107" t="s">
        <v>109</v>
      </c>
      <c r="L270" s="105" t="s">
        <v>111</v>
      </c>
      <c r="M270" s="98" t="s">
        <v>114</v>
      </c>
      <c r="N270" s="101" t="s">
        <v>116</v>
      </c>
    </row>
    <row r="271" hidden="1" outlineLevel="1">
      <c r="A271" s="353" t="s">
        <v>2118</v>
      </c>
      <c r="B271" s="115">
        <v>46175.0</v>
      </c>
      <c r="C271" s="118" t="str">
        <f t="shared" ref="C271:C285" si="31">IF(B271="", "", TEXT(B271, "ddd"))</f>
        <v>Tue</v>
      </c>
      <c r="D271" s="143">
        <f t="shared" ref="D271:D285" si="32">IF(E271="Yes",0.05,0)
+IF(F271="Yes",0.1,0)
+IF(G271="Yes",0.15,0)
+IF(H271="Yes",0.15,0)
+IF(I271="Yes",0.05,0)
+IF(J271="Yes",0.05,0)
+IF(K271="Yes",0.15,0)
+IF(L271="Yes",0.3,0)
</f>
        <v>1</v>
      </c>
      <c r="E271" s="144" t="s">
        <v>142</v>
      </c>
      <c r="F271" s="134" t="s">
        <v>142</v>
      </c>
      <c r="G271" s="134" t="s">
        <v>142</v>
      </c>
      <c r="H271" s="134" t="s">
        <v>142</v>
      </c>
      <c r="I271" s="134" t="s">
        <v>142</v>
      </c>
      <c r="J271" s="134" t="s">
        <v>142</v>
      </c>
      <c r="K271" s="134" t="s">
        <v>142</v>
      </c>
      <c r="L271" s="134" t="s">
        <v>142</v>
      </c>
      <c r="M271" s="136"/>
      <c r="N271" s="137"/>
    </row>
    <row r="272" hidden="1" outlineLevel="1">
      <c r="A272" s="113" t="s">
        <v>2120</v>
      </c>
      <c r="B272" s="115">
        <v>46175.0</v>
      </c>
      <c r="C272" s="118" t="str">
        <f t="shared" si="31"/>
        <v>Tue</v>
      </c>
      <c r="D272" s="128">
        <f t="shared" si="32"/>
        <v>1</v>
      </c>
      <c r="E272" s="131" t="s">
        <v>142</v>
      </c>
      <c r="F272" s="134" t="s">
        <v>142</v>
      </c>
      <c r="G272" s="134" t="s">
        <v>142</v>
      </c>
      <c r="H272" s="134" t="s">
        <v>142</v>
      </c>
      <c r="I272" s="134" t="s">
        <v>142</v>
      </c>
      <c r="J272" s="134" t="s">
        <v>142</v>
      </c>
      <c r="K272" s="134" t="s">
        <v>142</v>
      </c>
      <c r="L272" s="134" t="s">
        <v>142</v>
      </c>
      <c r="M272" s="136"/>
      <c r="N272" s="131"/>
    </row>
    <row r="273" hidden="1" outlineLevel="1">
      <c r="A273" s="113" t="s">
        <v>2121</v>
      </c>
      <c r="B273" s="115">
        <v>46175.0</v>
      </c>
      <c r="C273" s="118" t="str">
        <f t="shared" si="31"/>
        <v>Tue</v>
      </c>
      <c r="D273" s="143">
        <f t="shared" si="32"/>
        <v>1</v>
      </c>
      <c r="E273" s="144" t="s">
        <v>142</v>
      </c>
      <c r="F273" s="134" t="s">
        <v>142</v>
      </c>
      <c r="G273" s="134" t="s">
        <v>142</v>
      </c>
      <c r="H273" s="134" t="s">
        <v>142</v>
      </c>
      <c r="I273" s="134" t="s">
        <v>142</v>
      </c>
      <c r="J273" s="134" t="s">
        <v>142</v>
      </c>
      <c r="K273" s="134" t="s">
        <v>142</v>
      </c>
      <c r="L273" s="134" t="s">
        <v>142</v>
      </c>
      <c r="M273" s="136"/>
      <c r="N273" s="131"/>
    </row>
    <row r="274" hidden="1" outlineLevel="1">
      <c r="A274" s="113" t="s">
        <v>2124</v>
      </c>
      <c r="B274" s="115">
        <v>46176.0</v>
      </c>
      <c r="C274" s="118" t="str">
        <f t="shared" si="31"/>
        <v>Wed</v>
      </c>
      <c r="D274" s="128">
        <f t="shared" si="32"/>
        <v>1</v>
      </c>
      <c r="E274" s="131" t="s">
        <v>142</v>
      </c>
      <c r="F274" s="134" t="s">
        <v>142</v>
      </c>
      <c r="G274" s="134" t="s">
        <v>142</v>
      </c>
      <c r="H274" s="134" t="s">
        <v>142</v>
      </c>
      <c r="I274" s="134" t="s">
        <v>142</v>
      </c>
      <c r="J274" s="134" t="s">
        <v>142</v>
      </c>
      <c r="K274" s="134" t="s">
        <v>142</v>
      </c>
      <c r="L274" s="134" t="s">
        <v>142</v>
      </c>
      <c r="M274" s="136"/>
      <c r="N274" s="137"/>
    </row>
    <row r="275" hidden="1" outlineLevel="1">
      <c r="A275" s="113" t="s">
        <v>2125</v>
      </c>
      <c r="B275" s="115">
        <v>46176.0</v>
      </c>
      <c r="C275" s="118" t="str">
        <f t="shared" si="31"/>
        <v>Wed</v>
      </c>
      <c r="D275" s="143">
        <f t="shared" si="32"/>
        <v>1</v>
      </c>
      <c r="E275" s="144" t="s">
        <v>142</v>
      </c>
      <c r="F275" s="134" t="s">
        <v>142</v>
      </c>
      <c r="G275" s="134" t="s">
        <v>142</v>
      </c>
      <c r="H275" s="134" t="s">
        <v>142</v>
      </c>
      <c r="I275" s="134" t="s">
        <v>142</v>
      </c>
      <c r="J275" s="134" t="s">
        <v>142</v>
      </c>
      <c r="K275" s="134" t="s">
        <v>142</v>
      </c>
      <c r="L275" s="134" t="s">
        <v>142</v>
      </c>
      <c r="M275" s="136"/>
      <c r="N275" s="137"/>
    </row>
    <row r="276" hidden="1" outlineLevel="1">
      <c r="A276" s="113" t="s">
        <v>2127</v>
      </c>
      <c r="B276" s="115">
        <v>46176.0</v>
      </c>
      <c r="C276" s="118" t="str">
        <f t="shared" si="31"/>
        <v>Wed</v>
      </c>
      <c r="D276" s="128">
        <f t="shared" si="32"/>
        <v>1</v>
      </c>
      <c r="E276" s="131" t="s">
        <v>142</v>
      </c>
      <c r="F276" s="134" t="s">
        <v>142</v>
      </c>
      <c r="G276" s="134" t="s">
        <v>142</v>
      </c>
      <c r="H276" s="134" t="s">
        <v>142</v>
      </c>
      <c r="I276" s="134" t="s">
        <v>142</v>
      </c>
      <c r="J276" s="134" t="s">
        <v>142</v>
      </c>
      <c r="K276" s="134" t="s">
        <v>142</v>
      </c>
      <c r="L276" s="134" t="s">
        <v>142</v>
      </c>
      <c r="M276" s="136"/>
      <c r="N276" s="137"/>
    </row>
    <row r="277" hidden="1" outlineLevel="1">
      <c r="A277" s="113" t="s">
        <v>2129</v>
      </c>
      <c r="B277" s="115">
        <v>46177.0</v>
      </c>
      <c r="C277" s="118" t="str">
        <f t="shared" si="31"/>
        <v>Thu</v>
      </c>
      <c r="D277" s="143">
        <f t="shared" si="32"/>
        <v>1</v>
      </c>
      <c r="E277" s="144" t="s">
        <v>142</v>
      </c>
      <c r="F277" s="134" t="s">
        <v>142</v>
      </c>
      <c r="G277" s="134" t="s">
        <v>142</v>
      </c>
      <c r="H277" s="134" t="s">
        <v>142</v>
      </c>
      <c r="I277" s="134" t="s">
        <v>142</v>
      </c>
      <c r="J277" s="134" t="s">
        <v>142</v>
      </c>
      <c r="K277" s="134" t="s">
        <v>142</v>
      </c>
      <c r="L277" s="134" t="s">
        <v>142</v>
      </c>
      <c r="M277" s="136"/>
      <c r="N277" s="137"/>
    </row>
    <row r="278" hidden="1" outlineLevel="1">
      <c r="A278" s="113" t="s">
        <v>2130</v>
      </c>
      <c r="B278" s="115">
        <v>46177.0</v>
      </c>
      <c r="C278" s="118" t="str">
        <f t="shared" si="31"/>
        <v>Thu</v>
      </c>
      <c r="D278" s="128">
        <f t="shared" si="32"/>
        <v>1</v>
      </c>
      <c r="E278" s="131" t="s">
        <v>142</v>
      </c>
      <c r="F278" s="134" t="s">
        <v>142</v>
      </c>
      <c r="G278" s="134" t="s">
        <v>142</v>
      </c>
      <c r="H278" s="134" t="s">
        <v>142</v>
      </c>
      <c r="I278" s="134" t="s">
        <v>142</v>
      </c>
      <c r="J278" s="134" t="s">
        <v>142</v>
      </c>
      <c r="K278" s="134" t="s">
        <v>142</v>
      </c>
      <c r="L278" s="134" t="s">
        <v>142</v>
      </c>
      <c r="M278" s="136"/>
      <c r="N278" s="131"/>
    </row>
    <row r="279" hidden="1" outlineLevel="1">
      <c r="A279" s="113" t="s">
        <v>2132</v>
      </c>
      <c r="B279" s="115">
        <v>46177.0</v>
      </c>
      <c r="C279" s="118" t="str">
        <f t="shared" si="31"/>
        <v>Thu</v>
      </c>
      <c r="D279" s="143">
        <f t="shared" si="32"/>
        <v>1</v>
      </c>
      <c r="E279" s="144" t="s">
        <v>142</v>
      </c>
      <c r="F279" s="134" t="s">
        <v>142</v>
      </c>
      <c r="G279" s="134" t="s">
        <v>142</v>
      </c>
      <c r="H279" s="134" t="s">
        <v>142</v>
      </c>
      <c r="I279" s="134" t="s">
        <v>142</v>
      </c>
      <c r="J279" s="134" t="s">
        <v>142</v>
      </c>
      <c r="K279" s="134" t="s">
        <v>142</v>
      </c>
      <c r="L279" s="134" t="s">
        <v>142</v>
      </c>
      <c r="M279" s="136"/>
      <c r="N279" s="137"/>
    </row>
    <row r="280" hidden="1" outlineLevel="1">
      <c r="A280" s="113" t="s">
        <v>2134</v>
      </c>
      <c r="B280" s="115">
        <v>46178.0</v>
      </c>
      <c r="C280" s="118" t="str">
        <f t="shared" si="31"/>
        <v>Fri</v>
      </c>
      <c r="D280" s="128">
        <f t="shared" si="32"/>
        <v>1</v>
      </c>
      <c r="E280" s="131" t="s">
        <v>142</v>
      </c>
      <c r="F280" s="134" t="s">
        <v>142</v>
      </c>
      <c r="G280" s="134" t="s">
        <v>142</v>
      </c>
      <c r="H280" s="134" t="s">
        <v>142</v>
      </c>
      <c r="I280" s="134" t="s">
        <v>142</v>
      </c>
      <c r="J280" s="134" t="s">
        <v>142</v>
      </c>
      <c r="K280" s="134" t="s">
        <v>142</v>
      </c>
      <c r="L280" s="134" t="s">
        <v>142</v>
      </c>
      <c r="M280" s="136"/>
      <c r="N280" s="131"/>
    </row>
    <row r="281" hidden="1" outlineLevel="1">
      <c r="A281" s="113" t="s">
        <v>2135</v>
      </c>
      <c r="B281" s="115">
        <v>46178.0</v>
      </c>
      <c r="C281" s="118" t="str">
        <f t="shared" si="31"/>
        <v>Fri</v>
      </c>
      <c r="D281" s="143">
        <f t="shared" si="32"/>
        <v>1</v>
      </c>
      <c r="E281" s="144" t="s">
        <v>142</v>
      </c>
      <c r="F281" s="134" t="s">
        <v>142</v>
      </c>
      <c r="G281" s="134" t="s">
        <v>142</v>
      </c>
      <c r="H281" s="134" t="s">
        <v>142</v>
      </c>
      <c r="I281" s="134" t="s">
        <v>142</v>
      </c>
      <c r="J281" s="134" t="s">
        <v>142</v>
      </c>
      <c r="K281" s="134" t="s">
        <v>142</v>
      </c>
      <c r="L281" s="134" t="s">
        <v>142</v>
      </c>
      <c r="M281" s="136"/>
      <c r="N281" s="131"/>
    </row>
    <row r="282" hidden="1" outlineLevel="1">
      <c r="A282" s="113" t="s">
        <v>2136</v>
      </c>
      <c r="B282" s="115">
        <v>46178.0</v>
      </c>
      <c r="C282" s="118" t="str">
        <f t="shared" si="31"/>
        <v>Fri</v>
      </c>
      <c r="D282" s="128">
        <f t="shared" si="32"/>
        <v>1</v>
      </c>
      <c r="E282" s="131" t="s">
        <v>142</v>
      </c>
      <c r="F282" s="134" t="s">
        <v>142</v>
      </c>
      <c r="G282" s="134" t="s">
        <v>142</v>
      </c>
      <c r="H282" s="134" t="s">
        <v>142</v>
      </c>
      <c r="I282" s="134" t="s">
        <v>142</v>
      </c>
      <c r="J282" s="134" t="s">
        <v>142</v>
      </c>
      <c r="K282" s="134" t="s">
        <v>142</v>
      </c>
      <c r="L282" s="134" t="s">
        <v>142</v>
      </c>
      <c r="M282" s="136"/>
      <c r="N282" s="131"/>
    </row>
    <row r="283" hidden="1" outlineLevel="1">
      <c r="A283" s="113" t="s">
        <v>2137</v>
      </c>
      <c r="B283" s="115">
        <v>46179.0</v>
      </c>
      <c r="C283" s="118" t="str">
        <f t="shared" si="31"/>
        <v>Sat</v>
      </c>
      <c r="D283" s="143">
        <f t="shared" si="32"/>
        <v>1</v>
      </c>
      <c r="E283" s="144" t="s">
        <v>142</v>
      </c>
      <c r="F283" s="134" t="s">
        <v>142</v>
      </c>
      <c r="G283" s="134" t="s">
        <v>142</v>
      </c>
      <c r="H283" s="134" t="s">
        <v>142</v>
      </c>
      <c r="I283" s="134" t="s">
        <v>142</v>
      </c>
      <c r="J283" s="134" t="s">
        <v>142</v>
      </c>
      <c r="K283" s="134" t="s">
        <v>142</v>
      </c>
      <c r="L283" s="134" t="s">
        <v>142</v>
      </c>
      <c r="M283" s="136"/>
      <c r="N283" s="137"/>
    </row>
    <row r="284" hidden="1" outlineLevel="1">
      <c r="A284" s="113" t="s">
        <v>2138</v>
      </c>
      <c r="B284" s="115">
        <v>46179.0</v>
      </c>
      <c r="C284" s="118" t="str">
        <f t="shared" si="31"/>
        <v>Sat</v>
      </c>
      <c r="D284" s="128">
        <f t="shared" si="32"/>
        <v>1</v>
      </c>
      <c r="E284" s="131" t="s">
        <v>142</v>
      </c>
      <c r="F284" s="134" t="s">
        <v>142</v>
      </c>
      <c r="G284" s="134" t="s">
        <v>142</v>
      </c>
      <c r="H284" s="134" t="s">
        <v>142</v>
      </c>
      <c r="I284" s="134" t="s">
        <v>142</v>
      </c>
      <c r="J284" s="134" t="s">
        <v>142</v>
      </c>
      <c r="K284" s="134" t="s">
        <v>142</v>
      </c>
      <c r="L284" s="134" t="s">
        <v>142</v>
      </c>
      <c r="M284" s="136"/>
      <c r="N284" s="137"/>
    </row>
    <row r="285" ht="15.0" hidden="1" customHeight="1" outlineLevel="1">
      <c r="A285" s="113" t="s">
        <v>2139</v>
      </c>
      <c r="B285" s="115">
        <v>46179.0</v>
      </c>
      <c r="C285" s="118" t="str">
        <f t="shared" si="31"/>
        <v>Sat</v>
      </c>
      <c r="D285" s="143">
        <f t="shared" si="32"/>
        <v>1</v>
      </c>
      <c r="E285" s="144" t="s">
        <v>142</v>
      </c>
      <c r="F285" s="134" t="s">
        <v>142</v>
      </c>
      <c r="G285" s="134" t="s">
        <v>142</v>
      </c>
      <c r="H285" s="134" t="s">
        <v>142</v>
      </c>
      <c r="I285" s="134" t="s">
        <v>142</v>
      </c>
      <c r="J285" s="134" t="s">
        <v>142</v>
      </c>
      <c r="K285" s="134" t="s">
        <v>142</v>
      </c>
      <c r="L285" s="134" t="s">
        <v>142</v>
      </c>
      <c r="M285" s="136"/>
      <c r="N285" s="131"/>
    </row>
    <row r="286" hidden="1" outlineLevel="1">
      <c r="B286" s="215"/>
      <c r="C286" s="216" t="s">
        <v>199</v>
      </c>
      <c r="D286" s="217">
        <f>AVERAGE(D271:D285)</f>
        <v>1</v>
      </c>
      <c r="E286" s="472"/>
      <c r="L286" s="216" t="s">
        <v>199</v>
      </c>
      <c r="M286" s="217">
        <f>SUM(M271:M285)/75*0.1</f>
        <v>0</v>
      </c>
    </row>
    <row r="287" hidden="1" collapsed="1">
      <c r="A287" s="85" t="s">
        <v>2092</v>
      </c>
      <c r="B287" s="86"/>
      <c r="C287" s="86"/>
      <c r="D287" s="359"/>
      <c r="E287" s="89"/>
      <c r="F287" s="89"/>
      <c r="G287" s="91"/>
      <c r="H287" s="91"/>
      <c r="I287" s="91"/>
      <c r="J287" s="91"/>
      <c r="K287" s="91"/>
      <c r="L287" s="91"/>
      <c r="M287" s="93"/>
      <c r="N287" s="95"/>
    </row>
    <row r="288" hidden="1" outlineLevel="1">
      <c r="A288" s="96" t="s">
        <v>89</v>
      </c>
      <c r="B288" s="98" t="s">
        <v>90</v>
      </c>
      <c r="C288" s="98" t="s">
        <v>91</v>
      </c>
      <c r="D288" s="101" t="s">
        <v>93</v>
      </c>
      <c r="E288" s="102" t="s">
        <v>94</v>
      </c>
      <c r="F288" s="102" t="s">
        <v>95</v>
      </c>
      <c r="G288" s="105" t="s">
        <v>96</v>
      </c>
      <c r="H288" s="107" t="s">
        <v>97</v>
      </c>
      <c r="I288" s="107" t="s">
        <v>104</v>
      </c>
      <c r="J288" s="105" t="s">
        <v>106</v>
      </c>
      <c r="K288" s="107" t="s">
        <v>109</v>
      </c>
      <c r="L288" s="105" t="s">
        <v>111</v>
      </c>
      <c r="M288" s="98" t="s">
        <v>114</v>
      </c>
      <c r="N288" s="101" t="s">
        <v>116</v>
      </c>
    </row>
    <row r="289" hidden="1" outlineLevel="1">
      <c r="A289" s="353" t="s">
        <v>2140</v>
      </c>
      <c r="B289" s="115">
        <v>46182.0</v>
      </c>
      <c r="C289" s="118" t="str">
        <f t="shared" ref="C289:C303" si="33">IF(B289="", "", TEXT(B289, "ddd"))</f>
        <v>Tue</v>
      </c>
      <c r="D289" s="143">
        <f t="shared" ref="D289:D303" si="34">IF(E289="Yes",0.05,0)
+IF(F289="Yes",0.1,0)
+IF(G289="Yes",0.15,0)
+IF(H289="Yes",0.15,0)
+IF(I289="Yes",0.05,0)
+IF(J289="Yes",0.05,0)
+IF(K289="Yes",0.15,0)
+IF(L289="Yes",0.3,0)
</f>
        <v>1</v>
      </c>
      <c r="E289" s="144" t="s">
        <v>142</v>
      </c>
      <c r="F289" s="134" t="s">
        <v>142</v>
      </c>
      <c r="G289" s="134" t="s">
        <v>142</v>
      </c>
      <c r="H289" s="134" t="s">
        <v>142</v>
      </c>
      <c r="I289" s="134" t="s">
        <v>142</v>
      </c>
      <c r="J289" s="134" t="s">
        <v>142</v>
      </c>
      <c r="K289" s="134" t="s">
        <v>142</v>
      </c>
      <c r="L289" s="134" t="s">
        <v>142</v>
      </c>
      <c r="M289" s="136"/>
      <c r="N289" s="137"/>
    </row>
    <row r="290" hidden="1" outlineLevel="1">
      <c r="A290" s="353" t="s">
        <v>2141</v>
      </c>
      <c r="B290" s="115">
        <v>46182.0</v>
      </c>
      <c r="C290" s="118" t="str">
        <f t="shared" si="33"/>
        <v>Tue</v>
      </c>
      <c r="D290" s="128">
        <f t="shared" si="34"/>
        <v>1</v>
      </c>
      <c r="E290" s="131" t="s">
        <v>142</v>
      </c>
      <c r="F290" s="134" t="s">
        <v>142</v>
      </c>
      <c r="G290" s="134" t="s">
        <v>142</v>
      </c>
      <c r="H290" s="134" t="s">
        <v>142</v>
      </c>
      <c r="I290" s="134" t="s">
        <v>142</v>
      </c>
      <c r="J290" s="134" t="s">
        <v>142</v>
      </c>
      <c r="K290" s="134" t="s">
        <v>142</v>
      </c>
      <c r="L290" s="134" t="s">
        <v>142</v>
      </c>
      <c r="M290" s="136"/>
      <c r="N290" s="131"/>
    </row>
    <row r="291" hidden="1" outlineLevel="1">
      <c r="A291" s="353" t="s">
        <v>2142</v>
      </c>
      <c r="B291" s="115">
        <v>46182.0</v>
      </c>
      <c r="C291" s="118" t="str">
        <f t="shared" si="33"/>
        <v>Tue</v>
      </c>
      <c r="D291" s="143">
        <f t="shared" si="34"/>
        <v>1</v>
      </c>
      <c r="E291" s="144" t="s">
        <v>142</v>
      </c>
      <c r="F291" s="134" t="s">
        <v>142</v>
      </c>
      <c r="G291" s="134" t="s">
        <v>142</v>
      </c>
      <c r="H291" s="134" t="s">
        <v>142</v>
      </c>
      <c r="I291" s="134" t="s">
        <v>142</v>
      </c>
      <c r="J291" s="134" t="s">
        <v>142</v>
      </c>
      <c r="K291" s="134" t="s">
        <v>142</v>
      </c>
      <c r="L291" s="134" t="s">
        <v>142</v>
      </c>
      <c r="M291" s="136"/>
      <c r="N291" s="131"/>
    </row>
    <row r="292" hidden="1" outlineLevel="1">
      <c r="A292" s="113" t="s">
        <v>2143</v>
      </c>
      <c r="B292" s="115">
        <v>46183.0</v>
      </c>
      <c r="C292" s="118" t="str">
        <f t="shared" si="33"/>
        <v>Wed</v>
      </c>
      <c r="D292" s="128">
        <f t="shared" si="34"/>
        <v>1</v>
      </c>
      <c r="E292" s="131" t="s">
        <v>142</v>
      </c>
      <c r="F292" s="134" t="s">
        <v>142</v>
      </c>
      <c r="G292" s="134" t="s">
        <v>142</v>
      </c>
      <c r="H292" s="134" t="s">
        <v>142</v>
      </c>
      <c r="I292" s="134" t="s">
        <v>142</v>
      </c>
      <c r="J292" s="134" t="s">
        <v>142</v>
      </c>
      <c r="K292" s="134" t="s">
        <v>142</v>
      </c>
      <c r="L292" s="134" t="s">
        <v>142</v>
      </c>
      <c r="M292" s="136"/>
      <c r="N292" s="137"/>
    </row>
    <row r="293" hidden="1" outlineLevel="1">
      <c r="A293" s="113" t="s">
        <v>2145</v>
      </c>
      <c r="B293" s="115">
        <v>46183.0</v>
      </c>
      <c r="C293" s="118" t="str">
        <f t="shared" si="33"/>
        <v>Wed</v>
      </c>
      <c r="D293" s="143">
        <f t="shared" si="34"/>
        <v>1</v>
      </c>
      <c r="E293" s="144" t="s">
        <v>142</v>
      </c>
      <c r="F293" s="134" t="s">
        <v>142</v>
      </c>
      <c r="G293" s="134" t="s">
        <v>142</v>
      </c>
      <c r="H293" s="134" t="s">
        <v>142</v>
      </c>
      <c r="I293" s="134" t="s">
        <v>142</v>
      </c>
      <c r="J293" s="134" t="s">
        <v>142</v>
      </c>
      <c r="K293" s="134" t="s">
        <v>142</v>
      </c>
      <c r="L293" s="134" t="s">
        <v>142</v>
      </c>
      <c r="M293" s="136"/>
      <c r="N293" s="137"/>
    </row>
    <row r="294" hidden="1" outlineLevel="1">
      <c r="A294" s="113" t="s">
        <v>2147</v>
      </c>
      <c r="B294" s="115">
        <v>46183.0</v>
      </c>
      <c r="C294" s="118" t="str">
        <f t="shared" si="33"/>
        <v>Wed</v>
      </c>
      <c r="D294" s="128">
        <f t="shared" si="34"/>
        <v>1</v>
      </c>
      <c r="E294" s="131" t="s">
        <v>142</v>
      </c>
      <c r="F294" s="134" t="s">
        <v>142</v>
      </c>
      <c r="G294" s="134" t="s">
        <v>142</v>
      </c>
      <c r="H294" s="134" t="s">
        <v>142</v>
      </c>
      <c r="I294" s="134" t="s">
        <v>142</v>
      </c>
      <c r="J294" s="134" t="s">
        <v>142</v>
      </c>
      <c r="K294" s="134" t="s">
        <v>142</v>
      </c>
      <c r="L294" s="134" t="s">
        <v>142</v>
      </c>
      <c r="M294" s="136"/>
      <c r="N294" s="137"/>
    </row>
    <row r="295" hidden="1" outlineLevel="1">
      <c r="A295" s="113" t="s">
        <v>2148</v>
      </c>
      <c r="B295" s="115">
        <v>46184.0</v>
      </c>
      <c r="C295" s="118" t="str">
        <f t="shared" si="33"/>
        <v>Thu</v>
      </c>
      <c r="D295" s="143">
        <f t="shared" si="34"/>
        <v>1</v>
      </c>
      <c r="E295" s="144" t="s">
        <v>142</v>
      </c>
      <c r="F295" s="134" t="s">
        <v>142</v>
      </c>
      <c r="G295" s="134" t="s">
        <v>142</v>
      </c>
      <c r="H295" s="134" t="s">
        <v>142</v>
      </c>
      <c r="I295" s="134" t="s">
        <v>142</v>
      </c>
      <c r="J295" s="134" t="s">
        <v>142</v>
      </c>
      <c r="K295" s="134" t="s">
        <v>142</v>
      </c>
      <c r="L295" s="134" t="s">
        <v>142</v>
      </c>
      <c r="M295" s="136"/>
      <c r="N295" s="137"/>
    </row>
    <row r="296" hidden="1" outlineLevel="1">
      <c r="A296" s="113" t="s">
        <v>2149</v>
      </c>
      <c r="B296" s="115">
        <v>46184.0</v>
      </c>
      <c r="C296" s="118" t="str">
        <f t="shared" si="33"/>
        <v>Thu</v>
      </c>
      <c r="D296" s="128">
        <f t="shared" si="34"/>
        <v>1</v>
      </c>
      <c r="E296" s="131" t="s">
        <v>142</v>
      </c>
      <c r="F296" s="134" t="s">
        <v>142</v>
      </c>
      <c r="G296" s="134" t="s">
        <v>142</v>
      </c>
      <c r="H296" s="134" t="s">
        <v>142</v>
      </c>
      <c r="I296" s="134" t="s">
        <v>142</v>
      </c>
      <c r="J296" s="134" t="s">
        <v>142</v>
      </c>
      <c r="K296" s="134" t="s">
        <v>142</v>
      </c>
      <c r="L296" s="134" t="s">
        <v>142</v>
      </c>
      <c r="M296" s="136"/>
      <c r="N296" s="131"/>
    </row>
    <row r="297" hidden="1" outlineLevel="1">
      <c r="A297" s="113" t="s">
        <v>2151</v>
      </c>
      <c r="B297" s="115">
        <v>46184.0</v>
      </c>
      <c r="C297" s="118" t="str">
        <f t="shared" si="33"/>
        <v>Thu</v>
      </c>
      <c r="D297" s="143">
        <f t="shared" si="34"/>
        <v>1</v>
      </c>
      <c r="E297" s="144" t="s">
        <v>142</v>
      </c>
      <c r="F297" s="134" t="s">
        <v>142</v>
      </c>
      <c r="G297" s="134" t="s">
        <v>142</v>
      </c>
      <c r="H297" s="134" t="s">
        <v>142</v>
      </c>
      <c r="I297" s="134" t="s">
        <v>142</v>
      </c>
      <c r="J297" s="134" t="s">
        <v>142</v>
      </c>
      <c r="K297" s="134" t="s">
        <v>142</v>
      </c>
      <c r="L297" s="134" t="s">
        <v>142</v>
      </c>
      <c r="M297" s="136"/>
      <c r="N297" s="137"/>
    </row>
    <row r="298" hidden="1" outlineLevel="1">
      <c r="A298" s="113" t="s">
        <v>2152</v>
      </c>
      <c r="B298" s="115">
        <v>46186.0</v>
      </c>
      <c r="C298" s="118" t="str">
        <f t="shared" si="33"/>
        <v>Sat</v>
      </c>
      <c r="D298" s="128">
        <f t="shared" si="34"/>
        <v>1</v>
      </c>
      <c r="E298" s="131" t="s">
        <v>142</v>
      </c>
      <c r="F298" s="134" t="s">
        <v>142</v>
      </c>
      <c r="G298" s="134" t="s">
        <v>142</v>
      </c>
      <c r="H298" s="134" t="s">
        <v>142</v>
      </c>
      <c r="I298" s="134" t="s">
        <v>142</v>
      </c>
      <c r="J298" s="134" t="s">
        <v>142</v>
      </c>
      <c r="K298" s="134" t="s">
        <v>142</v>
      </c>
      <c r="L298" s="134" t="s">
        <v>142</v>
      </c>
      <c r="M298" s="136"/>
      <c r="N298" s="131"/>
    </row>
    <row r="299" hidden="1" outlineLevel="1">
      <c r="A299" s="113" t="s">
        <v>2154</v>
      </c>
      <c r="B299" s="115">
        <v>46186.0</v>
      </c>
      <c r="C299" s="118" t="str">
        <f t="shared" si="33"/>
        <v>Sat</v>
      </c>
      <c r="D299" s="143">
        <f t="shared" si="34"/>
        <v>1</v>
      </c>
      <c r="E299" s="144" t="s">
        <v>142</v>
      </c>
      <c r="F299" s="134" t="s">
        <v>142</v>
      </c>
      <c r="G299" s="134" t="s">
        <v>142</v>
      </c>
      <c r="H299" s="134" t="s">
        <v>142</v>
      </c>
      <c r="I299" s="134" t="s">
        <v>142</v>
      </c>
      <c r="J299" s="134" t="s">
        <v>142</v>
      </c>
      <c r="K299" s="134" t="s">
        <v>142</v>
      </c>
      <c r="L299" s="134" t="s">
        <v>142</v>
      </c>
      <c r="M299" s="136"/>
      <c r="N299" s="131"/>
    </row>
    <row r="300" hidden="1" outlineLevel="1">
      <c r="A300" s="113" t="s">
        <v>2157</v>
      </c>
      <c r="B300" s="115">
        <v>46186.0</v>
      </c>
      <c r="C300" s="118" t="str">
        <f t="shared" si="33"/>
        <v>Sat</v>
      </c>
      <c r="D300" s="128">
        <f t="shared" si="34"/>
        <v>1</v>
      </c>
      <c r="E300" s="131" t="s">
        <v>142</v>
      </c>
      <c r="F300" s="134" t="s">
        <v>142</v>
      </c>
      <c r="G300" s="134" t="s">
        <v>142</v>
      </c>
      <c r="H300" s="134" t="s">
        <v>142</v>
      </c>
      <c r="I300" s="134" t="s">
        <v>142</v>
      </c>
      <c r="J300" s="134" t="s">
        <v>142</v>
      </c>
      <c r="K300" s="134" t="s">
        <v>142</v>
      </c>
      <c r="L300" s="134" t="s">
        <v>142</v>
      </c>
      <c r="M300" s="136"/>
      <c r="N300" s="131"/>
    </row>
    <row r="301" hidden="1" outlineLevel="1">
      <c r="A301" s="113" t="s">
        <v>2159</v>
      </c>
      <c r="B301" s="115">
        <v>46187.0</v>
      </c>
      <c r="C301" s="118" t="str">
        <f t="shared" si="33"/>
        <v>Sun</v>
      </c>
      <c r="D301" s="143">
        <f t="shared" si="34"/>
        <v>1</v>
      </c>
      <c r="E301" s="144" t="s">
        <v>142</v>
      </c>
      <c r="F301" s="134" t="s">
        <v>142</v>
      </c>
      <c r="G301" s="134" t="s">
        <v>142</v>
      </c>
      <c r="H301" s="134" t="s">
        <v>142</v>
      </c>
      <c r="I301" s="134" t="s">
        <v>142</v>
      </c>
      <c r="J301" s="134" t="s">
        <v>142</v>
      </c>
      <c r="K301" s="134" t="s">
        <v>142</v>
      </c>
      <c r="L301" s="134" t="s">
        <v>142</v>
      </c>
      <c r="M301" s="136"/>
      <c r="N301" s="137"/>
    </row>
    <row r="302" hidden="1" outlineLevel="1">
      <c r="A302" s="113" t="s">
        <v>2160</v>
      </c>
      <c r="B302" s="115">
        <v>46187.0</v>
      </c>
      <c r="C302" s="118" t="str">
        <f t="shared" si="33"/>
        <v>Sun</v>
      </c>
      <c r="D302" s="128">
        <f t="shared" si="34"/>
        <v>1</v>
      </c>
      <c r="E302" s="131" t="s">
        <v>142</v>
      </c>
      <c r="F302" s="134" t="s">
        <v>142</v>
      </c>
      <c r="G302" s="134" t="s">
        <v>142</v>
      </c>
      <c r="H302" s="134" t="s">
        <v>142</v>
      </c>
      <c r="I302" s="134" t="s">
        <v>142</v>
      </c>
      <c r="J302" s="134" t="s">
        <v>142</v>
      </c>
      <c r="K302" s="134" t="s">
        <v>142</v>
      </c>
      <c r="L302" s="134" t="s">
        <v>142</v>
      </c>
      <c r="M302" s="136"/>
      <c r="N302" s="137"/>
    </row>
    <row r="303" ht="15.0" hidden="1" customHeight="1" outlineLevel="1">
      <c r="A303" s="113" t="s">
        <v>2161</v>
      </c>
      <c r="B303" s="115">
        <v>46187.0</v>
      </c>
      <c r="C303" s="118" t="str">
        <f t="shared" si="33"/>
        <v>Sun</v>
      </c>
      <c r="D303" s="143">
        <f t="shared" si="34"/>
        <v>1</v>
      </c>
      <c r="E303" s="144" t="s">
        <v>142</v>
      </c>
      <c r="F303" s="134" t="s">
        <v>142</v>
      </c>
      <c r="G303" s="134" t="s">
        <v>142</v>
      </c>
      <c r="H303" s="134" t="s">
        <v>142</v>
      </c>
      <c r="I303" s="134" t="s">
        <v>142</v>
      </c>
      <c r="J303" s="134" t="s">
        <v>142</v>
      </c>
      <c r="K303" s="134" t="s">
        <v>142</v>
      </c>
      <c r="L303" s="134" t="s">
        <v>142</v>
      </c>
      <c r="M303" s="136"/>
      <c r="N303" s="131"/>
    </row>
    <row r="304" hidden="1" outlineLevel="1">
      <c r="B304" s="215"/>
      <c r="C304" s="216" t="s">
        <v>199</v>
      </c>
      <c r="D304" s="217">
        <f>AVERAGE(D289:D303)</f>
        <v>1</v>
      </c>
      <c r="E304" s="472"/>
      <c r="L304" s="216" t="s">
        <v>199</v>
      </c>
      <c r="M304" s="217">
        <f>SUM(M289:M303)/75*0.1</f>
        <v>0</v>
      </c>
    </row>
    <row r="305" hidden="1" collapsed="1">
      <c r="A305" s="85" t="s">
        <v>2131</v>
      </c>
      <c r="B305" s="86"/>
      <c r="C305" s="86"/>
      <c r="D305" s="359"/>
      <c r="E305" s="89"/>
      <c r="F305" s="89"/>
      <c r="G305" s="91"/>
      <c r="H305" s="91"/>
      <c r="I305" s="91"/>
      <c r="J305" s="91"/>
      <c r="K305" s="91"/>
      <c r="L305" s="91"/>
      <c r="M305" s="93"/>
      <c r="N305" s="95"/>
    </row>
    <row r="306" hidden="1" outlineLevel="1">
      <c r="A306" s="96" t="s">
        <v>89</v>
      </c>
      <c r="B306" s="98" t="s">
        <v>90</v>
      </c>
      <c r="C306" s="98" t="s">
        <v>91</v>
      </c>
      <c r="D306" s="101" t="s">
        <v>93</v>
      </c>
      <c r="E306" s="102" t="s">
        <v>94</v>
      </c>
      <c r="F306" s="102" t="s">
        <v>95</v>
      </c>
      <c r="G306" s="105" t="s">
        <v>96</v>
      </c>
      <c r="H306" s="107" t="s">
        <v>97</v>
      </c>
      <c r="I306" s="107" t="s">
        <v>104</v>
      </c>
      <c r="J306" s="105" t="s">
        <v>106</v>
      </c>
      <c r="K306" s="107" t="s">
        <v>109</v>
      </c>
      <c r="L306" s="105" t="s">
        <v>111</v>
      </c>
      <c r="M306" s="98" t="s">
        <v>114</v>
      </c>
      <c r="N306" s="101" t="s">
        <v>116</v>
      </c>
    </row>
    <row r="307" hidden="1" outlineLevel="1">
      <c r="A307" s="590" t="s">
        <v>2133</v>
      </c>
      <c r="B307" s="115"/>
      <c r="C307" s="118" t="str">
        <f t="shared" ref="C307:C321" si="35">IF(B307="", "", TEXT(B307, "ddd"))</f>
        <v/>
      </c>
      <c r="D307" s="143">
        <f t="shared" ref="D307:D321" si="36">IF(E307="Yes",0.05,0)
+IF(F307="Yes",0.1,0)
+IF(G307="Yes",0.15,0)
+IF(H307="Yes",0.15,0)
+IF(I307="Yes",0.05,0)
+IF(J307="Yes",0.05,0)
+IF(K307="Yes",0.15,0)
+IF(L307="Yes",0.3,0)
</f>
        <v>1</v>
      </c>
      <c r="E307" s="144" t="s">
        <v>142</v>
      </c>
      <c r="F307" s="134" t="s">
        <v>142</v>
      </c>
      <c r="G307" s="134" t="s">
        <v>142</v>
      </c>
      <c r="H307" s="134" t="s">
        <v>142</v>
      </c>
      <c r="I307" s="134" t="s">
        <v>142</v>
      </c>
      <c r="J307" s="134" t="s">
        <v>142</v>
      </c>
      <c r="K307" s="134" t="s">
        <v>142</v>
      </c>
      <c r="L307" s="134" t="s">
        <v>142</v>
      </c>
      <c r="M307" s="136"/>
      <c r="N307" s="137"/>
    </row>
    <row r="308" hidden="1" outlineLevel="1">
      <c r="A308" s="590" t="s">
        <v>2133</v>
      </c>
      <c r="B308" s="115"/>
      <c r="C308" s="118" t="str">
        <f t="shared" si="35"/>
        <v/>
      </c>
      <c r="D308" s="128">
        <f t="shared" si="36"/>
        <v>1</v>
      </c>
      <c r="E308" s="131" t="s">
        <v>142</v>
      </c>
      <c r="F308" s="134" t="s">
        <v>142</v>
      </c>
      <c r="G308" s="134" t="s">
        <v>142</v>
      </c>
      <c r="H308" s="134" t="s">
        <v>142</v>
      </c>
      <c r="I308" s="134" t="s">
        <v>142</v>
      </c>
      <c r="J308" s="134" t="s">
        <v>142</v>
      </c>
      <c r="K308" s="134" t="s">
        <v>142</v>
      </c>
      <c r="L308" s="134" t="s">
        <v>142</v>
      </c>
      <c r="M308" s="136"/>
      <c r="N308" s="131"/>
    </row>
    <row r="309" hidden="1" outlineLevel="1">
      <c r="A309" s="590" t="s">
        <v>2133</v>
      </c>
      <c r="B309" s="115"/>
      <c r="C309" s="118" t="str">
        <f t="shared" si="35"/>
        <v/>
      </c>
      <c r="D309" s="143">
        <f t="shared" si="36"/>
        <v>1</v>
      </c>
      <c r="E309" s="144" t="s">
        <v>142</v>
      </c>
      <c r="F309" s="134" t="s">
        <v>142</v>
      </c>
      <c r="G309" s="134" t="s">
        <v>142</v>
      </c>
      <c r="H309" s="134" t="s">
        <v>142</v>
      </c>
      <c r="I309" s="134" t="s">
        <v>142</v>
      </c>
      <c r="J309" s="134" t="s">
        <v>142</v>
      </c>
      <c r="K309" s="134" t="s">
        <v>142</v>
      </c>
      <c r="L309" s="134" t="s">
        <v>142</v>
      </c>
      <c r="M309" s="136"/>
      <c r="N309" s="131"/>
    </row>
    <row r="310" hidden="1" outlineLevel="1">
      <c r="A310" s="590" t="s">
        <v>2133</v>
      </c>
      <c r="B310" s="115"/>
      <c r="C310" s="118" t="str">
        <f t="shared" si="35"/>
        <v/>
      </c>
      <c r="D310" s="128">
        <f t="shared" si="36"/>
        <v>1</v>
      </c>
      <c r="E310" s="131" t="s">
        <v>142</v>
      </c>
      <c r="F310" s="134" t="s">
        <v>142</v>
      </c>
      <c r="G310" s="134" t="s">
        <v>142</v>
      </c>
      <c r="H310" s="134" t="s">
        <v>142</v>
      </c>
      <c r="I310" s="134" t="s">
        <v>142</v>
      </c>
      <c r="J310" s="134" t="s">
        <v>142</v>
      </c>
      <c r="K310" s="134" t="s">
        <v>142</v>
      </c>
      <c r="L310" s="134" t="s">
        <v>142</v>
      </c>
      <c r="M310" s="136"/>
      <c r="N310" s="137"/>
    </row>
    <row r="311" hidden="1" outlineLevel="1">
      <c r="A311" s="590" t="s">
        <v>2133</v>
      </c>
      <c r="B311" s="115"/>
      <c r="C311" s="118" t="str">
        <f t="shared" si="35"/>
        <v/>
      </c>
      <c r="D311" s="143">
        <f t="shared" si="36"/>
        <v>1</v>
      </c>
      <c r="E311" s="144" t="s">
        <v>142</v>
      </c>
      <c r="F311" s="134" t="s">
        <v>142</v>
      </c>
      <c r="G311" s="134" t="s">
        <v>142</v>
      </c>
      <c r="H311" s="134" t="s">
        <v>142</v>
      </c>
      <c r="I311" s="134" t="s">
        <v>142</v>
      </c>
      <c r="J311" s="134" t="s">
        <v>142</v>
      </c>
      <c r="K311" s="134" t="s">
        <v>142</v>
      </c>
      <c r="L311" s="134" t="s">
        <v>142</v>
      </c>
      <c r="M311" s="136"/>
      <c r="N311" s="137"/>
    </row>
    <row r="312" hidden="1" outlineLevel="1">
      <c r="A312" s="590" t="s">
        <v>2133</v>
      </c>
      <c r="B312" s="115"/>
      <c r="C312" s="118" t="str">
        <f t="shared" si="35"/>
        <v/>
      </c>
      <c r="D312" s="128">
        <f t="shared" si="36"/>
        <v>1</v>
      </c>
      <c r="E312" s="131" t="s">
        <v>142</v>
      </c>
      <c r="F312" s="134" t="s">
        <v>142</v>
      </c>
      <c r="G312" s="134" t="s">
        <v>142</v>
      </c>
      <c r="H312" s="134" t="s">
        <v>142</v>
      </c>
      <c r="I312" s="134" t="s">
        <v>142</v>
      </c>
      <c r="J312" s="134" t="s">
        <v>142</v>
      </c>
      <c r="K312" s="134" t="s">
        <v>142</v>
      </c>
      <c r="L312" s="134" t="s">
        <v>142</v>
      </c>
      <c r="M312" s="136"/>
      <c r="N312" s="137"/>
    </row>
    <row r="313" hidden="1" outlineLevel="1">
      <c r="A313" s="590" t="s">
        <v>2133</v>
      </c>
      <c r="B313" s="115"/>
      <c r="C313" s="118" t="str">
        <f t="shared" si="35"/>
        <v/>
      </c>
      <c r="D313" s="143">
        <f t="shared" si="36"/>
        <v>1</v>
      </c>
      <c r="E313" s="144" t="s">
        <v>142</v>
      </c>
      <c r="F313" s="134" t="s">
        <v>142</v>
      </c>
      <c r="G313" s="134" t="s">
        <v>142</v>
      </c>
      <c r="H313" s="134" t="s">
        <v>142</v>
      </c>
      <c r="I313" s="134" t="s">
        <v>142</v>
      </c>
      <c r="J313" s="134" t="s">
        <v>142</v>
      </c>
      <c r="K313" s="134" t="s">
        <v>142</v>
      </c>
      <c r="L313" s="134" t="s">
        <v>142</v>
      </c>
      <c r="M313" s="136"/>
      <c r="N313" s="137"/>
    </row>
    <row r="314" hidden="1" outlineLevel="1">
      <c r="A314" s="590" t="s">
        <v>2133</v>
      </c>
      <c r="B314" s="115"/>
      <c r="C314" s="118" t="str">
        <f t="shared" si="35"/>
        <v/>
      </c>
      <c r="D314" s="128">
        <f t="shared" si="36"/>
        <v>1</v>
      </c>
      <c r="E314" s="131" t="s">
        <v>142</v>
      </c>
      <c r="F314" s="134" t="s">
        <v>142</v>
      </c>
      <c r="G314" s="134" t="s">
        <v>142</v>
      </c>
      <c r="H314" s="134" t="s">
        <v>142</v>
      </c>
      <c r="I314" s="134" t="s">
        <v>142</v>
      </c>
      <c r="J314" s="134" t="s">
        <v>142</v>
      </c>
      <c r="K314" s="134" t="s">
        <v>142</v>
      </c>
      <c r="L314" s="134" t="s">
        <v>142</v>
      </c>
      <c r="M314" s="136"/>
      <c r="N314" s="131"/>
    </row>
    <row r="315" hidden="1" outlineLevel="1">
      <c r="A315" s="590" t="s">
        <v>2133</v>
      </c>
      <c r="B315" s="115"/>
      <c r="C315" s="118" t="str">
        <f t="shared" si="35"/>
        <v/>
      </c>
      <c r="D315" s="143">
        <f t="shared" si="36"/>
        <v>1</v>
      </c>
      <c r="E315" s="144" t="s">
        <v>142</v>
      </c>
      <c r="F315" s="134" t="s">
        <v>142</v>
      </c>
      <c r="G315" s="134" t="s">
        <v>142</v>
      </c>
      <c r="H315" s="134" t="s">
        <v>142</v>
      </c>
      <c r="I315" s="134" t="s">
        <v>142</v>
      </c>
      <c r="J315" s="134" t="s">
        <v>142</v>
      </c>
      <c r="K315" s="134" t="s">
        <v>142</v>
      </c>
      <c r="L315" s="134" t="s">
        <v>142</v>
      </c>
      <c r="M315" s="136"/>
      <c r="N315" s="137"/>
    </row>
    <row r="316" hidden="1" outlineLevel="1">
      <c r="A316" s="590" t="s">
        <v>2133</v>
      </c>
      <c r="B316" s="115"/>
      <c r="C316" s="118" t="str">
        <f t="shared" si="35"/>
        <v/>
      </c>
      <c r="D316" s="128">
        <f t="shared" si="36"/>
        <v>1</v>
      </c>
      <c r="E316" s="131" t="s">
        <v>142</v>
      </c>
      <c r="F316" s="134" t="s">
        <v>142</v>
      </c>
      <c r="G316" s="134" t="s">
        <v>142</v>
      </c>
      <c r="H316" s="134" t="s">
        <v>142</v>
      </c>
      <c r="I316" s="134" t="s">
        <v>142</v>
      </c>
      <c r="J316" s="134" t="s">
        <v>142</v>
      </c>
      <c r="K316" s="134" t="s">
        <v>142</v>
      </c>
      <c r="L316" s="134" t="s">
        <v>142</v>
      </c>
      <c r="M316" s="136"/>
      <c r="N316" s="131"/>
    </row>
    <row r="317" hidden="1" outlineLevel="1">
      <c r="A317" s="590" t="s">
        <v>2133</v>
      </c>
      <c r="B317" s="115"/>
      <c r="C317" s="118" t="str">
        <f t="shared" si="35"/>
        <v/>
      </c>
      <c r="D317" s="143">
        <f t="shared" si="36"/>
        <v>1</v>
      </c>
      <c r="E317" s="144" t="s">
        <v>142</v>
      </c>
      <c r="F317" s="134" t="s">
        <v>142</v>
      </c>
      <c r="G317" s="134" t="s">
        <v>142</v>
      </c>
      <c r="H317" s="134" t="s">
        <v>142</v>
      </c>
      <c r="I317" s="134" t="s">
        <v>142</v>
      </c>
      <c r="J317" s="134" t="s">
        <v>142</v>
      </c>
      <c r="K317" s="134" t="s">
        <v>142</v>
      </c>
      <c r="L317" s="134" t="s">
        <v>142</v>
      </c>
      <c r="M317" s="136"/>
      <c r="N317" s="131"/>
    </row>
    <row r="318" hidden="1" outlineLevel="1">
      <c r="A318" s="590" t="s">
        <v>2133</v>
      </c>
      <c r="B318" s="115"/>
      <c r="C318" s="118" t="str">
        <f t="shared" si="35"/>
        <v/>
      </c>
      <c r="D318" s="128">
        <f t="shared" si="36"/>
        <v>1</v>
      </c>
      <c r="E318" s="131" t="s">
        <v>142</v>
      </c>
      <c r="F318" s="134" t="s">
        <v>142</v>
      </c>
      <c r="G318" s="134" t="s">
        <v>142</v>
      </c>
      <c r="H318" s="134" t="s">
        <v>142</v>
      </c>
      <c r="I318" s="134" t="s">
        <v>142</v>
      </c>
      <c r="J318" s="134" t="s">
        <v>142</v>
      </c>
      <c r="K318" s="134" t="s">
        <v>142</v>
      </c>
      <c r="L318" s="134" t="s">
        <v>142</v>
      </c>
      <c r="M318" s="136"/>
      <c r="N318" s="131"/>
    </row>
    <row r="319" hidden="1" outlineLevel="1">
      <c r="A319" s="590" t="s">
        <v>2133</v>
      </c>
      <c r="B319" s="115"/>
      <c r="C319" s="118" t="str">
        <f t="shared" si="35"/>
        <v/>
      </c>
      <c r="D319" s="143">
        <f t="shared" si="36"/>
        <v>1</v>
      </c>
      <c r="E319" s="144" t="s">
        <v>142</v>
      </c>
      <c r="F319" s="134" t="s">
        <v>142</v>
      </c>
      <c r="G319" s="134" t="s">
        <v>142</v>
      </c>
      <c r="H319" s="134" t="s">
        <v>142</v>
      </c>
      <c r="I319" s="134" t="s">
        <v>142</v>
      </c>
      <c r="J319" s="134" t="s">
        <v>142</v>
      </c>
      <c r="K319" s="134" t="s">
        <v>142</v>
      </c>
      <c r="L319" s="134" t="s">
        <v>142</v>
      </c>
      <c r="M319" s="136"/>
      <c r="N319" s="137"/>
    </row>
    <row r="320" hidden="1" outlineLevel="1">
      <c r="A320" s="590" t="s">
        <v>2133</v>
      </c>
      <c r="B320" s="115"/>
      <c r="C320" s="118" t="str">
        <f t="shared" si="35"/>
        <v/>
      </c>
      <c r="D320" s="128">
        <f t="shared" si="36"/>
        <v>1</v>
      </c>
      <c r="E320" s="131" t="s">
        <v>142</v>
      </c>
      <c r="F320" s="134" t="s">
        <v>142</v>
      </c>
      <c r="G320" s="134" t="s">
        <v>142</v>
      </c>
      <c r="H320" s="134" t="s">
        <v>142</v>
      </c>
      <c r="I320" s="134" t="s">
        <v>142</v>
      </c>
      <c r="J320" s="134" t="s">
        <v>142</v>
      </c>
      <c r="K320" s="134" t="s">
        <v>142</v>
      </c>
      <c r="L320" s="134" t="s">
        <v>142</v>
      </c>
      <c r="M320" s="136"/>
      <c r="N320" s="137"/>
    </row>
    <row r="321" ht="15.0" hidden="1" customHeight="1" outlineLevel="1">
      <c r="A321" s="590" t="s">
        <v>2133</v>
      </c>
      <c r="B321" s="115"/>
      <c r="C321" s="118" t="str">
        <f t="shared" si="35"/>
        <v/>
      </c>
      <c r="D321" s="143">
        <f t="shared" si="36"/>
        <v>1</v>
      </c>
      <c r="E321" s="144" t="s">
        <v>142</v>
      </c>
      <c r="F321" s="134" t="s">
        <v>142</v>
      </c>
      <c r="G321" s="134" t="s">
        <v>142</v>
      </c>
      <c r="H321" s="134" t="s">
        <v>142</v>
      </c>
      <c r="I321" s="134" t="s">
        <v>142</v>
      </c>
      <c r="J321" s="134" t="s">
        <v>142</v>
      </c>
      <c r="K321" s="134" t="s">
        <v>142</v>
      </c>
      <c r="L321" s="134" t="s">
        <v>142</v>
      </c>
      <c r="M321" s="136"/>
      <c r="N321" s="131"/>
    </row>
    <row r="322" hidden="1" outlineLevel="1">
      <c r="B322" s="215"/>
      <c r="C322" s="216" t="s">
        <v>199</v>
      </c>
      <c r="D322" s="217">
        <f>AVERAGE(D307:D321)</f>
        <v>1</v>
      </c>
      <c r="E322" s="472"/>
      <c r="L322" s="216" t="s">
        <v>199</v>
      </c>
      <c r="M322" s="217">
        <f>SUM(M307:M321)/75*0.1</f>
        <v>0</v>
      </c>
    </row>
    <row r="323" hidden="1" collapsed="1">
      <c r="A323" s="85" t="s">
        <v>2144</v>
      </c>
      <c r="B323" s="86"/>
      <c r="C323" s="86"/>
      <c r="D323" s="359"/>
      <c r="E323" s="89"/>
      <c r="F323" s="89"/>
      <c r="G323" s="91"/>
      <c r="H323" s="91"/>
      <c r="I323" s="91"/>
      <c r="J323" s="91"/>
      <c r="K323" s="91"/>
      <c r="L323" s="91"/>
      <c r="M323" s="93"/>
      <c r="N323" s="95"/>
    </row>
    <row r="324" hidden="1" outlineLevel="1">
      <c r="A324" s="96" t="s">
        <v>89</v>
      </c>
      <c r="B324" s="98" t="s">
        <v>90</v>
      </c>
      <c r="C324" s="98" t="s">
        <v>91</v>
      </c>
      <c r="D324" s="101" t="s">
        <v>93</v>
      </c>
      <c r="E324" s="102" t="s">
        <v>94</v>
      </c>
      <c r="F324" s="102" t="s">
        <v>95</v>
      </c>
      <c r="G324" s="105" t="s">
        <v>96</v>
      </c>
      <c r="H324" s="107" t="s">
        <v>97</v>
      </c>
      <c r="I324" s="107" t="s">
        <v>104</v>
      </c>
      <c r="J324" s="105" t="s">
        <v>106</v>
      </c>
      <c r="K324" s="107" t="s">
        <v>109</v>
      </c>
      <c r="L324" s="105" t="s">
        <v>111</v>
      </c>
      <c r="M324" s="98" t="s">
        <v>114</v>
      </c>
      <c r="N324" s="101" t="s">
        <v>116</v>
      </c>
    </row>
    <row r="325" hidden="1" outlineLevel="1">
      <c r="A325" s="113" t="s">
        <v>2173</v>
      </c>
      <c r="B325" s="115">
        <v>46195.0</v>
      </c>
      <c r="C325" s="118" t="str">
        <f t="shared" ref="C325:C339" si="37">IF(B325="", "", TEXT(B325, "ddd"))</f>
        <v>Mon</v>
      </c>
      <c r="D325" s="143">
        <f t="shared" ref="D325:D339" si="38">IF(E325="Yes",0.05,0)
+IF(F325="Yes",0.1,0)
+IF(G325="Yes",0.15,0)
+IF(H325="Yes",0.15,0)
+IF(I325="Yes",0.05,0)
+IF(J325="Yes",0.05,0)
+IF(K325="Yes",0.15,0)
+IF(L325="Yes",0.3,0)
</f>
        <v>1</v>
      </c>
      <c r="E325" s="144" t="s">
        <v>142</v>
      </c>
      <c r="F325" s="134" t="s">
        <v>142</v>
      </c>
      <c r="G325" s="134" t="s">
        <v>142</v>
      </c>
      <c r="H325" s="134" t="s">
        <v>142</v>
      </c>
      <c r="I325" s="134" t="s">
        <v>142</v>
      </c>
      <c r="J325" s="134" t="s">
        <v>142</v>
      </c>
      <c r="K325" s="134" t="s">
        <v>142</v>
      </c>
      <c r="L325" s="134" t="s">
        <v>142</v>
      </c>
      <c r="M325" s="136"/>
      <c r="N325" s="137"/>
    </row>
    <row r="326" hidden="1" outlineLevel="1">
      <c r="A326" s="113" t="s">
        <v>2174</v>
      </c>
      <c r="B326" s="115">
        <v>46195.0</v>
      </c>
      <c r="C326" s="118" t="str">
        <f t="shared" si="37"/>
        <v>Mon</v>
      </c>
      <c r="D326" s="128">
        <f t="shared" si="38"/>
        <v>1</v>
      </c>
      <c r="E326" s="131" t="s">
        <v>142</v>
      </c>
      <c r="F326" s="134" t="s">
        <v>142</v>
      </c>
      <c r="G326" s="134" t="s">
        <v>142</v>
      </c>
      <c r="H326" s="134" t="s">
        <v>142</v>
      </c>
      <c r="I326" s="134" t="s">
        <v>142</v>
      </c>
      <c r="J326" s="134" t="s">
        <v>142</v>
      </c>
      <c r="K326" s="134" t="s">
        <v>142</v>
      </c>
      <c r="L326" s="134" t="s">
        <v>142</v>
      </c>
      <c r="M326" s="136"/>
      <c r="N326" s="131"/>
    </row>
    <row r="327" hidden="1" outlineLevel="1">
      <c r="A327" s="113" t="s">
        <v>2176</v>
      </c>
      <c r="B327" s="115">
        <v>46195.0</v>
      </c>
      <c r="C327" s="118" t="str">
        <f t="shared" si="37"/>
        <v>Mon</v>
      </c>
      <c r="D327" s="143">
        <f t="shared" si="38"/>
        <v>1</v>
      </c>
      <c r="E327" s="144" t="s">
        <v>142</v>
      </c>
      <c r="F327" s="134" t="s">
        <v>142</v>
      </c>
      <c r="G327" s="134" t="s">
        <v>142</v>
      </c>
      <c r="H327" s="134" t="s">
        <v>142</v>
      </c>
      <c r="I327" s="134" t="s">
        <v>142</v>
      </c>
      <c r="J327" s="134" t="s">
        <v>142</v>
      </c>
      <c r="K327" s="134" t="s">
        <v>142</v>
      </c>
      <c r="L327" s="134" t="s">
        <v>142</v>
      </c>
      <c r="M327" s="136"/>
      <c r="N327" s="131"/>
    </row>
    <row r="328" hidden="1" outlineLevel="1">
      <c r="A328" s="113" t="s">
        <v>2177</v>
      </c>
      <c r="B328" s="115">
        <v>46198.0</v>
      </c>
      <c r="C328" s="118" t="str">
        <f t="shared" si="37"/>
        <v>Thu</v>
      </c>
      <c r="D328" s="128">
        <f t="shared" si="38"/>
        <v>1</v>
      </c>
      <c r="E328" s="131" t="s">
        <v>142</v>
      </c>
      <c r="F328" s="134" t="s">
        <v>142</v>
      </c>
      <c r="G328" s="134" t="s">
        <v>142</v>
      </c>
      <c r="H328" s="134" t="s">
        <v>142</v>
      </c>
      <c r="I328" s="134" t="s">
        <v>142</v>
      </c>
      <c r="J328" s="134" t="s">
        <v>142</v>
      </c>
      <c r="K328" s="134" t="s">
        <v>142</v>
      </c>
      <c r="L328" s="134" t="s">
        <v>142</v>
      </c>
      <c r="M328" s="136"/>
      <c r="N328" s="137"/>
    </row>
    <row r="329" hidden="1" outlineLevel="1">
      <c r="A329" s="113" t="s">
        <v>2179</v>
      </c>
      <c r="B329" s="115">
        <v>46198.0</v>
      </c>
      <c r="C329" s="118" t="str">
        <f t="shared" si="37"/>
        <v>Thu</v>
      </c>
      <c r="D329" s="143">
        <f t="shared" si="38"/>
        <v>1</v>
      </c>
      <c r="E329" s="144" t="s">
        <v>142</v>
      </c>
      <c r="F329" s="134" t="s">
        <v>142</v>
      </c>
      <c r="G329" s="134" t="s">
        <v>142</v>
      </c>
      <c r="H329" s="134" t="s">
        <v>142</v>
      </c>
      <c r="I329" s="134" t="s">
        <v>142</v>
      </c>
      <c r="J329" s="134" t="s">
        <v>142</v>
      </c>
      <c r="K329" s="134" t="s">
        <v>142</v>
      </c>
      <c r="L329" s="134" t="s">
        <v>142</v>
      </c>
      <c r="M329" s="136"/>
      <c r="N329" s="137"/>
    </row>
    <row r="330" hidden="1" outlineLevel="1">
      <c r="A330" s="113" t="s">
        <v>2181</v>
      </c>
      <c r="B330" s="115">
        <v>46198.0</v>
      </c>
      <c r="C330" s="118" t="str">
        <f t="shared" si="37"/>
        <v>Thu</v>
      </c>
      <c r="D330" s="128">
        <f t="shared" si="38"/>
        <v>1</v>
      </c>
      <c r="E330" s="131" t="s">
        <v>142</v>
      </c>
      <c r="F330" s="134" t="s">
        <v>142</v>
      </c>
      <c r="G330" s="134" t="s">
        <v>142</v>
      </c>
      <c r="H330" s="134" t="s">
        <v>142</v>
      </c>
      <c r="I330" s="134" t="s">
        <v>142</v>
      </c>
      <c r="J330" s="134" t="s">
        <v>142</v>
      </c>
      <c r="K330" s="134" t="s">
        <v>142</v>
      </c>
      <c r="L330" s="134" t="s">
        <v>142</v>
      </c>
      <c r="M330" s="136"/>
      <c r="N330" s="137"/>
    </row>
    <row r="331" hidden="1" outlineLevel="1">
      <c r="A331" s="113" t="s">
        <v>2182</v>
      </c>
      <c r="B331" s="115">
        <v>46199.0</v>
      </c>
      <c r="C331" s="118" t="str">
        <f t="shared" si="37"/>
        <v>Fri</v>
      </c>
      <c r="D331" s="143">
        <f t="shared" si="38"/>
        <v>1</v>
      </c>
      <c r="E331" s="144" t="s">
        <v>142</v>
      </c>
      <c r="F331" s="134" t="s">
        <v>142</v>
      </c>
      <c r="G331" s="134" t="s">
        <v>142</v>
      </c>
      <c r="H331" s="134" t="s">
        <v>142</v>
      </c>
      <c r="I331" s="134" t="s">
        <v>142</v>
      </c>
      <c r="J331" s="134" t="s">
        <v>142</v>
      </c>
      <c r="K331" s="134" t="s">
        <v>142</v>
      </c>
      <c r="L331" s="134" t="s">
        <v>142</v>
      </c>
      <c r="M331" s="136"/>
      <c r="N331" s="137"/>
    </row>
    <row r="332" hidden="1" outlineLevel="1">
      <c r="A332" s="113" t="s">
        <v>2184</v>
      </c>
      <c r="B332" s="115">
        <v>46199.0</v>
      </c>
      <c r="C332" s="118" t="str">
        <f t="shared" si="37"/>
        <v>Fri</v>
      </c>
      <c r="D332" s="128">
        <f t="shared" si="38"/>
        <v>1</v>
      </c>
      <c r="E332" s="131" t="s">
        <v>142</v>
      </c>
      <c r="F332" s="134" t="s">
        <v>142</v>
      </c>
      <c r="G332" s="134" t="s">
        <v>142</v>
      </c>
      <c r="H332" s="134" t="s">
        <v>142</v>
      </c>
      <c r="I332" s="134" t="s">
        <v>142</v>
      </c>
      <c r="J332" s="134" t="s">
        <v>142</v>
      </c>
      <c r="K332" s="134" t="s">
        <v>142</v>
      </c>
      <c r="L332" s="134" t="s">
        <v>142</v>
      </c>
      <c r="M332" s="136"/>
      <c r="N332" s="131"/>
    </row>
    <row r="333" hidden="1" outlineLevel="1">
      <c r="A333" s="113" t="s">
        <v>2186</v>
      </c>
      <c r="B333" s="115">
        <v>46199.0</v>
      </c>
      <c r="C333" s="118" t="str">
        <f t="shared" si="37"/>
        <v>Fri</v>
      </c>
      <c r="D333" s="143">
        <f t="shared" si="38"/>
        <v>1</v>
      </c>
      <c r="E333" s="144" t="s">
        <v>142</v>
      </c>
      <c r="F333" s="134" t="s">
        <v>142</v>
      </c>
      <c r="G333" s="134" t="s">
        <v>142</v>
      </c>
      <c r="H333" s="134" t="s">
        <v>142</v>
      </c>
      <c r="I333" s="134" t="s">
        <v>142</v>
      </c>
      <c r="J333" s="134" t="s">
        <v>142</v>
      </c>
      <c r="K333" s="134" t="s">
        <v>142</v>
      </c>
      <c r="L333" s="134" t="s">
        <v>142</v>
      </c>
      <c r="M333" s="136"/>
      <c r="N333" s="137"/>
    </row>
    <row r="334" hidden="1" outlineLevel="1">
      <c r="A334" s="113" t="s">
        <v>2188</v>
      </c>
      <c r="B334" s="115">
        <v>46200.0</v>
      </c>
      <c r="C334" s="118" t="str">
        <f t="shared" si="37"/>
        <v>Sat</v>
      </c>
      <c r="D334" s="128">
        <f t="shared" si="38"/>
        <v>1</v>
      </c>
      <c r="E334" s="131" t="s">
        <v>142</v>
      </c>
      <c r="F334" s="134" t="s">
        <v>142</v>
      </c>
      <c r="G334" s="134" t="s">
        <v>142</v>
      </c>
      <c r="H334" s="134" t="s">
        <v>142</v>
      </c>
      <c r="I334" s="134" t="s">
        <v>142</v>
      </c>
      <c r="J334" s="134" t="s">
        <v>142</v>
      </c>
      <c r="K334" s="134" t="s">
        <v>142</v>
      </c>
      <c r="L334" s="134" t="s">
        <v>142</v>
      </c>
      <c r="M334" s="136"/>
      <c r="N334" s="131"/>
    </row>
    <row r="335" hidden="1" outlineLevel="1">
      <c r="A335" s="113" t="s">
        <v>2190</v>
      </c>
      <c r="B335" s="115">
        <v>46200.0</v>
      </c>
      <c r="C335" s="118" t="str">
        <f t="shared" si="37"/>
        <v>Sat</v>
      </c>
      <c r="D335" s="143">
        <f t="shared" si="38"/>
        <v>1</v>
      </c>
      <c r="E335" s="144" t="s">
        <v>142</v>
      </c>
      <c r="F335" s="134" t="s">
        <v>142</v>
      </c>
      <c r="G335" s="134" t="s">
        <v>142</v>
      </c>
      <c r="H335" s="134" t="s">
        <v>142</v>
      </c>
      <c r="I335" s="134" t="s">
        <v>142</v>
      </c>
      <c r="J335" s="134" t="s">
        <v>142</v>
      </c>
      <c r="K335" s="134" t="s">
        <v>142</v>
      </c>
      <c r="L335" s="134" t="s">
        <v>142</v>
      </c>
      <c r="M335" s="136"/>
      <c r="N335" s="131"/>
    </row>
    <row r="336" hidden="1" outlineLevel="1">
      <c r="A336" s="113" t="s">
        <v>2192</v>
      </c>
      <c r="B336" s="115">
        <v>46200.0</v>
      </c>
      <c r="C336" s="118" t="str">
        <f t="shared" si="37"/>
        <v>Sat</v>
      </c>
      <c r="D336" s="128">
        <f t="shared" si="38"/>
        <v>1</v>
      </c>
      <c r="E336" s="131" t="s">
        <v>142</v>
      </c>
      <c r="F336" s="134" t="s">
        <v>142</v>
      </c>
      <c r="G336" s="134" t="s">
        <v>142</v>
      </c>
      <c r="H336" s="134" t="s">
        <v>142</v>
      </c>
      <c r="I336" s="134" t="s">
        <v>142</v>
      </c>
      <c r="J336" s="134" t="s">
        <v>142</v>
      </c>
      <c r="K336" s="134" t="s">
        <v>142</v>
      </c>
      <c r="L336" s="134" t="s">
        <v>142</v>
      </c>
      <c r="M336" s="136"/>
      <c r="N336" s="131"/>
    </row>
    <row r="337" hidden="1" outlineLevel="1">
      <c r="A337" s="353" t="s">
        <v>2194</v>
      </c>
      <c r="B337" s="115"/>
      <c r="C337" s="118" t="str">
        <f t="shared" si="37"/>
        <v/>
      </c>
      <c r="D337" s="143">
        <f t="shared" si="38"/>
        <v>1</v>
      </c>
      <c r="E337" s="144" t="s">
        <v>142</v>
      </c>
      <c r="F337" s="134" t="s">
        <v>142</v>
      </c>
      <c r="G337" s="134" t="s">
        <v>142</v>
      </c>
      <c r="H337" s="134" t="s">
        <v>142</v>
      </c>
      <c r="I337" s="134" t="s">
        <v>142</v>
      </c>
      <c r="J337" s="134" t="s">
        <v>142</v>
      </c>
      <c r="K337" s="134" t="s">
        <v>142</v>
      </c>
      <c r="L337" s="134" t="s">
        <v>142</v>
      </c>
      <c r="M337" s="136"/>
      <c r="N337" s="137"/>
    </row>
    <row r="338" hidden="1" outlineLevel="1">
      <c r="A338" s="353" t="s">
        <v>2195</v>
      </c>
      <c r="B338" s="115"/>
      <c r="C338" s="118" t="str">
        <f t="shared" si="37"/>
        <v/>
      </c>
      <c r="D338" s="128">
        <f t="shared" si="38"/>
        <v>1</v>
      </c>
      <c r="E338" s="131" t="s">
        <v>142</v>
      </c>
      <c r="F338" s="134" t="s">
        <v>142</v>
      </c>
      <c r="G338" s="134" t="s">
        <v>142</v>
      </c>
      <c r="H338" s="134" t="s">
        <v>142</v>
      </c>
      <c r="I338" s="134" t="s">
        <v>142</v>
      </c>
      <c r="J338" s="134" t="s">
        <v>142</v>
      </c>
      <c r="K338" s="134" t="s">
        <v>142</v>
      </c>
      <c r="L338" s="134" t="s">
        <v>142</v>
      </c>
      <c r="M338" s="136"/>
      <c r="N338" s="137"/>
    </row>
    <row r="339" ht="15.0" hidden="1" customHeight="1" outlineLevel="1">
      <c r="A339" s="353" t="s">
        <v>2197</v>
      </c>
      <c r="B339" s="115"/>
      <c r="C339" s="118" t="str">
        <f t="shared" si="37"/>
        <v/>
      </c>
      <c r="D339" s="143">
        <f t="shared" si="38"/>
        <v>1</v>
      </c>
      <c r="E339" s="144" t="s">
        <v>142</v>
      </c>
      <c r="F339" s="134" t="s">
        <v>142</v>
      </c>
      <c r="G339" s="134" t="s">
        <v>142</v>
      </c>
      <c r="H339" s="134" t="s">
        <v>142</v>
      </c>
      <c r="I339" s="134" t="s">
        <v>142</v>
      </c>
      <c r="J339" s="134" t="s">
        <v>142</v>
      </c>
      <c r="K339" s="134" t="s">
        <v>142</v>
      </c>
      <c r="L339" s="134" t="s">
        <v>142</v>
      </c>
      <c r="M339" s="136"/>
      <c r="N339" s="131"/>
    </row>
    <row r="340" hidden="1" outlineLevel="1">
      <c r="B340" s="215"/>
      <c r="C340" s="216" t="s">
        <v>199</v>
      </c>
      <c r="D340" s="217">
        <f>AVERAGE(D325:D339)</f>
        <v>1</v>
      </c>
      <c r="E340" s="472"/>
      <c r="L340" s="216" t="s">
        <v>199</v>
      </c>
      <c r="M340" s="217">
        <f>SUM(M325:M339)/75*0.1</f>
        <v>0</v>
      </c>
    </row>
    <row r="341" hidden="1" collapsed="1">
      <c r="A341" s="85" t="s">
        <v>2171</v>
      </c>
      <c r="B341" s="86"/>
      <c r="C341" s="86"/>
      <c r="D341" s="359"/>
      <c r="E341" s="89"/>
      <c r="F341" s="89"/>
      <c r="G341" s="91"/>
      <c r="H341" s="91"/>
      <c r="I341" s="91"/>
      <c r="J341" s="91"/>
      <c r="K341" s="91"/>
      <c r="L341" s="91"/>
      <c r="M341" s="93"/>
      <c r="N341" s="95"/>
    </row>
    <row r="342" hidden="1" outlineLevel="1">
      <c r="A342" s="96" t="s">
        <v>89</v>
      </c>
      <c r="B342" s="98" t="s">
        <v>90</v>
      </c>
      <c r="C342" s="98" t="s">
        <v>91</v>
      </c>
      <c r="D342" s="101" t="s">
        <v>93</v>
      </c>
      <c r="E342" s="102" t="s">
        <v>94</v>
      </c>
      <c r="F342" s="102" t="s">
        <v>95</v>
      </c>
      <c r="G342" s="105" t="s">
        <v>96</v>
      </c>
      <c r="H342" s="107" t="s">
        <v>97</v>
      </c>
      <c r="I342" s="107" t="s">
        <v>104</v>
      </c>
      <c r="J342" s="105" t="s">
        <v>106</v>
      </c>
      <c r="K342" s="107" t="s">
        <v>109</v>
      </c>
      <c r="L342" s="105" t="s">
        <v>111</v>
      </c>
      <c r="M342" s="98" t="s">
        <v>114</v>
      </c>
      <c r="N342" s="101" t="s">
        <v>116</v>
      </c>
    </row>
    <row r="343" hidden="1" outlineLevel="1">
      <c r="A343" s="353" t="s">
        <v>2199</v>
      </c>
      <c r="B343" s="115">
        <v>46202.0</v>
      </c>
      <c r="C343" s="118" t="str">
        <f t="shared" ref="C343:C357" si="39">IF(B343="", "", TEXT(B343, "ddd"))</f>
        <v>Mon</v>
      </c>
      <c r="D343" s="143">
        <f t="shared" ref="D343:D357" si="40">IF(E343="Yes",0.05,0)
+IF(F343="Yes",0.1,0)
+IF(G343="Yes",0.15,0)
+IF(H343="Yes",0.15,0)
+IF(I343="Yes",0.05,0)
+IF(J343="Yes",0.05,0)
+IF(K343="Yes",0.15,0)
+IF(L343="Yes",0.3,0)
</f>
        <v>1</v>
      </c>
      <c r="E343" s="144" t="s">
        <v>142</v>
      </c>
      <c r="F343" s="134" t="s">
        <v>142</v>
      </c>
      <c r="G343" s="134" t="s">
        <v>142</v>
      </c>
      <c r="H343" s="134" t="s">
        <v>142</v>
      </c>
      <c r="I343" s="134" t="s">
        <v>142</v>
      </c>
      <c r="J343" s="134" t="s">
        <v>142</v>
      </c>
      <c r="K343" s="134" t="s">
        <v>142</v>
      </c>
      <c r="L343" s="134" t="s">
        <v>142</v>
      </c>
      <c r="M343" s="136"/>
      <c r="N343" s="137"/>
    </row>
    <row r="344" hidden="1" outlineLevel="1">
      <c r="A344" s="353" t="s">
        <v>2201</v>
      </c>
      <c r="B344" s="115">
        <v>46202.0</v>
      </c>
      <c r="C344" s="118" t="str">
        <f t="shared" si="39"/>
        <v>Mon</v>
      </c>
      <c r="D344" s="128">
        <f t="shared" si="40"/>
        <v>1</v>
      </c>
      <c r="E344" s="131" t="s">
        <v>142</v>
      </c>
      <c r="F344" s="134" t="s">
        <v>142</v>
      </c>
      <c r="G344" s="134" t="s">
        <v>142</v>
      </c>
      <c r="H344" s="134" t="s">
        <v>142</v>
      </c>
      <c r="I344" s="134" t="s">
        <v>142</v>
      </c>
      <c r="J344" s="134" t="s">
        <v>142</v>
      </c>
      <c r="K344" s="134" t="s">
        <v>142</v>
      </c>
      <c r="L344" s="134" t="s">
        <v>142</v>
      </c>
      <c r="M344" s="136"/>
      <c r="N344" s="131"/>
    </row>
    <row r="345" hidden="1" outlineLevel="1">
      <c r="A345" s="353" t="s">
        <v>2202</v>
      </c>
      <c r="B345" s="115">
        <v>46202.0</v>
      </c>
      <c r="C345" s="118" t="str">
        <f t="shared" si="39"/>
        <v>Mon</v>
      </c>
      <c r="D345" s="143">
        <f t="shared" si="40"/>
        <v>1</v>
      </c>
      <c r="E345" s="144" t="s">
        <v>142</v>
      </c>
      <c r="F345" s="134" t="s">
        <v>142</v>
      </c>
      <c r="G345" s="134" t="s">
        <v>142</v>
      </c>
      <c r="H345" s="134" t="s">
        <v>142</v>
      </c>
      <c r="I345" s="134" t="s">
        <v>142</v>
      </c>
      <c r="J345" s="134" t="s">
        <v>142</v>
      </c>
      <c r="K345" s="134" t="s">
        <v>142</v>
      </c>
      <c r="L345" s="134" t="s">
        <v>142</v>
      </c>
      <c r="M345" s="136"/>
      <c r="N345" s="131"/>
    </row>
    <row r="346" hidden="1" outlineLevel="1">
      <c r="A346" s="353" t="s">
        <v>2203</v>
      </c>
      <c r="B346" s="115">
        <v>46205.0</v>
      </c>
      <c r="C346" s="118" t="str">
        <f t="shared" si="39"/>
        <v>Thu</v>
      </c>
      <c r="D346" s="128">
        <f t="shared" si="40"/>
        <v>1</v>
      </c>
      <c r="E346" s="131" t="s">
        <v>142</v>
      </c>
      <c r="F346" s="134" t="s">
        <v>142</v>
      </c>
      <c r="G346" s="134" t="s">
        <v>142</v>
      </c>
      <c r="H346" s="134" t="s">
        <v>142</v>
      </c>
      <c r="I346" s="134" t="s">
        <v>142</v>
      </c>
      <c r="J346" s="134" t="s">
        <v>142</v>
      </c>
      <c r="K346" s="134" t="s">
        <v>142</v>
      </c>
      <c r="L346" s="134" t="s">
        <v>142</v>
      </c>
      <c r="M346" s="136"/>
      <c r="N346" s="137"/>
    </row>
    <row r="347" hidden="1" outlineLevel="1">
      <c r="A347" s="353" t="s">
        <v>2205</v>
      </c>
      <c r="B347" s="115">
        <v>46205.0</v>
      </c>
      <c r="C347" s="118" t="str">
        <f t="shared" si="39"/>
        <v>Thu</v>
      </c>
      <c r="D347" s="143">
        <f t="shared" si="40"/>
        <v>1</v>
      </c>
      <c r="E347" s="144" t="s">
        <v>142</v>
      </c>
      <c r="F347" s="134" t="s">
        <v>142</v>
      </c>
      <c r="G347" s="134" t="s">
        <v>142</v>
      </c>
      <c r="H347" s="134" t="s">
        <v>142</v>
      </c>
      <c r="I347" s="134" t="s">
        <v>142</v>
      </c>
      <c r="J347" s="134" t="s">
        <v>142</v>
      </c>
      <c r="K347" s="134" t="s">
        <v>142</v>
      </c>
      <c r="L347" s="134" t="s">
        <v>142</v>
      </c>
      <c r="M347" s="136"/>
      <c r="N347" s="137"/>
    </row>
    <row r="348" hidden="1" outlineLevel="1">
      <c r="A348" s="353" t="s">
        <v>2207</v>
      </c>
      <c r="B348" s="115">
        <v>46205.0</v>
      </c>
      <c r="C348" s="118" t="str">
        <f t="shared" si="39"/>
        <v>Thu</v>
      </c>
      <c r="D348" s="128">
        <f t="shared" si="40"/>
        <v>1</v>
      </c>
      <c r="E348" s="131" t="s">
        <v>142</v>
      </c>
      <c r="F348" s="134" t="s">
        <v>142</v>
      </c>
      <c r="G348" s="134" t="s">
        <v>142</v>
      </c>
      <c r="H348" s="134" t="s">
        <v>142</v>
      </c>
      <c r="I348" s="134" t="s">
        <v>142</v>
      </c>
      <c r="J348" s="134" t="s">
        <v>142</v>
      </c>
      <c r="K348" s="134" t="s">
        <v>142</v>
      </c>
      <c r="L348" s="134" t="s">
        <v>142</v>
      </c>
      <c r="M348" s="136"/>
      <c r="N348" s="137"/>
    </row>
    <row r="349" hidden="1" outlineLevel="1">
      <c r="A349" s="353" t="s">
        <v>2209</v>
      </c>
      <c r="B349" s="115">
        <v>46206.0</v>
      </c>
      <c r="C349" s="118" t="str">
        <f t="shared" si="39"/>
        <v>Fri</v>
      </c>
      <c r="D349" s="143">
        <f t="shared" si="40"/>
        <v>1</v>
      </c>
      <c r="E349" s="144" t="s">
        <v>142</v>
      </c>
      <c r="F349" s="134" t="s">
        <v>142</v>
      </c>
      <c r="G349" s="134" t="s">
        <v>142</v>
      </c>
      <c r="H349" s="134" t="s">
        <v>142</v>
      </c>
      <c r="I349" s="134" t="s">
        <v>142</v>
      </c>
      <c r="J349" s="134" t="s">
        <v>142</v>
      </c>
      <c r="K349" s="134" t="s">
        <v>142</v>
      </c>
      <c r="L349" s="134" t="s">
        <v>142</v>
      </c>
      <c r="M349" s="136"/>
      <c r="N349" s="137"/>
    </row>
    <row r="350" hidden="1" outlineLevel="1">
      <c r="A350" s="353" t="s">
        <v>2211</v>
      </c>
      <c r="B350" s="115">
        <v>46206.0</v>
      </c>
      <c r="C350" s="118" t="str">
        <f t="shared" si="39"/>
        <v>Fri</v>
      </c>
      <c r="D350" s="128">
        <f t="shared" si="40"/>
        <v>1</v>
      </c>
      <c r="E350" s="131" t="s">
        <v>142</v>
      </c>
      <c r="F350" s="134" t="s">
        <v>142</v>
      </c>
      <c r="G350" s="134" t="s">
        <v>142</v>
      </c>
      <c r="H350" s="134" t="s">
        <v>142</v>
      </c>
      <c r="I350" s="134" t="s">
        <v>142</v>
      </c>
      <c r="J350" s="134" t="s">
        <v>142</v>
      </c>
      <c r="K350" s="134" t="s">
        <v>142</v>
      </c>
      <c r="L350" s="134" t="s">
        <v>142</v>
      </c>
      <c r="M350" s="136"/>
      <c r="N350" s="131"/>
    </row>
    <row r="351" hidden="1" outlineLevel="1">
      <c r="A351" s="353" t="s">
        <v>2212</v>
      </c>
      <c r="B351" s="115">
        <v>46206.0</v>
      </c>
      <c r="C351" s="118" t="str">
        <f t="shared" si="39"/>
        <v>Fri</v>
      </c>
      <c r="D351" s="143">
        <f t="shared" si="40"/>
        <v>1</v>
      </c>
      <c r="E351" s="144" t="s">
        <v>142</v>
      </c>
      <c r="F351" s="134" t="s">
        <v>142</v>
      </c>
      <c r="G351" s="134" t="s">
        <v>142</v>
      </c>
      <c r="H351" s="134" t="s">
        <v>142</v>
      </c>
      <c r="I351" s="134" t="s">
        <v>142</v>
      </c>
      <c r="J351" s="134" t="s">
        <v>142</v>
      </c>
      <c r="K351" s="134" t="s">
        <v>142</v>
      </c>
      <c r="L351" s="134" t="s">
        <v>142</v>
      </c>
      <c r="M351" s="136"/>
      <c r="N351" s="137"/>
    </row>
    <row r="352" hidden="1" outlineLevel="1">
      <c r="A352" s="353" t="s">
        <v>2214</v>
      </c>
      <c r="B352" s="115">
        <v>46207.0</v>
      </c>
      <c r="C352" s="118" t="str">
        <f t="shared" si="39"/>
        <v>Sat</v>
      </c>
      <c r="D352" s="128">
        <f t="shared" si="40"/>
        <v>1</v>
      </c>
      <c r="E352" s="131" t="s">
        <v>142</v>
      </c>
      <c r="F352" s="134" t="s">
        <v>142</v>
      </c>
      <c r="G352" s="134" t="s">
        <v>142</v>
      </c>
      <c r="H352" s="134" t="s">
        <v>142</v>
      </c>
      <c r="I352" s="134" t="s">
        <v>142</v>
      </c>
      <c r="J352" s="134" t="s">
        <v>142</v>
      </c>
      <c r="K352" s="134" t="s">
        <v>142</v>
      </c>
      <c r="L352" s="134" t="s">
        <v>142</v>
      </c>
      <c r="M352" s="136"/>
      <c r="N352" s="131"/>
    </row>
    <row r="353" hidden="1" outlineLevel="1">
      <c r="A353" s="353" t="s">
        <v>2216</v>
      </c>
      <c r="B353" s="115">
        <v>46207.0</v>
      </c>
      <c r="C353" s="118" t="str">
        <f t="shared" si="39"/>
        <v>Sat</v>
      </c>
      <c r="D353" s="143">
        <f t="shared" si="40"/>
        <v>1</v>
      </c>
      <c r="E353" s="144" t="s">
        <v>142</v>
      </c>
      <c r="F353" s="134" t="s">
        <v>142</v>
      </c>
      <c r="G353" s="134" t="s">
        <v>142</v>
      </c>
      <c r="H353" s="134" t="s">
        <v>142</v>
      </c>
      <c r="I353" s="134" t="s">
        <v>142</v>
      </c>
      <c r="J353" s="134" t="s">
        <v>142</v>
      </c>
      <c r="K353" s="134" t="s">
        <v>142</v>
      </c>
      <c r="L353" s="134" t="s">
        <v>142</v>
      </c>
      <c r="M353" s="136"/>
      <c r="N353" s="131"/>
    </row>
    <row r="354" hidden="1" outlineLevel="1">
      <c r="A354" s="353" t="s">
        <v>2218</v>
      </c>
      <c r="B354" s="115">
        <v>46207.0</v>
      </c>
      <c r="C354" s="118" t="str">
        <f t="shared" si="39"/>
        <v>Sat</v>
      </c>
      <c r="D354" s="128">
        <f t="shared" si="40"/>
        <v>1</v>
      </c>
      <c r="E354" s="131" t="s">
        <v>142</v>
      </c>
      <c r="F354" s="134" t="s">
        <v>142</v>
      </c>
      <c r="G354" s="134" t="s">
        <v>142</v>
      </c>
      <c r="H354" s="134" t="s">
        <v>142</v>
      </c>
      <c r="I354" s="134" t="s">
        <v>142</v>
      </c>
      <c r="J354" s="134" t="s">
        <v>142</v>
      </c>
      <c r="K354" s="134" t="s">
        <v>142</v>
      </c>
      <c r="L354" s="134" t="s">
        <v>142</v>
      </c>
      <c r="M354" s="136"/>
      <c r="N354" s="131"/>
    </row>
    <row r="355" hidden="1" outlineLevel="1">
      <c r="A355" s="353" t="s">
        <v>2220</v>
      </c>
      <c r="B355" s="115">
        <v>46208.0</v>
      </c>
      <c r="C355" s="118" t="str">
        <f t="shared" si="39"/>
        <v>Sun</v>
      </c>
      <c r="D355" s="143">
        <f t="shared" si="40"/>
        <v>1</v>
      </c>
      <c r="E355" s="144" t="s">
        <v>142</v>
      </c>
      <c r="F355" s="134" t="s">
        <v>142</v>
      </c>
      <c r="G355" s="134" t="s">
        <v>142</v>
      </c>
      <c r="H355" s="134" t="s">
        <v>142</v>
      </c>
      <c r="I355" s="134" t="s">
        <v>142</v>
      </c>
      <c r="J355" s="134" t="s">
        <v>142</v>
      </c>
      <c r="K355" s="134" t="s">
        <v>142</v>
      </c>
      <c r="L355" s="134" t="s">
        <v>142</v>
      </c>
      <c r="M355" s="136"/>
      <c r="N355" s="137"/>
    </row>
    <row r="356" hidden="1" outlineLevel="1">
      <c r="A356" s="353" t="s">
        <v>2222</v>
      </c>
      <c r="B356" s="115">
        <v>46208.0</v>
      </c>
      <c r="C356" s="118" t="str">
        <f t="shared" si="39"/>
        <v>Sun</v>
      </c>
      <c r="D356" s="128">
        <f t="shared" si="40"/>
        <v>1</v>
      </c>
      <c r="E356" s="131" t="s">
        <v>142</v>
      </c>
      <c r="F356" s="134" t="s">
        <v>142</v>
      </c>
      <c r="G356" s="134" t="s">
        <v>142</v>
      </c>
      <c r="H356" s="134" t="s">
        <v>142</v>
      </c>
      <c r="I356" s="134" t="s">
        <v>142</v>
      </c>
      <c r="J356" s="134" t="s">
        <v>142</v>
      </c>
      <c r="K356" s="134" t="s">
        <v>142</v>
      </c>
      <c r="L356" s="134" t="s">
        <v>142</v>
      </c>
      <c r="M356" s="136"/>
      <c r="N356" s="137"/>
    </row>
    <row r="357" ht="15.0" hidden="1" customHeight="1" outlineLevel="1">
      <c r="A357" s="353" t="s">
        <v>2224</v>
      </c>
      <c r="B357" s="115">
        <v>46208.0</v>
      </c>
      <c r="C357" s="118" t="str">
        <f t="shared" si="39"/>
        <v>Sun</v>
      </c>
      <c r="D357" s="143">
        <f t="shared" si="40"/>
        <v>1</v>
      </c>
      <c r="E357" s="144" t="s">
        <v>142</v>
      </c>
      <c r="F357" s="134" t="s">
        <v>142</v>
      </c>
      <c r="G357" s="134" t="s">
        <v>142</v>
      </c>
      <c r="H357" s="134" t="s">
        <v>142</v>
      </c>
      <c r="I357" s="134" t="s">
        <v>142</v>
      </c>
      <c r="J357" s="134" t="s">
        <v>142</v>
      </c>
      <c r="K357" s="134" t="s">
        <v>142</v>
      </c>
      <c r="L357" s="134" t="s">
        <v>142</v>
      </c>
      <c r="M357" s="136"/>
      <c r="N357" s="131"/>
    </row>
    <row r="358" hidden="1" outlineLevel="1">
      <c r="B358" s="215"/>
      <c r="C358" s="216" t="s">
        <v>199</v>
      </c>
      <c r="D358" s="217">
        <f>AVERAGE(D343:D357)</f>
        <v>1</v>
      </c>
      <c r="E358" s="472"/>
      <c r="L358" s="216" t="s">
        <v>199</v>
      </c>
      <c r="M358" s="217">
        <f>SUM(M343:M357)/75*0.1</f>
        <v>0</v>
      </c>
    </row>
    <row r="359" hidden="1" collapsed="1">
      <c r="A359" s="85" t="s">
        <v>87</v>
      </c>
      <c r="B359" s="86"/>
      <c r="C359" s="86"/>
      <c r="D359" s="359"/>
      <c r="E359" s="89"/>
      <c r="F359" s="89"/>
      <c r="G359" s="91"/>
      <c r="H359" s="91"/>
      <c r="I359" s="91"/>
      <c r="J359" s="91"/>
      <c r="K359" s="91"/>
      <c r="L359" s="91"/>
      <c r="M359" s="93"/>
      <c r="N359" s="95"/>
    </row>
    <row r="360" hidden="1" outlineLevel="1">
      <c r="A360" s="96" t="s">
        <v>89</v>
      </c>
      <c r="B360" s="98" t="s">
        <v>90</v>
      </c>
      <c r="C360" s="98" t="s">
        <v>91</v>
      </c>
      <c r="D360" s="101" t="s">
        <v>93</v>
      </c>
      <c r="E360" s="102" t="s">
        <v>94</v>
      </c>
      <c r="F360" s="102" t="s">
        <v>95</v>
      </c>
      <c r="G360" s="105" t="s">
        <v>96</v>
      </c>
      <c r="H360" s="107" t="s">
        <v>97</v>
      </c>
      <c r="I360" s="107" t="s">
        <v>104</v>
      </c>
      <c r="J360" s="105" t="s">
        <v>106</v>
      </c>
      <c r="K360" s="107" t="s">
        <v>109</v>
      </c>
      <c r="L360" s="105" t="s">
        <v>111</v>
      </c>
      <c r="M360" s="98" t="s">
        <v>114</v>
      </c>
      <c r="N360" s="101" t="s">
        <v>116</v>
      </c>
    </row>
    <row r="361" hidden="1" outlineLevel="1">
      <c r="A361" s="113" t="s">
        <v>2226</v>
      </c>
      <c r="B361" s="115">
        <v>46209.0</v>
      </c>
      <c r="C361" s="118" t="str">
        <f t="shared" ref="C361:C375" si="41">IF(B361="", "", TEXT(B361, "ddd"))</f>
        <v>Mon</v>
      </c>
      <c r="D361" s="143">
        <f t="shared" ref="D361:D375" si="42">IF(E361="Yes",0.05,0)
+IF(F361="Yes",0.1,0)
+IF(G361="Yes",0.15,0)
+IF(H361="Yes",0.15,0)
+IF(I361="Yes",0.05,0)
+IF(J361="Yes",0.05,0)
+IF(K361="Yes",0.15,0)
+IF(L361="Yes",0.3,0)
</f>
        <v>1</v>
      </c>
      <c r="E361" s="144" t="s">
        <v>142</v>
      </c>
      <c r="F361" s="134" t="s">
        <v>142</v>
      </c>
      <c r="G361" s="134" t="s">
        <v>142</v>
      </c>
      <c r="H361" s="134" t="s">
        <v>142</v>
      </c>
      <c r="I361" s="134" t="s">
        <v>142</v>
      </c>
      <c r="J361" s="134" t="s">
        <v>142</v>
      </c>
      <c r="K361" s="134" t="s">
        <v>142</v>
      </c>
      <c r="L361" s="134" t="s">
        <v>142</v>
      </c>
      <c r="M361" s="136"/>
      <c r="N361" s="137"/>
    </row>
    <row r="362" hidden="1" outlineLevel="1">
      <c r="A362" s="113" t="s">
        <v>2227</v>
      </c>
      <c r="B362" s="115">
        <v>46209.0</v>
      </c>
      <c r="C362" s="118" t="str">
        <f t="shared" si="41"/>
        <v>Mon</v>
      </c>
      <c r="D362" s="128">
        <f t="shared" si="42"/>
        <v>1</v>
      </c>
      <c r="E362" s="131" t="s">
        <v>142</v>
      </c>
      <c r="F362" s="134" t="s">
        <v>142</v>
      </c>
      <c r="G362" s="134" t="s">
        <v>142</v>
      </c>
      <c r="H362" s="134" t="s">
        <v>142</v>
      </c>
      <c r="I362" s="134" t="s">
        <v>142</v>
      </c>
      <c r="J362" s="134" t="s">
        <v>142</v>
      </c>
      <c r="K362" s="134" t="s">
        <v>142</v>
      </c>
      <c r="L362" s="134" t="s">
        <v>142</v>
      </c>
      <c r="M362" s="136"/>
      <c r="N362" s="131"/>
    </row>
    <row r="363" hidden="1" outlineLevel="1">
      <c r="A363" s="113" t="s">
        <v>2229</v>
      </c>
      <c r="B363" s="115">
        <v>46209.0</v>
      </c>
      <c r="C363" s="118" t="str">
        <f t="shared" si="41"/>
        <v>Mon</v>
      </c>
      <c r="D363" s="143">
        <f t="shared" si="42"/>
        <v>1</v>
      </c>
      <c r="E363" s="144" t="s">
        <v>142</v>
      </c>
      <c r="F363" s="134" t="s">
        <v>142</v>
      </c>
      <c r="G363" s="134" t="s">
        <v>142</v>
      </c>
      <c r="H363" s="134" t="s">
        <v>142</v>
      </c>
      <c r="I363" s="134" t="s">
        <v>142</v>
      </c>
      <c r="J363" s="134" t="s">
        <v>142</v>
      </c>
      <c r="K363" s="134" t="s">
        <v>142</v>
      </c>
      <c r="L363" s="134" t="s">
        <v>142</v>
      </c>
      <c r="M363" s="136"/>
      <c r="N363" s="131"/>
    </row>
    <row r="364" hidden="1" outlineLevel="1">
      <c r="A364" s="113" t="s">
        <v>2230</v>
      </c>
      <c r="B364" s="115">
        <v>46212.0</v>
      </c>
      <c r="C364" s="118" t="str">
        <f t="shared" si="41"/>
        <v>Thu</v>
      </c>
      <c r="D364" s="128">
        <f t="shared" si="42"/>
        <v>1</v>
      </c>
      <c r="E364" s="131" t="s">
        <v>142</v>
      </c>
      <c r="F364" s="134" t="s">
        <v>142</v>
      </c>
      <c r="G364" s="134" t="s">
        <v>142</v>
      </c>
      <c r="H364" s="134" t="s">
        <v>142</v>
      </c>
      <c r="I364" s="134" t="s">
        <v>142</v>
      </c>
      <c r="J364" s="134" t="s">
        <v>142</v>
      </c>
      <c r="K364" s="134" t="s">
        <v>142</v>
      </c>
      <c r="L364" s="134" t="s">
        <v>142</v>
      </c>
      <c r="M364" s="136"/>
      <c r="N364" s="137"/>
    </row>
    <row r="365" hidden="1" outlineLevel="1">
      <c r="A365" s="113" t="s">
        <v>2232</v>
      </c>
      <c r="B365" s="115">
        <v>46212.0</v>
      </c>
      <c r="C365" s="118" t="str">
        <f t="shared" si="41"/>
        <v>Thu</v>
      </c>
      <c r="D365" s="143">
        <f t="shared" si="42"/>
        <v>1</v>
      </c>
      <c r="E365" s="144" t="s">
        <v>142</v>
      </c>
      <c r="F365" s="134" t="s">
        <v>142</v>
      </c>
      <c r="G365" s="134" t="s">
        <v>142</v>
      </c>
      <c r="H365" s="134" t="s">
        <v>142</v>
      </c>
      <c r="I365" s="134" t="s">
        <v>142</v>
      </c>
      <c r="J365" s="134" t="s">
        <v>142</v>
      </c>
      <c r="K365" s="134" t="s">
        <v>142</v>
      </c>
      <c r="L365" s="134" t="s">
        <v>142</v>
      </c>
      <c r="M365" s="136"/>
      <c r="N365" s="137"/>
    </row>
    <row r="366" hidden="1" outlineLevel="1">
      <c r="A366" s="113" t="s">
        <v>2233</v>
      </c>
      <c r="B366" s="115">
        <v>46212.0</v>
      </c>
      <c r="C366" s="118" t="str">
        <f t="shared" si="41"/>
        <v>Thu</v>
      </c>
      <c r="D366" s="128">
        <f t="shared" si="42"/>
        <v>1</v>
      </c>
      <c r="E366" s="131" t="s">
        <v>142</v>
      </c>
      <c r="F366" s="134" t="s">
        <v>142</v>
      </c>
      <c r="G366" s="134" t="s">
        <v>142</v>
      </c>
      <c r="H366" s="134" t="s">
        <v>142</v>
      </c>
      <c r="I366" s="134" t="s">
        <v>142</v>
      </c>
      <c r="J366" s="134" t="s">
        <v>142</v>
      </c>
      <c r="K366" s="134" t="s">
        <v>142</v>
      </c>
      <c r="L366" s="134" t="s">
        <v>142</v>
      </c>
      <c r="M366" s="136"/>
      <c r="N366" s="137"/>
    </row>
    <row r="367" hidden="1" outlineLevel="1">
      <c r="A367" s="113" t="s">
        <v>2235</v>
      </c>
      <c r="B367" s="115">
        <v>46213.0</v>
      </c>
      <c r="C367" s="118" t="str">
        <f t="shared" si="41"/>
        <v>Fri</v>
      </c>
      <c r="D367" s="143">
        <f t="shared" si="42"/>
        <v>1</v>
      </c>
      <c r="E367" s="144" t="s">
        <v>142</v>
      </c>
      <c r="F367" s="134" t="s">
        <v>142</v>
      </c>
      <c r="G367" s="134" t="s">
        <v>142</v>
      </c>
      <c r="H367" s="134" t="s">
        <v>142</v>
      </c>
      <c r="I367" s="134" t="s">
        <v>142</v>
      </c>
      <c r="J367" s="134" t="s">
        <v>142</v>
      </c>
      <c r="K367" s="134" t="s">
        <v>142</v>
      </c>
      <c r="L367" s="134" t="s">
        <v>142</v>
      </c>
      <c r="M367" s="136"/>
      <c r="N367" s="137"/>
    </row>
    <row r="368" hidden="1" outlineLevel="1">
      <c r="A368" s="113" t="s">
        <v>2238</v>
      </c>
      <c r="B368" s="115">
        <v>46213.0</v>
      </c>
      <c r="C368" s="118" t="str">
        <f t="shared" si="41"/>
        <v>Fri</v>
      </c>
      <c r="D368" s="128">
        <f t="shared" si="42"/>
        <v>1</v>
      </c>
      <c r="E368" s="131" t="s">
        <v>142</v>
      </c>
      <c r="F368" s="134" t="s">
        <v>142</v>
      </c>
      <c r="G368" s="134" t="s">
        <v>142</v>
      </c>
      <c r="H368" s="134" t="s">
        <v>142</v>
      </c>
      <c r="I368" s="134" t="s">
        <v>142</v>
      </c>
      <c r="J368" s="134" t="s">
        <v>142</v>
      </c>
      <c r="K368" s="134" t="s">
        <v>142</v>
      </c>
      <c r="L368" s="134" t="s">
        <v>142</v>
      </c>
      <c r="M368" s="136"/>
      <c r="N368" s="131"/>
    </row>
    <row r="369" hidden="1" outlineLevel="1">
      <c r="A369" s="113" t="s">
        <v>2240</v>
      </c>
      <c r="B369" s="115">
        <v>46213.0</v>
      </c>
      <c r="C369" s="118" t="str">
        <f t="shared" si="41"/>
        <v>Fri</v>
      </c>
      <c r="D369" s="143">
        <f t="shared" si="42"/>
        <v>1</v>
      </c>
      <c r="E369" s="144" t="s">
        <v>142</v>
      </c>
      <c r="F369" s="134" t="s">
        <v>142</v>
      </c>
      <c r="G369" s="134" t="s">
        <v>142</v>
      </c>
      <c r="H369" s="134" t="s">
        <v>142</v>
      </c>
      <c r="I369" s="134" t="s">
        <v>142</v>
      </c>
      <c r="J369" s="134" t="s">
        <v>142</v>
      </c>
      <c r="K369" s="134" t="s">
        <v>142</v>
      </c>
      <c r="L369" s="134" t="s">
        <v>142</v>
      </c>
      <c r="M369" s="136"/>
      <c r="N369" s="137"/>
    </row>
    <row r="370" hidden="1" outlineLevel="1">
      <c r="A370" s="353" t="s">
        <v>2241</v>
      </c>
      <c r="B370" s="115">
        <v>46214.0</v>
      </c>
      <c r="C370" s="118" t="str">
        <f t="shared" si="41"/>
        <v>Sat</v>
      </c>
      <c r="D370" s="128">
        <f t="shared" si="42"/>
        <v>1</v>
      </c>
      <c r="E370" s="131" t="s">
        <v>142</v>
      </c>
      <c r="F370" s="134" t="s">
        <v>142</v>
      </c>
      <c r="G370" s="134" t="s">
        <v>142</v>
      </c>
      <c r="H370" s="134" t="s">
        <v>142</v>
      </c>
      <c r="I370" s="134" t="s">
        <v>142</v>
      </c>
      <c r="J370" s="134" t="s">
        <v>142</v>
      </c>
      <c r="K370" s="134" t="s">
        <v>142</v>
      </c>
      <c r="L370" s="134" t="s">
        <v>142</v>
      </c>
      <c r="M370" s="136"/>
      <c r="N370" s="131"/>
    </row>
    <row r="371" hidden="1" outlineLevel="1">
      <c r="A371" s="353" t="s">
        <v>2243</v>
      </c>
      <c r="B371" s="115">
        <v>46214.0</v>
      </c>
      <c r="C371" s="118" t="str">
        <f t="shared" si="41"/>
        <v>Sat</v>
      </c>
      <c r="D371" s="143">
        <f t="shared" si="42"/>
        <v>1</v>
      </c>
      <c r="E371" s="144" t="s">
        <v>142</v>
      </c>
      <c r="F371" s="134" t="s">
        <v>142</v>
      </c>
      <c r="G371" s="134" t="s">
        <v>142</v>
      </c>
      <c r="H371" s="134" t="s">
        <v>142</v>
      </c>
      <c r="I371" s="134" t="s">
        <v>142</v>
      </c>
      <c r="J371" s="134" t="s">
        <v>142</v>
      </c>
      <c r="K371" s="134" t="s">
        <v>142</v>
      </c>
      <c r="L371" s="134" t="s">
        <v>142</v>
      </c>
      <c r="M371" s="136"/>
      <c r="N371" s="131"/>
    </row>
    <row r="372" hidden="1" outlineLevel="1">
      <c r="A372" s="353" t="s">
        <v>2245</v>
      </c>
      <c r="B372" s="115">
        <v>46214.0</v>
      </c>
      <c r="C372" s="118" t="str">
        <f t="shared" si="41"/>
        <v>Sat</v>
      </c>
      <c r="D372" s="128">
        <f t="shared" si="42"/>
        <v>1</v>
      </c>
      <c r="E372" s="131" t="s">
        <v>142</v>
      </c>
      <c r="F372" s="134" t="s">
        <v>142</v>
      </c>
      <c r="G372" s="134" t="s">
        <v>142</v>
      </c>
      <c r="H372" s="134" t="s">
        <v>142</v>
      </c>
      <c r="I372" s="134" t="s">
        <v>142</v>
      </c>
      <c r="J372" s="134" t="s">
        <v>142</v>
      </c>
      <c r="K372" s="134" t="s">
        <v>142</v>
      </c>
      <c r="L372" s="134" t="s">
        <v>142</v>
      </c>
      <c r="M372" s="136"/>
      <c r="N372" s="131"/>
    </row>
    <row r="373" hidden="1" outlineLevel="1">
      <c r="A373" s="113"/>
      <c r="B373" s="115">
        <v>46215.0</v>
      </c>
      <c r="C373" s="118" t="str">
        <f t="shared" si="41"/>
        <v>Sun</v>
      </c>
      <c r="D373" s="143">
        <f t="shared" si="42"/>
        <v>1</v>
      </c>
      <c r="E373" s="144" t="s">
        <v>142</v>
      </c>
      <c r="F373" s="134" t="s">
        <v>142</v>
      </c>
      <c r="G373" s="134" t="s">
        <v>142</v>
      </c>
      <c r="H373" s="134" t="s">
        <v>142</v>
      </c>
      <c r="I373" s="134" t="s">
        <v>142</v>
      </c>
      <c r="J373" s="134" t="s">
        <v>142</v>
      </c>
      <c r="K373" s="134" t="s">
        <v>142</v>
      </c>
      <c r="L373" s="134" t="s">
        <v>142</v>
      </c>
      <c r="M373" s="136"/>
      <c r="N373" s="137"/>
    </row>
    <row r="374" hidden="1" outlineLevel="1">
      <c r="A374" s="113"/>
      <c r="B374" s="115">
        <v>46215.0</v>
      </c>
      <c r="C374" s="118" t="str">
        <f t="shared" si="41"/>
        <v>Sun</v>
      </c>
      <c r="D374" s="128">
        <f t="shared" si="42"/>
        <v>1</v>
      </c>
      <c r="E374" s="131" t="s">
        <v>142</v>
      </c>
      <c r="F374" s="134" t="s">
        <v>142</v>
      </c>
      <c r="G374" s="134" t="s">
        <v>142</v>
      </c>
      <c r="H374" s="134" t="s">
        <v>142</v>
      </c>
      <c r="I374" s="134" t="s">
        <v>142</v>
      </c>
      <c r="J374" s="134" t="s">
        <v>142</v>
      </c>
      <c r="K374" s="134" t="s">
        <v>142</v>
      </c>
      <c r="L374" s="134" t="s">
        <v>142</v>
      </c>
      <c r="M374" s="136"/>
      <c r="N374" s="137"/>
    </row>
    <row r="375" ht="15.0" hidden="1" customHeight="1" outlineLevel="1">
      <c r="A375" s="113"/>
      <c r="B375" s="115">
        <v>46215.0</v>
      </c>
      <c r="C375" s="118" t="str">
        <f t="shared" si="41"/>
        <v>Sun</v>
      </c>
      <c r="D375" s="143">
        <f t="shared" si="42"/>
        <v>1</v>
      </c>
      <c r="E375" s="144" t="s">
        <v>142</v>
      </c>
      <c r="F375" s="134" t="s">
        <v>142</v>
      </c>
      <c r="G375" s="134" t="s">
        <v>142</v>
      </c>
      <c r="H375" s="134" t="s">
        <v>142</v>
      </c>
      <c r="I375" s="134" t="s">
        <v>142</v>
      </c>
      <c r="J375" s="134" t="s">
        <v>142</v>
      </c>
      <c r="K375" s="134" t="s">
        <v>142</v>
      </c>
      <c r="L375" s="134" t="s">
        <v>142</v>
      </c>
      <c r="M375" s="136"/>
      <c r="N375" s="131"/>
    </row>
    <row r="376" hidden="1" outlineLevel="1">
      <c r="B376" s="215"/>
      <c r="C376" s="216" t="s">
        <v>199</v>
      </c>
      <c r="D376" s="217">
        <f>AVERAGE(D361:D375)</f>
        <v>1</v>
      </c>
      <c r="E376" s="472"/>
      <c r="L376" s="216" t="s">
        <v>199</v>
      </c>
      <c r="M376" s="217">
        <f>SUM(M361:M375)/75*0.1</f>
        <v>0</v>
      </c>
    </row>
    <row r="377" hidden="1" collapsed="1">
      <c r="A377" s="85" t="s">
        <v>210</v>
      </c>
      <c r="B377" s="86"/>
      <c r="C377" s="86"/>
      <c r="D377" s="359"/>
      <c r="E377" s="89"/>
      <c r="F377" s="89"/>
      <c r="G377" s="91"/>
      <c r="H377" s="91"/>
      <c r="I377" s="91"/>
      <c r="J377" s="91"/>
      <c r="K377" s="91"/>
      <c r="L377" s="91"/>
      <c r="M377" s="93"/>
      <c r="N377" s="95"/>
    </row>
    <row r="378" hidden="1" outlineLevel="1">
      <c r="A378" s="96" t="s">
        <v>89</v>
      </c>
      <c r="B378" s="98" t="s">
        <v>90</v>
      </c>
      <c r="C378" s="98" t="s">
        <v>91</v>
      </c>
      <c r="D378" s="101" t="s">
        <v>93</v>
      </c>
      <c r="E378" s="102" t="s">
        <v>94</v>
      </c>
      <c r="F378" s="102" t="s">
        <v>95</v>
      </c>
      <c r="G378" s="105" t="s">
        <v>96</v>
      </c>
      <c r="H378" s="107" t="s">
        <v>97</v>
      </c>
      <c r="I378" s="107" t="s">
        <v>104</v>
      </c>
      <c r="J378" s="105" t="s">
        <v>106</v>
      </c>
      <c r="K378" s="107" t="s">
        <v>109</v>
      </c>
      <c r="L378" s="105" t="s">
        <v>111</v>
      </c>
      <c r="M378" s="98" t="s">
        <v>114</v>
      </c>
      <c r="N378" s="101" t="s">
        <v>116</v>
      </c>
    </row>
    <row r="379" hidden="1" outlineLevel="1">
      <c r="A379" s="113" t="s">
        <v>2247</v>
      </c>
      <c r="B379" s="115">
        <v>46216.0</v>
      </c>
      <c r="C379" s="118" t="str">
        <f t="shared" ref="C379:C393" si="43">IF(B379="", "", TEXT(B379, "ddd"))</f>
        <v>Mon</v>
      </c>
      <c r="D379" s="143">
        <f t="shared" ref="D379:D393" si="44">IF(E379="Yes",0.05,0)
+IF(F379="Yes",0.1,0)
+IF(G379="Yes",0.15,0)
+IF(H379="Yes",0.15,0)
+IF(I379="Yes",0.05,0)
+IF(J379="Yes",0.05,0)
+IF(K379="Yes",0.15,0)
+IF(L379="Yes",0.3,0)
</f>
        <v>1</v>
      </c>
      <c r="E379" s="144" t="s">
        <v>142</v>
      </c>
      <c r="F379" s="134" t="s">
        <v>142</v>
      </c>
      <c r="G379" s="134" t="s">
        <v>142</v>
      </c>
      <c r="H379" s="134" t="s">
        <v>142</v>
      </c>
      <c r="I379" s="134" t="s">
        <v>142</v>
      </c>
      <c r="J379" s="134" t="s">
        <v>142</v>
      </c>
      <c r="K379" s="134" t="s">
        <v>142</v>
      </c>
      <c r="L379" s="134" t="s">
        <v>142</v>
      </c>
      <c r="M379" s="136"/>
      <c r="N379" s="137"/>
    </row>
    <row r="380" hidden="1" outlineLevel="1">
      <c r="A380" s="113" t="s">
        <v>2248</v>
      </c>
      <c r="B380" s="115">
        <v>46216.0</v>
      </c>
      <c r="C380" s="118" t="str">
        <f t="shared" si="43"/>
        <v>Mon</v>
      </c>
      <c r="D380" s="128">
        <f t="shared" si="44"/>
        <v>1</v>
      </c>
      <c r="E380" s="131" t="s">
        <v>142</v>
      </c>
      <c r="F380" s="134" t="s">
        <v>142</v>
      </c>
      <c r="G380" s="134" t="s">
        <v>142</v>
      </c>
      <c r="H380" s="134" t="s">
        <v>142</v>
      </c>
      <c r="I380" s="134" t="s">
        <v>142</v>
      </c>
      <c r="J380" s="134" t="s">
        <v>142</v>
      </c>
      <c r="K380" s="134" t="s">
        <v>142</v>
      </c>
      <c r="L380" s="134" t="s">
        <v>142</v>
      </c>
      <c r="M380" s="136"/>
      <c r="N380" s="131"/>
    </row>
    <row r="381" hidden="1" outlineLevel="1">
      <c r="A381" s="113" t="s">
        <v>2250</v>
      </c>
      <c r="B381" s="115">
        <v>46216.0</v>
      </c>
      <c r="C381" s="118" t="str">
        <f t="shared" si="43"/>
        <v>Mon</v>
      </c>
      <c r="D381" s="143">
        <f t="shared" si="44"/>
        <v>1</v>
      </c>
      <c r="E381" s="144" t="s">
        <v>142</v>
      </c>
      <c r="F381" s="134" t="s">
        <v>142</v>
      </c>
      <c r="G381" s="134" t="s">
        <v>142</v>
      </c>
      <c r="H381" s="134" t="s">
        <v>142</v>
      </c>
      <c r="I381" s="134" t="s">
        <v>142</v>
      </c>
      <c r="J381" s="134" t="s">
        <v>142</v>
      </c>
      <c r="K381" s="134" t="s">
        <v>142</v>
      </c>
      <c r="L381" s="134" t="s">
        <v>142</v>
      </c>
      <c r="M381" s="136"/>
      <c r="N381" s="131"/>
    </row>
    <row r="382" hidden="1" outlineLevel="1">
      <c r="A382" s="113" t="s">
        <v>2251</v>
      </c>
      <c r="B382" s="115">
        <v>46219.0</v>
      </c>
      <c r="C382" s="118" t="str">
        <f t="shared" si="43"/>
        <v>Thu</v>
      </c>
      <c r="D382" s="128">
        <f t="shared" si="44"/>
        <v>1</v>
      </c>
      <c r="E382" s="131" t="s">
        <v>142</v>
      </c>
      <c r="F382" s="134" t="s">
        <v>142</v>
      </c>
      <c r="G382" s="134" t="s">
        <v>142</v>
      </c>
      <c r="H382" s="134" t="s">
        <v>142</v>
      </c>
      <c r="I382" s="134" t="s">
        <v>142</v>
      </c>
      <c r="J382" s="134" t="s">
        <v>142</v>
      </c>
      <c r="K382" s="134" t="s">
        <v>142</v>
      </c>
      <c r="L382" s="134" t="s">
        <v>142</v>
      </c>
      <c r="M382" s="136"/>
      <c r="N382" s="137"/>
    </row>
    <row r="383" hidden="1" outlineLevel="1">
      <c r="A383" s="113" t="s">
        <v>2252</v>
      </c>
      <c r="B383" s="115">
        <v>46219.0</v>
      </c>
      <c r="C383" s="118" t="str">
        <f t="shared" si="43"/>
        <v>Thu</v>
      </c>
      <c r="D383" s="143">
        <f t="shared" si="44"/>
        <v>1</v>
      </c>
      <c r="E383" s="144" t="s">
        <v>142</v>
      </c>
      <c r="F383" s="134" t="s">
        <v>142</v>
      </c>
      <c r="G383" s="134" t="s">
        <v>142</v>
      </c>
      <c r="H383" s="134" t="s">
        <v>142</v>
      </c>
      <c r="I383" s="134" t="s">
        <v>142</v>
      </c>
      <c r="J383" s="134" t="s">
        <v>142</v>
      </c>
      <c r="K383" s="134" t="s">
        <v>142</v>
      </c>
      <c r="L383" s="134" t="s">
        <v>142</v>
      </c>
      <c r="M383" s="136"/>
      <c r="N383" s="137"/>
    </row>
    <row r="384" hidden="1" outlineLevel="1">
      <c r="A384" s="113" t="s">
        <v>2253</v>
      </c>
      <c r="B384" s="115">
        <v>46219.0</v>
      </c>
      <c r="C384" s="118" t="str">
        <f t="shared" si="43"/>
        <v>Thu</v>
      </c>
      <c r="D384" s="128">
        <f t="shared" si="44"/>
        <v>1</v>
      </c>
      <c r="E384" s="131" t="s">
        <v>142</v>
      </c>
      <c r="F384" s="134" t="s">
        <v>142</v>
      </c>
      <c r="G384" s="134" t="s">
        <v>142</v>
      </c>
      <c r="H384" s="134" t="s">
        <v>142</v>
      </c>
      <c r="I384" s="134" t="s">
        <v>142</v>
      </c>
      <c r="J384" s="134" t="s">
        <v>142</v>
      </c>
      <c r="K384" s="134" t="s">
        <v>142</v>
      </c>
      <c r="L384" s="134" t="s">
        <v>142</v>
      </c>
      <c r="M384" s="136"/>
      <c r="N384" s="137"/>
    </row>
    <row r="385" hidden="1" outlineLevel="1">
      <c r="A385" s="353" t="s">
        <v>2254</v>
      </c>
      <c r="B385" s="115">
        <v>46220.0</v>
      </c>
      <c r="C385" s="118" t="str">
        <f t="shared" si="43"/>
        <v>Fri</v>
      </c>
      <c r="D385" s="143">
        <f t="shared" si="44"/>
        <v>1</v>
      </c>
      <c r="E385" s="144" t="s">
        <v>142</v>
      </c>
      <c r="F385" s="134" t="s">
        <v>142</v>
      </c>
      <c r="G385" s="134" t="s">
        <v>142</v>
      </c>
      <c r="H385" s="134" t="s">
        <v>142</v>
      </c>
      <c r="I385" s="134" t="s">
        <v>142</v>
      </c>
      <c r="J385" s="134" t="s">
        <v>142</v>
      </c>
      <c r="K385" s="134" t="s">
        <v>142</v>
      </c>
      <c r="L385" s="134" t="s">
        <v>142</v>
      </c>
      <c r="M385" s="136"/>
      <c r="N385" s="137"/>
    </row>
    <row r="386" hidden="1" outlineLevel="1">
      <c r="A386" s="353" t="s">
        <v>2255</v>
      </c>
      <c r="B386" s="115">
        <v>46220.0</v>
      </c>
      <c r="C386" s="118" t="str">
        <f t="shared" si="43"/>
        <v>Fri</v>
      </c>
      <c r="D386" s="128">
        <f t="shared" si="44"/>
        <v>1</v>
      </c>
      <c r="E386" s="131" t="s">
        <v>142</v>
      </c>
      <c r="F386" s="134" t="s">
        <v>142</v>
      </c>
      <c r="G386" s="134" t="s">
        <v>142</v>
      </c>
      <c r="H386" s="134" t="s">
        <v>142</v>
      </c>
      <c r="I386" s="134" t="s">
        <v>142</v>
      </c>
      <c r="J386" s="134" t="s">
        <v>142</v>
      </c>
      <c r="K386" s="134" t="s">
        <v>142</v>
      </c>
      <c r="L386" s="134" t="s">
        <v>142</v>
      </c>
      <c r="M386" s="136"/>
      <c r="N386" s="131"/>
    </row>
    <row r="387" hidden="1" outlineLevel="1">
      <c r="A387" s="353" t="s">
        <v>2256</v>
      </c>
      <c r="B387" s="115">
        <v>46220.0</v>
      </c>
      <c r="C387" s="118" t="str">
        <f t="shared" si="43"/>
        <v>Fri</v>
      </c>
      <c r="D387" s="143">
        <f t="shared" si="44"/>
        <v>1</v>
      </c>
      <c r="E387" s="144" t="s">
        <v>142</v>
      </c>
      <c r="F387" s="134" t="s">
        <v>142</v>
      </c>
      <c r="G387" s="134" t="s">
        <v>142</v>
      </c>
      <c r="H387" s="134" t="s">
        <v>142</v>
      </c>
      <c r="I387" s="134" t="s">
        <v>142</v>
      </c>
      <c r="J387" s="134" t="s">
        <v>142</v>
      </c>
      <c r="K387" s="134" t="s">
        <v>142</v>
      </c>
      <c r="L387" s="134" t="s">
        <v>142</v>
      </c>
      <c r="M387" s="136"/>
      <c r="N387" s="137"/>
    </row>
    <row r="388" hidden="1" outlineLevel="1">
      <c r="A388" s="353" t="s">
        <v>2257</v>
      </c>
      <c r="B388" s="115">
        <v>46221.0</v>
      </c>
      <c r="C388" s="118" t="str">
        <f t="shared" si="43"/>
        <v>Sat</v>
      </c>
      <c r="D388" s="128">
        <f t="shared" si="44"/>
        <v>1</v>
      </c>
      <c r="E388" s="131" t="s">
        <v>142</v>
      </c>
      <c r="F388" s="134" t="s">
        <v>142</v>
      </c>
      <c r="G388" s="134" t="s">
        <v>142</v>
      </c>
      <c r="H388" s="134" t="s">
        <v>142</v>
      </c>
      <c r="I388" s="134" t="s">
        <v>142</v>
      </c>
      <c r="J388" s="134" t="s">
        <v>142</v>
      </c>
      <c r="K388" s="134" t="s">
        <v>142</v>
      </c>
      <c r="L388" s="134" t="s">
        <v>142</v>
      </c>
      <c r="M388" s="136"/>
      <c r="N388" s="131"/>
    </row>
    <row r="389" hidden="1" outlineLevel="1">
      <c r="A389" s="353" t="s">
        <v>2258</v>
      </c>
      <c r="B389" s="115">
        <v>46221.0</v>
      </c>
      <c r="C389" s="118" t="str">
        <f t="shared" si="43"/>
        <v>Sat</v>
      </c>
      <c r="D389" s="143">
        <f t="shared" si="44"/>
        <v>1</v>
      </c>
      <c r="E389" s="144" t="s">
        <v>142</v>
      </c>
      <c r="F389" s="134" t="s">
        <v>142</v>
      </c>
      <c r="G389" s="134" t="s">
        <v>142</v>
      </c>
      <c r="H389" s="134" t="s">
        <v>142</v>
      </c>
      <c r="I389" s="134" t="s">
        <v>142</v>
      </c>
      <c r="J389" s="134" t="s">
        <v>142</v>
      </c>
      <c r="K389" s="134" t="s">
        <v>142</v>
      </c>
      <c r="L389" s="134" t="s">
        <v>142</v>
      </c>
      <c r="M389" s="136"/>
      <c r="N389" s="131"/>
    </row>
    <row r="390" hidden="1" outlineLevel="1">
      <c r="A390" s="353" t="s">
        <v>2259</v>
      </c>
      <c r="B390" s="115">
        <v>46221.0</v>
      </c>
      <c r="C390" s="118" t="str">
        <f t="shared" si="43"/>
        <v>Sat</v>
      </c>
      <c r="D390" s="128">
        <f t="shared" si="44"/>
        <v>1</v>
      </c>
      <c r="E390" s="131" t="s">
        <v>142</v>
      </c>
      <c r="F390" s="134" t="s">
        <v>142</v>
      </c>
      <c r="G390" s="134" t="s">
        <v>142</v>
      </c>
      <c r="H390" s="134" t="s">
        <v>142</v>
      </c>
      <c r="I390" s="134" t="s">
        <v>142</v>
      </c>
      <c r="J390" s="134" t="s">
        <v>142</v>
      </c>
      <c r="K390" s="134" t="s">
        <v>142</v>
      </c>
      <c r="L390" s="134" t="s">
        <v>142</v>
      </c>
      <c r="M390" s="136"/>
      <c r="N390" s="131"/>
    </row>
    <row r="391" hidden="1" outlineLevel="1">
      <c r="A391" s="113"/>
      <c r="B391" s="115"/>
      <c r="C391" s="118" t="str">
        <f t="shared" si="43"/>
        <v/>
      </c>
      <c r="D391" s="143">
        <f t="shared" si="44"/>
        <v>0</v>
      </c>
      <c r="E391" s="144"/>
      <c r="F391" s="134"/>
      <c r="G391" s="134"/>
      <c r="H391" s="134"/>
      <c r="I391" s="134"/>
      <c r="J391" s="134"/>
      <c r="K391" s="134"/>
      <c r="L391" s="134"/>
      <c r="M391" s="136"/>
      <c r="N391" s="137"/>
    </row>
    <row r="392" hidden="1" outlineLevel="1">
      <c r="A392" s="113"/>
      <c r="B392" s="115"/>
      <c r="C392" s="118" t="str">
        <f t="shared" si="43"/>
        <v/>
      </c>
      <c r="D392" s="128">
        <f t="shared" si="44"/>
        <v>0</v>
      </c>
      <c r="E392" s="131"/>
      <c r="F392" s="134"/>
      <c r="G392" s="134"/>
      <c r="H392" s="134"/>
      <c r="I392" s="134"/>
      <c r="J392" s="134"/>
      <c r="K392" s="134"/>
      <c r="L392" s="134"/>
      <c r="M392" s="136"/>
      <c r="N392" s="137"/>
    </row>
    <row r="393" ht="15.0" hidden="1" customHeight="1" outlineLevel="1">
      <c r="A393" s="113"/>
      <c r="B393" s="115"/>
      <c r="C393" s="118" t="str">
        <f t="shared" si="43"/>
        <v/>
      </c>
      <c r="D393" s="143">
        <f t="shared" si="44"/>
        <v>0</v>
      </c>
      <c r="E393" s="144"/>
      <c r="F393" s="134"/>
      <c r="G393" s="134"/>
      <c r="H393" s="134"/>
      <c r="I393" s="134"/>
      <c r="J393" s="134"/>
      <c r="K393" s="134"/>
      <c r="L393" s="134"/>
      <c r="M393" s="136"/>
      <c r="N393" s="131"/>
    </row>
    <row r="394" hidden="1" outlineLevel="1">
      <c r="B394" s="215"/>
      <c r="C394" s="216" t="s">
        <v>199</v>
      </c>
      <c r="D394" s="217">
        <f>AVERAGE(D379:D393)</f>
        <v>0.8</v>
      </c>
      <c r="E394" s="472"/>
      <c r="L394" s="216" t="s">
        <v>199</v>
      </c>
      <c r="M394" s="217">
        <f>SUM(M379:M393)/75*0.1</f>
        <v>0</v>
      </c>
    </row>
    <row r="395" hidden="1" collapsed="1">
      <c r="A395" s="85" t="s">
        <v>246</v>
      </c>
      <c r="B395" s="86"/>
      <c r="C395" s="86"/>
      <c r="D395" s="359"/>
      <c r="E395" s="89"/>
      <c r="F395" s="89"/>
      <c r="G395" s="91"/>
      <c r="H395" s="91"/>
      <c r="I395" s="91"/>
      <c r="J395" s="91"/>
      <c r="K395" s="91"/>
      <c r="L395" s="91"/>
      <c r="M395" s="93"/>
      <c r="N395" s="95"/>
    </row>
    <row r="396" hidden="1" outlineLevel="1">
      <c r="A396" s="96" t="s">
        <v>89</v>
      </c>
      <c r="B396" s="98" t="s">
        <v>90</v>
      </c>
      <c r="C396" s="98" t="s">
        <v>91</v>
      </c>
      <c r="D396" s="101" t="s">
        <v>93</v>
      </c>
      <c r="E396" s="102" t="s">
        <v>94</v>
      </c>
      <c r="F396" s="102" t="s">
        <v>95</v>
      </c>
      <c r="G396" s="105" t="s">
        <v>96</v>
      </c>
      <c r="H396" s="107" t="s">
        <v>97</v>
      </c>
      <c r="I396" s="107" t="s">
        <v>104</v>
      </c>
      <c r="J396" s="105" t="s">
        <v>106</v>
      </c>
      <c r="K396" s="107" t="s">
        <v>109</v>
      </c>
      <c r="L396" s="105" t="s">
        <v>111</v>
      </c>
      <c r="M396" s="98" t="s">
        <v>114</v>
      </c>
      <c r="N396" s="101" t="s">
        <v>116</v>
      </c>
    </row>
    <row r="397" hidden="1" outlineLevel="1">
      <c r="A397" s="353" t="s">
        <v>2261</v>
      </c>
      <c r="B397" s="115">
        <v>46223.0</v>
      </c>
      <c r="C397" s="118" t="str">
        <f t="shared" ref="C397:C411" si="45">IF(B397="", "", TEXT(B397, "ddd"))</f>
        <v>Mon</v>
      </c>
      <c r="D397" s="143">
        <f t="shared" ref="D397:D411" si="46">IF(E397="Yes",0.05,0)
+IF(F397="Yes",0.1,0)
+IF(G397="Yes",0.15,0)
+IF(H397="Yes",0.15,0)
+IF(I397="Yes",0.05,0)
+IF(J397="Yes",0.05,0)
+IF(K397="Yes",0.15,0)
+IF(L397="Yes",0.3,0)
</f>
        <v>1</v>
      </c>
      <c r="E397" s="144" t="s">
        <v>142</v>
      </c>
      <c r="F397" s="134" t="s">
        <v>142</v>
      </c>
      <c r="G397" s="134" t="s">
        <v>142</v>
      </c>
      <c r="H397" s="134" t="s">
        <v>142</v>
      </c>
      <c r="I397" s="134" t="s">
        <v>142</v>
      </c>
      <c r="J397" s="134" t="s">
        <v>142</v>
      </c>
      <c r="K397" s="134" t="s">
        <v>142</v>
      </c>
      <c r="L397" s="134" t="s">
        <v>142</v>
      </c>
      <c r="M397" s="136"/>
      <c r="N397" s="137"/>
    </row>
    <row r="398" hidden="1" outlineLevel="1">
      <c r="A398" s="113" t="s">
        <v>2263</v>
      </c>
      <c r="B398" s="115">
        <v>46223.0</v>
      </c>
      <c r="C398" s="118" t="str">
        <f t="shared" si="45"/>
        <v>Mon</v>
      </c>
      <c r="D398" s="128">
        <f t="shared" si="46"/>
        <v>1</v>
      </c>
      <c r="E398" s="131" t="s">
        <v>142</v>
      </c>
      <c r="F398" s="134" t="s">
        <v>142</v>
      </c>
      <c r="G398" s="134" t="s">
        <v>142</v>
      </c>
      <c r="H398" s="134" t="s">
        <v>142</v>
      </c>
      <c r="I398" s="134" t="s">
        <v>142</v>
      </c>
      <c r="J398" s="134" t="s">
        <v>142</v>
      </c>
      <c r="K398" s="134" t="s">
        <v>142</v>
      </c>
      <c r="L398" s="134" t="s">
        <v>142</v>
      </c>
      <c r="M398" s="136"/>
      <c r="N398" s="131"/>
    </row>
    <row r="399" hidden="1" outlineLevel="1">
      <c r="A399" s="113" t="s">
        <v>2264</v>
      </c>
      <c r="B399" s="115">
        <v>46223.0</v>
      </c>
      <c r="C399" s="118" t="str">
        <f t="shared" si="45"/>
        <v>Mon</v>
      </c>
      <c r="D399" s="143">
        <f t="shared" si="46"/>
        <v>1</v>
      </c>
      <c r="E399" s="144" t="s">
        <v>142</v>
      </c>
      <c r="F399" s="134" t="s">
        <v>142</v>
      </c>
      <c r="G399" s="134" t="s">
        <v>142</v>
      </c>
      <c r="H399" s="134" t="s">
        <v>142</v>
      </c>
      <c r="I399" s="134" t="s">
        <v>142</v>
      </c>
      <c r="J399" s="134" t="s">
        <v>142</v>
      </c>
      <c r="K399" s="134" t="s">
        <v>142</v>
      </c>
      <c r="L399" s="134" t="s">
        <v>142</v>
      </c>
      <c r="M399" s="136"/>
      <c r="N399" s="131"/>
    </row>
    <row r="400" hidden="1" outlineLevel="1">
      <c r="A400" s="113" t="s">
        <v>2265</v>
      </c>
      <c r="B400" s="115">
        <v>46226.0</v>
      </c>
      <c r="C400" s="118" t="str">
        <f t="shared" si="45"/>
        <v>Thu</v>
      </c>
      <c r="D400" s="128">
        <f t="shared" si="46"/>
        <v>1</v>
      </c>
      <c r="E400" s="131" t="s">
        <v>142</v>
      </c>
      <c r="F400" s="134" t="s">
        <v>142</v>
      </c>
      <c r="G400" s="134" t="s">
        <v>142</v>
      </c>
      <c r="H400" s="134" t="s">
        <v>142</v>
      </c>
      <c r="I400" s="134" t="s">
        <v>142</v>
      </c>
      <c r="J400" s="134" t="s">
        <v>142</v>
      </c>
      <c r="K400" s="134" t="s">
        <v>142</v>
      </c>
      <c r="L400" s="134" t="s">
        <v>142</v>
      </c>
      <c r="M400" s="136"/>
      <c r="N400" s="137"/>
    </row>
    <row r="401" hidden="1" outlineLevel="1">
      <c r="A401" s="113" t="s">
        <v>2266</v>
      </c>
      <c r="B401" s="115">
        <v>46226.0</v>
      </c>
      <c r="C401" s="118" t="str">
        <f t="shared" si="45"/>
        <v>Thu</v>
      </c>
      <c r="D401" s="143">
        <f t="shared" si="46"/>
        <v>1</v>
      </c>
      <c r="E401" s="144" t="s">
        <v>142</v>
      </c>
      <c r="F401" s="134" t="s">
        <v>142</v>
      </c>
      <c r="G401" s="134" t="s">
        <v>142</v>
      </c>
      <c r="H401" s="134" t="s">
        <v>142</v>
      </c>
      <c r="I401" s="134" t="s">
        <v>142</v>
      </c>
      <c r="J401" s="134" t="s">
        <v>142</v>
      </c>
      <c r="K401" s="134" t="s">
        <v>142</v>
      </c>
      <c r="L401" s="134" t="s">
        <v>142</v>
      </c>
      <c r="M401" s="136"/>
      <c r="N401" s="137"/>
    </row>
    <row r="402" hidden="1" outlineLevel="1">
      <c r="A402" s="113" t="s">
        <v>2267</v>
      </c>
      <c r="B402" s="115">
        <v>46226.0</v>
      </c>
      <c r="C402" s="118" t="str">
        <f t="shared" si="45"/>
        <v>Thu</v>
      </c>
      <c r="D402" s="128">
        <f t="shared" si="46"/>
        <v>1</v>
      </c>
      <c r="E402" s="131" t="s">
        <v>142</v>
      </c>
      <c r="F402" s="134" t="s">
        <v>142</v>
      </c>
      <c r="G402" s="134" t="s">
        <v>142</v>
      </c>
      <c r="H402" s="134" t="s">
        <v>142</v>
      </c>
      <c r="I402" s="134" t="s">
        <v>142</v>
      </c>
      <c r="J402" s="134" t="s">
        <v>142</v>
      </c>
      <c r="K402" s="134" t="s">
        <v>142</v>
      </c>
      <c r="L402" s="134" t="s">
        <v>142</v>
      </c>
      <c r="M402" s="136"/>
      <c r="N402" s="137"/>
    </row>
    <row r="403" hidden="1" outlineLevel="1">
      <c r="A403" s="113" t="s">
        <v>2268</v>
      </c>
      <c r="B403" s="115">
        <v>46227.0</v>
      </c>
      <c r="C403" s="118" t="str">
        <f t="shared" si="45"/>
        <v>Fri</v>
      </c>
      <c r="D403" s="143">
        <f t="shared" si="46"/>
        <v>1</v>
      </c>
      <c r="E403" s="144" t="s">
        <v>142</v>
      </c>
      <c r="F403" s="134" t="s">
        <v>142</v>
      </c>
      <c r="G403" s="134" t="s">
        <v>142</v>
      </c>
      <c r="H403" s="134" t="s">
        <v>142</v>
      </c>
      <c r="I403" s="134" t="s">
        <v>142</v>
      </c>
      <c r="J403" s="134" t="s">
        <v>142</v>
      </c>
      <c r="K403" s="134" t="s">
        <v>142</v>
      </c>
      <c r="L403" s="134" t="s">
        <v>142</v>
      </c>
      <c r="M403" s="136"/>
      <c r="N403" s="137"/>
    </row>
    <row r="404" hidden="1" outlineLevel="1">
      <c r="A404" s="113" t="s">
        <v>2270</v>
      </c>
      <c r="B404" s="115">
        <v>46227.0</v>
      </c>
      <c r="C404" s="118" t="str">
        <f t="shared" si="45"/>
        <v>Fri</v>
      </c>
      <c r="D404" s="128">
        <f t="shared" si="46"/>
        <v>1</v>
      </c>
      <c r="E404" s="131" t="s">
        <v>142</v>
      </c>
      <c r="F404" s="134" t="s">
        <v>142</v>
      </c>
      <c r="G404" s="134" t="s">
        <v>142</v>
      </c>
      <c r="H404" s="134" t="s">
        <v>142</v>
      </c>
      <c r="I404" s="134" t="s">
        <v>142</v>
      </c>
      <c r="J404" s="134" t="s">
        <v>142</v>
      </c>
      <c r="K404" s="134" t="s">
        <v>142</v>
      </c>
      <c r="L404" s="134" t="s">
        <v>142</v>
      </c>
      <c r="M404" s="136"/>
      <c r="N404" s="131"/>
    </row>
    <row r="405" hidden="1" outlineLevel="1">
      <c r="A405" s="113" t="s">
        <v>2271</v>
      </c>
      <c r="B405" s="115">
        <v>46227.0</v>
      </c>
      <c r="C405" s="118" t="str">
        <f t="shared" si="45"/>
        <v>Fri</v>
      </c>
      <c r="D405" s="143">
        <f t="shared" si="46"/>
        <v>1</v>
      </c>
      <c r="E405" s="144" t="s">
        <v>142</v>
      </c>
      <c r="F405" s="134" t="s">
        <v>142</v>
      </c>
      <c r="G405" s="134" t="s">
        <v>142</v>
      </c>
      <c r="H405" s="134" t="s">
        <v>142</v>
      </c>
      <c r="I405" s="134" t="s">
        <v>142</v>
      </c>
      <c r="J405" s="134" t="s">
        <v>142</v>
      </c>
      <c r="K405" s="134" t="s">
        <v>142</v>
      </c>
      <c r="L405" s="134" t="s">
        <v>142</v>
      </c>
      <c r="M405" s="136"/>
      <c r="N405" s="137"/>
    </row>
    <row r="406" hidden="1" outlineLevel="1">
      <c r="A406" s="113" t="s">
        <v>2272</v>
      </c>
      <c r="B406" s="115">
        <v>46228.0</v>
      </c>
      <c r="C406" s="118" t="str">
        <f t="shared" si="45"/>
        <v>Sat</v>
      </c>
      <c r="D406" s="128">
        <f t="shared" si="46"/>
        <v>0</v>
      </c>
      <c r="E406" s="131"/>
      <c r="F406" s="134"/>
      <c r="G406" s="134"/>
      <c r="H406" s="134"/>
      <c r="I406" s="134"/>
      <c r="J406" s="134"/>
      <c r="K406" s="134"/>
      <c r="L406" s="134"/>
      <c r="M406" s="136"/>
      <c r="N406" s="131"/>
    </row>
    <row r="407" hidden="1" outlineLevel="1">
      <c r="A407" s="113" t="s">
        <v>2273</v>
      </c>
      <c r="B407" s="115">
        <v>46228.0</v>
      </c>
      <c r="C407" s="118" t="str">
        <f t="shared" si="45"/>
        <v>Sat</v>
      </c>
      <c r="D407" s="143">
        <f t="shared" si="46"/>
        <v>0</v>
      </c>
      <c r="E407" s="144"/>
      <c r="F407" s="134"/>
      <c r="G407" s="134"/>
      <c r="H407" s="134"/>
      <c r="I407" s="134"/>
      <c r="J407" s="134"/>
      <c r="K407" s="134"/>
      <c r="L407" s="134"/>
      <c r="M407" s="136"/>
      <c r="N407" s="131"/>
    </row>
    <row r="408" hidden="1" outlineLevel="1">
      <c r="A408" s="113" t="s">
        <v>2275</v>
      </c>
      <c r="B408" s="115">
        <v>46228.0</v>
      </c>
      <c r="C408" s="118" t="str">
        <f t="shared" si="45"/>
        <v>Sat</v>
      </c>
      <c r="D408" s="128">
        <f t="shared" si="46"/>
        <v>0</v>
      </c>
      <c r="E408" s="131"/>
      <c r="F408" s="134"/>
      <c r="G408" s="134"/>
      <c r="H408" s="134"/>
      <c r="I408" s="134"/>
      <c r="J408" s="134"/>
      <c r="K408" s="134"/>
      <c r="L408" s="134"/>
      <c r="M408" s="136"/>
      <c r="N408" s="131"/>
    </row>
    <row r="409" hidden="1" outlineLevel="1">
      <c r="A409" s="113" t="s">
        <v>2276</v>
      </c>
      <c r="B409" s="115">
        <v>46229.0</v>
      </c>
      <c r="C409" s="118" t="str">
        <f t="shared" si="45"/>
        <v>Sun</v>
      </c>
      <c r="D409" s="143">
        <f t="shared" si="46"/>
        <v>0</v>
      </c>
      <c r="E409" s="144"/>
      <c r="F409" s="134"/>
      <c r="G409" s="134"/>
      <c r="H409" s="134"/>
      <c r="I409" s="134"/>
      <c r="J409" s="134"/>
      <c r="K409" s="134"/>
      <c r="L409" s="134"/>
      <c r="M409" s="136"/>
      <c r="N409" s="137"/>
    </row>
    <row r="410" hidden="1" outlineLevel="1">
      <c r="A410" s="113" t="s">
        <v>2277</v>
      </c>
      <c r="B410" s="115">
        <v>46229.0</v>
      </c>
      <c r="C410" s="118" t="str">
        <f t="shared" si="45"/>
        <v>Sun</v>
      </c>
      <c r="D410" s="128">
        <f t="shared" si="46"/>
        <v>0</v>
      </c>
      <c r="E410" s="131"/>
      <c r="F410" s="134"/>
      <c r="G410" s="134"/>
      <c r="H410" s="134"/>
      <c r="I410" s="134"/>
      <c r="J410" s="134"/>
      <c r="K410" s="134"/>
      <c r="L410" s="134"/>
      <c r="M410" s="136"/>
      <c r="N410" s="137"/>
    </row>
    <row r="411" ht="15.0" hidden="1" customHeight="1" outlineLevel="1">
      <c r="A411" s="113" t="s">
        <v>2279</v>
      </c>
      <c r="B411" s="115">
        <v>46229.0</v>
      </c>
      <c r="C411" s="118" t="str">
        <f t="shared" si="45"/>
        <v>Sun</v>
      </c>
      <c r="D411" s="143">
        <f t="shared" si="46"/>
        <v>0</v>
      </c>
      <c r="E411" s="144"/>
      <c r="F411" s="134"/>
      <c r="G411" s="134"/>
      <c r="H411" s="134"/>
      <c r="I411" s="134"/>
      <c r="J411" s="134"/>
      <c r="K411" s="134"/>
      <c r="L411" s="134"/>
      <c r="M411" s="136"/>
      <c r="N411" s="131"/>
    </row>
    <row r="412" hidden="1" outlineLevel="1">
      <c r="B412" s="215"/>
      <c r="C412" s="216" t="s">
        <v>199</v>
      </c>
      <c r="D412" s="217">
        <f>AVERAGE(D397:D411)</f>
        <v>0.6</v>
      </c>
      <c r="E412" s="472"/>
      <c r="L412" s="216" t="s">
        <v>199</v>
      </c>
      <c r="M412" s="217">
        <f>SUM(M397:M411)/75*0.1</f>
        <v>0</v>
      </c>
    </row>
    <row r="413" hidden="1" collapsed="1">
      <c r="A413" s="85" t="s">
        <v>286</v>
      </c>
      <c r="B413" s="86"/>
      <c r="C413" s="86"/>
      <c r="D413" s="359"/>
      <c r="E413" s="89"/>
      <c r="F413" s="89"/>
      <c r="G413" s="91"/>
      <c r="H413" s="91"/>
      <c r="I413" s="91"/>
      <c r="J413" s="91"/>
      <c r="K413" s="91"/>
      <c r="L413" s="91"/>
      <c r="M413" s="93"/>
      <c r="N413" s="95"/>
    </row>
    <row r="414" hidden="1" outlineLevel="1">
      <c r="A414" s="96" t="s">
        <v>89</v>
      </c>
      <c r="B414" s="98" t="s">
        <v>90</v>
      </c>
      <c r="C414" s="98" t="s">
        <v>91</v>
      </c>
      <c r="D414" s="101" t="s">
        <v>93</v>
      </c>
      <c r="E414" s="102" t="s">
        <v>94</v>
      </c>
      <c r="F414" s="102" t="s">
        <v>95</v>
      </c>
      <c r="G414" s="105" t="s">
        <v>96</v>
      </c>
      <c r="H414" s="107" t="s">
        <v>97</v>
      </c>
      <c r="I414" s="107" t="s">
        <v>104</v>
      </c>
      <c r="J414" s="105" t="s">
        <v>106</v>
      </c>
      <c r="K414" s="107" t="s">
        <v>109</v>
      </c>
      <c r="L414" s="105" t="s">
        <v>111</v>
      </c>
      <c r="M414" s="98" t="s">
        <v>114</v>
      </c>
      <c r="N414" s="101" t="s">
        <v>116</v>
      </c>
    </row>
    <row r="415" hidden="1" outlineLevel="1">
      <c r="A415" s="113" t="s">
        <v>2281</v>
      </c>
      <c r="B415" s="309">
        <v>46230.0</v>
      </c>
      <c r="C415" s="118" t="str">
        <f t="shared" ref="C415:C429" si="47">IF(B415="", "", TEXT(B415, "ddd"))</f>
        <v>Mon</v>
      </c>
      <c r="D415" s="143">
        <f t="shared" ref="D415:D429" si="48">IF(E415="Yes",0.05,0)
+IF(F415="Yes",0.1,0)
+IF(G415="Yes",0.15,0)
+IF(H415="Yes",0.15,0)
+IF(I415="Yes",0.05,0)
+IF(J415="Yes",0.05,0)
+IF(K415="Yes",0.15,0)
+IF(L415="Yes",0.3,0)
</f>
        <v>1</v>
      </c>
      <c r="E415" s="144" t="s">
        <v>142</v>
      </c>
      <c r="F415" s="134" t="s">
        <v>142</v>
      </c>
      <c r="G415" s="134" t="s">
        <v>142</v>
      </c>
      <c r="H415" s="134" t="s">
        <v>142</v>
      </c>
      <c r="I415" s="134" t="s">
        <v>142</v>
      </c>
      <c r="J415" s="134" t="s">
        <v>142</v>
      </c>
      <c r="K415" s="134" t="s">
        <v>142</v>
      </c>
      <c r="L415" s="134" t="s">
        <v>142</v>
      </c>
      <c r="M415" s="136"/>
      <c r="N415" s="137"/>
    </row>
    <row r="416" hidden="1" outlineLevel="1">
      <c r="A416" s="113" t="s">
        <v>2282</v>
      </c>
      <c r="B416" s="309">
        <v>46230.0</v>
      </c>
      <c r="C416" s="118" t="str">
        <f t="shared" si="47"/>
        <v>Mon</v>
      </c>
      <c r="D416" s="128">
        <f t="shared" si="48"/>
        <v>1</v>
      </c>
      <c r="E416" s="131" t="s">
        <v>142</v>
      </c>
      <c r="F416" s="134" t="s">
        <v>142</v>
      </c>
      <c r="G416" s="134" t="s">
        <v>142</v>
      </c>
      <c r="H416" s="134" t="s">
        <v>142</v>
      </c>
      <c r="I416" s="134" t="s">
        <v>142</v>
      </c>
      <c r="J416" s="134" t="s">
        <v>142</v>
      </c>
      <c r="K416" s="134" t="s">
        <v>142</v>
      </c>
      <c r="L416" s="134" t="s">
        <v>142</v>
      </c>
      <c r="M416" s="136"/>
      <c r="N416" s="131"/>
    </row>
    <row r="417" hidden="1" outlineLevel="1">
      <c r="A417" s="113" t="s">
        <v>2284</v>
      </c>
      <c r="B417" s="309">
        <v>46230.0</v>
      </c>
      <c r="C417" s="118" t="str">
        <f t="shared" si="47"/>
        <v>Mon</v>
      </c>
      <c r="D417" s="143">
        <f t="shared" si="48"/>
        <v>1</v>
      </c>
      <c r="E417" s="144" t="s">
        <v>142</v>
      </c>
      <c r="F417" s="134" t="s">
        <v>142</v>
      </c>
      <c r="G417" s="134" t="s">
        <v>142</v>
      </c>
      <c r="H417" s="134" t="s">
        <v>142</v>
      </c>
      <c r="I417" s="134" t="s">
        <v>142</v>
      </c>
      <c r="J417" s="134" t="s">
        <v>142</v>
      </c>
      <c r="K417" s="134" t="s">
        <v>142</v>
      </c>
      <c r="L417" s="134" t="s">
        <v>142</v>
      </c>
      <c r="M417" s="136"/>
      <c r="N417" s="131"/>
    </row>
    <row r="418" hidden="1" outlineLevel="1">
      <c r="A418" s="113" t="s">
        <v>2287</v>
      </c>
      <c r="B418" s="309">
        <v>46233.0</v>
      </c>
      <c r="C418" s="118" t="str">
        <f t="shared" si="47"/>
        <v>Thu</v>
      </c>
      <c r="D418" s="128">
        <f t="shared" si="48"/>
        <v>0</v>
      </c>
      <c r="E418" s="131"/>
      <c r="F418" s="134"/>
      <c r="G418" s="134"/>
      <c r="H418" s="134"/>
      <c r="I418" s="134"/>
      <c r="J418" s="134"/>
      <c r="K418" s="134"/>
      <c r="L418" s="134"/>
      <c r="M418" s="136"/>
      <c r="N418" s="137"/>
    </row>
    <row r="419" hidden="1" outlineLevel="1">
      <c r="A419" s="113" t="s">
        <v>2288</v>
      </c>
      <c r="B419" s="309">
        <v>46233.0</v>
      </c>
      <c r="C419" s="118" t="str">
        <f t="shared" si="47"/>
        <v>Thu</v>
      </c>
      <c r="D419" s="143">
        <f t="shared" si="48"/>
        <v>0</v>
      </c>
      <c r="E419" s="144"/>
      <c r="F419" s="134"/>
      <c r="G419" s="134"/>
      <c r="H419" s="134"/>
      <c r="I419" s="134"/>
      <c r="J419" s="134"/>
      <c r="K419" s="134"/>
      <c r="L419" s="134"/>
      <c r="M419" s="136"/>
      <c r="N419" s="137"/>
    </row>
    <row r="420" hidden="1" outlineLevel="1">
      <c r="A420" s="113" t="s">
        <v>2290</v>
      </c>
      <c r="B420" s="309">
        <v>46233.0</v>
      </c>
      <c r="C420" s="118" t="str">
        <f t="shared" si="47"/>
        <v>Thu</v>
      </c>
      <c r="D420" s="128">
        <f t="shared" si="48"/>
        <v>0</v>
      </c>
      <c r="E420" s="131"/>
      <c r="F420" s="134"/>
      <c r="G420" s="134"/>
      <c r="H420" s="134"/>
      <c r="I420" s="134"/>
      <c r="J420" s="134"/>
      <c r="K420" s="134"/>
      <c r="L420" s="134"/>
      <c r="M420" s="136"/>
      <c r="N420" s="137"/>
    </row>
    <row r="421" hidden="1" outlineLevel="1">
      <c r="A421" s="113" t="s">
        <v>2291</v>
      </c>
      <c r="B421" s="309">
        <v>46234.0</v>
      </c>
      <c r="C421" s="118" t="str">
        <f t="shared" si="47"/>
        <v>Fri</v>
      </c>
      <c r="D421" s="143">
        <f t="shared" si="48"/>
        <v>0</v>
      </c>
      <c r="E421" s="144"/>
      <c r="F421" s="134"/>
      <c r="G421" s="134"/>
      <c r="H421" s="134"/>
      <c r="I421" s="134"/>
      <c r="J421" s="134"/>
      <c r="K421" s="134"/>
      <c r="L421" s="134"/>
      <c r="M421" s="136"/>
      <c r="N421" s="137"/>
    </row>
    <row r="422" hidden="1" outlineLevel="1">
      <c r="A422" s="113" t="s">
        <v>2294</v>
      </c>
      <c r="B422" s="309">
        <v>46234.0</v>
      </c>
      <c r="C422" s="118" t="str">
        <f t="shared" si="47"/>
        <v>Fri</v>
      </c>
      <c r="D422" s="128">
        <f t="shared" si="48"/>
        <v>0</v>
      </c>
      <c r="E422" s="131"/>
      <c r="F422" s="134"/>
      <c r="G422" s="134"/>
      <c r="H422" s="134"/>
      <c r="I422" s="134"/>
      <c r="J422" s="134"/>
      <c r="K422" s="134"/>
      <c r="L422" s="134"/>
      <c r="M422" s="136"/>
      <c r="N422" s="131"/>
    </row>
    <row r="423" hidden="1" outlineLevel="1">
      <c r="A423" s="113" t="s">
        <v>2297</v>
      </c>
      <c r="B423" s="309">
        <v>46234.0</v>
      </c>
      <c r="C423" s="118" t="str">
        <f t="shared" si="47"/>
        <v>Fri</v>
      </c>
      <c r="D423" s="143">
        <f t="shared" si="48"/>
        <v>0</v>
      </c>
      <c r="E423" s="144"/>
      <c r="F423" s="134"/>
      <c r="G423" s="134"/>
      <c r="H423" s="134"/>
      <c r="I423" s="134"/>
      <c r="J423" s="134"/>
      <c r="K423" s="134"/>
      <c r="L423" s="134"/>
      <c r="M423" s="136"/>
      <c r="N423" s="137"/>
    </row>
    <row r="424" hidden="1" outlineLevel="1">
      <c r="A424" s="353" t="s">
        <v>2298</v>
      </c>
      <c r="B424" s="309">
        <v>46235.0</v>
      </c>
      <c r="C424" s="118" t="str">
        <f t="shared" si="47"/>
        <v>Sat</v>
      </c>
      <c r="D424" s="128">
        <f t="shared" si="48"/>
        <v>0</v>
      </c>
      <c r="E424" s="131"/>
      <c r="F424" s="134"/>
      <c r="G424" s="134"/>
      <c r="H424" s="134"/>
      <c r="I424" s="134"/>
      <c r="J424" s="134"/>
      <c r="K424" s="134"/>
      <c r="L424" s="134"/>
      <c r="M424" s="136"/>
      <c r="N424" s="131"/>
    </row>
    <row r="425" hidden="1" outlineLevel="1">
      <c r="A425" s="353" t="s">
        <v>2299</v>
      </c>
      <c r="B425" s="309">
        <v>46235.0</v>
      </c>
      <c r="C425" s="118" t="str">
        <f t="shared" si="47"/>
        <v>Sat</v>
      </c>
      <c r="D425" s="143">
        <f t="shared" si="48"/>
        <v>0</v>
      </c>
      <c r="E425" s="144"/>
      <c r="F425" s="134"/>
      <c r="G425" s="134"/>
      <c r="H425" s="134"/>
      <c r="I425" s="134"/>
      <c r="J425" s="134"/>
      <c r="K425" s="134"/>
      <c r="L425" s="134"/>
      <c r="M425" s="136"/>
      <c r="N425" s="131"/>
    </row>
    <row r="426" hidden="1" outlineLevel="1">
      <c r="A426" s="353" t="s">
        <v>2301</v>
      </c>
      <c r="B426" s="309">
        <v>46235.0</v>
      </c>
      <c r="C426" s="118" t="str">
        <f t="shared" si="47"/>
        <v>Sat</v>
      </c>
      <c r="D426" s="128">
        <f t="shared" si="48"/>
        <v>0</v>
      </c>
      <c r="E426" s="131"/>
      <c r="F426" s="134"/>
      <c r="G426" s="134"/>
      <c r="H426" s="134"/>
      <c r="I426" s="134"/>
      <c r="J426" s="134"/>
      <c r="K426" s="134"/>
      <c r="L426" s="134"/>
      <c r="M426" s="136"/>
      <c r="N426" s="131"/>
    </row>
    <row r="427" hidden="1" outlineLevel="1">
      <c r="A427" s="353" t="s">
        <v>2302</v>
      </c>
      <c r="B427" s="270"/>
      <c r="C427" s="118" t="str">
        <f t="shared" si="47"/>
        <v/>
      </c>
      <c r="D427" s="143">
        <f t="shared" si="48"/>
        <v>0</v>
      </c>
      <c r="E427" s="144"/>
      <c r="F427" s="134"/>
      <c r="G427" s="134"/>
      <c r="H427" s="134"/>
      <c r="I427" s="134"/>
      <c r="J427" s="134"/>
      <c r="K427" s="134"/>
      <c r="L427" s="134"/>
      <c r="M427" s="136"/>
      <c r="N427" s="137"/>
    </row>
    <row r="428" hidden="1" outlineLevel="1">
      <c r="A428" s="353" t="s">
        <v>2304</v>
      </c>
      <c r="B428" s="270"/>
      <c r="C428" s="118" t="str">
        <f t="shared" si="47"/>
        <v/>
      </c>
      <c r="D428" s="128">
        <f t="shared" si="48"/>
        <v>0</v>
      </c>
      <c r="E428" s="131"/>
      <c r="F428" s="134"/>
      <c r="G428" s="134"/>
      <c r="H428" s="134"/>
      <c r="I428" s="134"/>
      <c r="J428" s="134"/>
      <c r="K428" s="134"/>
      <c r="L428" s="134"/>
      <c r="M428" s="136"/>
      <c r="N428" s="137"/>
    </row>
    <row r="429" ht="15.0" hidden="1" customHeight="1" outlineLevel="1">
      <c r="A429" s="353" t="s">
        <v>2306</v>
      </c>
      <c r="B429" s="270"/>
      <c r="C429" s="118" t="str">
        <f t="shared" si="47"/>
        <v/>
      </c>
      <c r="D429" s="143">
        <f t="shared" si="48"/>
        <v>0</v>
      </c>
      <c r="E429" s="144"/>
      <c r="F429" s="134"/>
      <c r="G429" s="134"/>
      <c r="H429" s="134"/>
      <c r="I429" s="134"/>
      <c r="J429" s="134"/>
      <c r="K429" s="134"/>
      <c r="L429" s="134"/>
      <c r="M429" s="136"/>
      <c r="N429" s="131"/>
    </row>
    <row r="430" hidden="1" outlineLevel="1">
      <c r="B430" s="215"/>
      <c r="C430" s="216" t="s">
        <v>199</v>
      </c>
      <c r="D430" s="217">
        <f>AVERAGE(D415:D429)</f>
        <v>0.2</v>
      </c>
      <c r="E430" s="472"/>
      <c r="L430" s="216" t="s">
        <v>199</v>
      </c>
      <c r="M430" s="217">
        <f>SUM(M415:M429)/75*0.1</f>
        <v>0</v>
      </c>
    </row>
    <row r="431" hidden="1" collapsed="1">
      <c r="A431" s="85" t="s">
        <v>315</v>
      </c>
      <c r="B431" s="86"/>
      <c r="C431" s="86"/>
      <c r="D431" s="359"/>
      <c r="E431" s="89"/>
      <c r="F431" s="89"/>
      <c r="G431" s="91"/>
      <c r="H431" s="91"/>
      <c r="I431" s="91"/>
      <c r="J431" s="91"/>
      <c r="K431" s="91"/>
      <c r="L431" s="91"/>
      <c r="M431" s="93"/>
      <c r="N431" s="95"/>
    </row>
    <row r="432" hidden="1" outlineLevel="1">
      <c r="A432" s="96" t="s">
        <v>89</v>
      </c>
      <c r="B432" s="98" t="s">
        <v>90</v>
      </c>
      <c r="C432" s="98" t="s">
        <v>91</v>
      </c>
      <c r="D432" s="101" t="s">
        <v>93</v>
      </c>
      <c r="E432" s="102" t="s">
        <v>94</v>
      </c>
      <c r="F432" s="102" t="s">
        <v>95</v>
      </c>
      <c r="G432" s="105" t="s">
        <v>96</v>
      </c>
      <c r="H432" s="107" t="s">
        <v>97</v>
      </c>
      <c r="I432" s="107" t="s">
        <v>104</v>
      </c>
      <c r="J432" s="105" t="s">
        <v>106</v>
      </c>
      <c r="K432" s="107" t="s">
        <v>109</v>
      </c>
      <c r="L432" s="105" t="s">
        <v>111</v>
      </c>
      <c r="M432" s="98" t="s">
        <v>114</v>
      </c>
      <c r="N432" s="101" t="s">
        <v>116</v>
      </c>
    </row>
    <row r="433" hidden="1" outlineLevel="1">
      <c r="A433" s="113" t="s">
        <v>2309</v>
      </c>
      <c r="B433" s="309">
        <v>46237.0</v>
      </c>
      <c r="C433" s="118" t="str">
        <f t="shared" ref="C433:C447" si="49">IF(B433="", "", TEXT(B433, "ddd"))</f>
        <v>Mon</v>
      </c>
      <c r="D433" s="143">
        <f t="shared" ref="D433:D447" si="50">IF(E433="Yes",0.05,0)
+IF(F433="Yes",0.1,0)
+IF(G433="Yes",0.15,0)
+IF(H433="Yes",0.15,0)
+IF(I433="Yes",0.05,0)
+IF(J433="Yes",0.05,0)
+IF(K433="Yes",0.15,0)
+IF(L433="Yes",0.3,0)
</f>
        <v>1</v>
      </c>
      <c r="E433" s="144" t="s">
        <v>142</v>
      </c>
      <c r="F433" s="134" t="s">
        <v>142</v>
      </c>
      <c r="G433" s="134" t="s">
        <v>142</v>
      </c>
      <c r="H433" s="134" t="s">
        <v>142</v>
      </c>
      <c r="I433" s="134" t="s">
        <v>142</v>
      </c>
      <c r="J433" s="134" t="s">
        <v>142</v>
      </c>
      <c r="K433" s="134" t="s">
        <v>142</v>
      </c>
      <c r="L433" s="134" t="s">
        <v>142</v>
      </c>
      <c r="M433" s="136"/>
      <c r="N433" s="137"/>
    </row>
    <row r="434" hidden="1" outlineLevel="1">
      <c r="A434" s="113" t="s">
        <v>2312</v>
      </c>
      <c r="B434" s="309">
        <v>46237.0</v>
      </c>
      <c r="C434" s="118" t="str">
        <f t="shared" si="49"/>
        <v>Mon</v>
      </c>
      <c r="D434" s="128">
        <f t="shared" si="50"/>
        <v>1</v>
      </c>
      <c r="E434" s="131" t="s">
        <v>142</v>
      </c>
      <c r="F434" s="134" t="s">
        <v>142</v>
      </c>
      <c r="G434" s="134" t="s">
        <v>142</v>
      </c>
      <c r="H434" s="134" t="s">
        <v>142</v>
      </c>
      <c r="I434" s="134" t="s">
        <v>142</v>
      </c>
      <c r="J434" s="134" t="s">
        <v>142</v>
      </c>
      <c r="K434" s="134" t="s">
        <v>142</v>
      </c>
      <c r="L434" s="134" t="s">
        <v>142</v>
      </c>
      <c r="M434" s="136"/>
      <c r="N434" s="131"/>
    </row>
    <row r="435" hidden="1" outlineLevel="1">
      <c r="A435" s="113" t="s">
        <v>2314</v>
      </c>
      <c r="B435" s="309">
        <v>46237.0</v>
      </c>
      <c r="C435" s="118" t="str">
        <f t="shared" si="49"/>
        <v>Mon</v>
      </c>
      <c r="D435" s="143">
        <f t="shared" si="50"/>
        <v>1</v>
      </c>
      <c r="E435" s="144" t="s">
        <v>142</v>
      </c>
      <c r="F435" s="134" t="s">
        <v>142</v>
      </c>
      <c r="G435" s="134" t="s">
        <v>142</v>
      </c>
      <c r="H435" s="134" t="s">
        <v>142</v>
      </c>
      <c r="I435" s="134" t="s">
        <v>142</v>
      </c>
      <c r="J435" s="134" t="s">
        <v>142</v>
      </c>
      <c r="K435" s="134" t="s">
        <v>142</v>
      </c>
      <c r="L435" s="134" t="s">
        <v>142</v>
      </c>
      <c r="M435" s="136"/>
      <c r="N435" s="131"/>
    </row>
    <row r="436" hidden="1" outlineLevel="1">
      <c r="A436" s="113" t="s">
        <v>2316</v>
      </c>
      <c r="B436" s="309">
        <v>46238.0</v>
      </c>
      <c r="C436" s="118" t="str">
        <f t="shared" si="49"/>
        <v>Tue</v>
      </c>
      <c r="D436" s="128">
        <f t="shared" si="50"/>
        <v>1</v>
      </c>
      <c r="E436" s="131" t="s">
        <v>142</v>
      </c>
      <c r="F436" s="134" t="s">
        <v>142</v>
      </c>
      <c r="G436" s="134" t="s">
        <v>142</v>
      </c>
      <c r="H436" s="134" t="s">
        <v>142</v>
      </c>
      <c r="I436" s="134" t="s">
        <v>142</v>
      </c>
      <c r="J436" s="134" t="s">
        <v>142</v>
      </c>
      <c r="K436" s="134" t="s">
        <v>142</v>
      </c>
      <c r="L436" s="134" t="s">
        <v>142</v>
      </c>
      <c r="M436" s="136"/>
      <c r="N436" s="131"/>
    </row>
    <row r="437" hidden="1" outlineLevel="1">
      <c r="A437" s="113" t="s">
        <v>2318</v>
      </c>
      <c r="B437" s="309">
        <v>46238.0</v>
      </c>
      <c r="C437" s="118" t="str">
        <f t="shared" si="49"/>
        <v>Tue</v>
      </c>
      <c r="D437" s="143">
        <f t="shared" si="50"/>
        <v>1</v>
      </c>
      <c r="E437" s="144" t="s">
        <v>142</v>
      </c>
      <c r="F437" s="134" t="s">
        <v>142</v>
      </c>
      <c r="G437" s="134" t="s">
        <v>142</v>
      </c>
      <c r="H437" s="134" t="s">
        <v>142</v>
      </c>
      <c r="I437" s="134" t="s">
        <v>142</v>
      </c>
      <c r="J437" s="134" t="s">
        <v>142</v>
      </c>
      <c r="K437" s="134" t="s">
        <v>142</v>
      </c>
      <c r="L437" s="134" t="s">
        <v>142</v>
      </c>
      <c r="M437" s="136"/>
      <c r="N437" s="131"/>
    </row>
    <row r="438" hidden="1" outlineLevel="1">
      <c r="A438" s="113" t="s">
        <v>2320</v>
      </c>
      <c r="B438" s="309">
        <v>46238.0</v>
      </c>
      <c r="C438" s="118" t="str">
        <f t="shared" si="49"/>
        <v>Tue</v>
      </c>
      <c r="D438" s="128">
        <f t="shared" si="50"/>
        <v>1</v>
      </c>
      <c r="E438" s="131" t="s">
        <v>142</v>
      </c>
      <c r="F438" s="134" t="s">
        <v>142</v>
      </c>
      <c r="G438" s="134" t="s">
        <v>142</v>
      </c>
      <c r="H438" s="134" t="s">
        <v>142</v>
      </c>
      <c r="I438" s="134" t="s">
        <v>142</v>
      </c>
      <c r="J438" s="134" t="s">
        <v>142</v>
      </c>
      <c r="K438" s="134" t="s">
        <v>142</v>
      </c>
      <c r="L438" s="134" t="s">
        <v>142</v>
      </c>
      <c r="M438" s="136"/>
      <c r="N438" s="131"/>
    </row>
    <row r="439" hidden="1" outlineLevel="1">
      <c r="A439" s="113" t="s">
        <v>2322</v>
      </c>
      <c r="B439" s="309">
        <v>46240.0</v>
      </c>
      <c r="C439" s="118" t="str">
        <f t="shared" si="49"/>
        <v>Thu</v>
      </c>
      <c r="D439" s="143">
        <f t="shared" si="50"/>
        <v>1</v>
      </c>
      <c r="E439" s="144" t="s">
        <v>142</v>
      </c>
      <c r="F439" s="134" t="s">
        <v>142</v>
      </c>
      <c r="G439" s="134" t="s">
        <v>142</v>
      </c>
      <c r="H439" s="134" t="s">
        <v>142</v>
      </c>
      <c r="I439" s="134" t="s">
        <v>142</v>
      </c>
      <c r="J439" s="134" t="s">
        <v>142</v>
      </c>
      <c r="K439" s="134" t="s">
        <v>142</v>
      </c>
      <c r="L439" s="134" t="s">
        <v>142</v>
      </c>
      <c r="M439" s="136"/>
      <c r="N439" s="137"/>
    </row>
    <row r="440" hidden="1" outlineLevel="1">
      <c r="A440" s="113" t="s">
        <v>2323</v>
      </c>
      <c r="B440" s="309">
        <v>46240.0</v>
      </c>
      <c r="C440" s="118" t="str">
        <f t="shared" si="49"/>
        <v>Thu</v>
      </c>
      <c r="D440" s="128">
        <f t="shared" si="50"/>
        <v>1</v>
      </c>
      <c r="E440" s="131" t="s">
        <v>142</v>
      </c>
      <c r="F440" s="134" t="s">
        <v>142</v>
      </c>
      <c r="G440" s="134" t="s">
        <v>142</v>
      </c>
      <c r="H440" s="134" t="s">
        <v>142</v>
      </c>
      <c r="I440" s="134" t="s">
        <v>142</v>
      </c>
      <c r="J440" s="134" t="s">
        <v>142</v>
      </c>
      <c r="K440" s="134" t="s">
        <v>142</v>
      </c>
      <c r="L440" s="134" t="s">
        <v>142</v>
      </c>
      <c r="M440" s="136"/>
      <c r="N440" s="131"/>
    </row>
    <row r="441" hidden="1" outlineLevel="1">
      <c r="A441" s="113" t="s">
        <v>2324</v>
      </c>
      <c r="B441" s="309">
        <v>46240.0</v>
      </c>
      <c r="C441" s="118" t="str">
        <f t="shared" si="49"/>
        <v>Thu</v>
      </c>
      <c r="D441" s="143">
        <f t="shared" si="50"/>
        <v>1</v>
      </c>
      <c r="E441" s="144" t="s">
        <v>142</v>
      </c>
      <c r="F441" s="134" t="s">
        <v>142</v>
      </c>
      <c r="G441" s="134" t="s">
        <v>142</v>
      </c>
      <c r="H441" s="134" t="s">
        <v>142</v>
      </c>
      <c r="I441" s="134" t="s">
        <v>142</v>
      </c>
      <c r="J441" s="134" t="s">
        <v>142</v>
      </c>
      <c r="K441" s="134" t="s">
        <v>142</v>
      </c>
      <c r="L441" s="134" t="s">
        <v>142</v>
      </c>
      <c r="M441" s="136"/>
      <c r="N441" s="137"/>
    </row>
    <row r="442" hidden="1" outlineLevel="1">
      <c r="A442" s="113" t="s">
        <v>2326</v>
      </c>
      <c r="B442" s="309">
        <v>46241.0</v>
      </c>
      <c r="C442" s="118" t="str">
        <f t="shared" si="49"/>
        <v>Fri</v>
      </c>
      <c r="D442" s="128">
        <f t="shared" si="50"/>
        <v>1</v>
      </c>
      <c r="E442" s="131" t="s">
        <v>142</v>
      </c>
      <c r="F442" s="134" t="s">
        <v>142</v>
      </c>
      <c r="G442" s="134" t="s">
        <v>142</v>
      </c>
      <c r="H442" s="134" t="s">
        <v>142</v>
      </c>
      <c r="I442" s="134" t="s">
        <v>142</v>
      </c>
      <c r="J442" s="134" t="s">
        <v>142</v>
      </c>
      <c r="K442" s="134" t="s">
        <v>142</v>
      </c>
      <c r="L442" s="134" t="s">
        <v>142</v>
      </c>
      <c r="M442" s="136"/>
      <c r="N442" s="131"/>
    </row>
    <row r="443" hidden="1" outlineLevel="1">
      <c r="A443" s="113" t="s">
        <v>2328</v>
      </c>
      <c r="B443" s="309">
        <v>46241.0</v>
      </c>
      <c r="C443" s="118" t="str">
        <f t="shared" si="49"/>
        <v>Fri</v>
      </c>
      <c r="D443" s="143">
        <f t="shared" si="50"/>
        <v>1</v>
      </c>
      <c r="E443" s="144" t="s">
        <v>142</v>
      </c>
      <c r="F443" s="134" t="s">
        <v>142</v>
      </c>
      <c r="G443" s="134" t="s">
        <v>142</v>
      </c>
      <c r="H443" s="134" t="s">
        <v>142</v>
      </c>
      <c r="I443" s="134" t="s">
        <v>142</v>
      </c>
      <c r="J443" s="134" t="s">
        <v>142</v>
      </c>
      <c r="K443" s="134" t="s">
        <v>142</v>
      </c>
      <c r="L443" s="134" t="s">
        <v>142</v>
      </c>
      <c r="M443" s="136"/>
      <c r="N443" s="131"/>
    </row>
    <row r="444" hidden="1" outlineLevel="1">
      <c r="A444" s="113" t="s">
        <v>2329</v>
      </c>
      <c r="B444" s="309">
        <v>46241.0</v>
      </c>
      <c r="C444" s="118" t="str">
        <f t="shared" si="49"/>
        <v>Fri</v>
      </c>
      <c r="D444" s="128">
        <f t="shared" si="50"/>
        <v>1</v>
      </c>
      <c r="E444" s="131" t="s">
        <v>142</v>
      </c>
      <c r="F444" s="134" t="s">
        <v>142</v>
      </c>
      <c r="G444" s="134" t="s">
        <v>142</v>
      </c>
      <c r="H444" s="134" t="s">
        <v>142</v>
      </c>
      <c r="I444" s="134" t="s">
        <v>142</v>
      </c>
      <c r="J444" s="134" t="s">
        <v>142</v>
      </c>
      <c r="K444" s="134" t="s">
        <v>142</v>
      </c>
      <c r="L444" s="134" t="s">
        <v>142</v>
      </c>
      <c r="M444" s="136"/>
      <c r="N444" s="131"/>
    </row>
    <row r="445" hidden="1" outlineLevel="1">
      <c r="A445" s="353" t="s">
        <v>2331</v>
      </c>
      <c r="B445" s="309">
        <v>46243.0</v>
      </c>
      <c r="C445" s="118" t="str">
        <f t="shared" si="49"/>
        <v>Sun</v>
      </c>
      <c r="D445" s="143">
        <f t="shared" si="50"/>
        <v>1</v>
      </c>
      <c r="E445" s="144" t="s">
        <v>142</v>
      </c>
      <c r="F445" s="134" t="s">
        <v>142</v>
      </c>
      <c r="G445" s="134" t="s">
        <v>142</v>
      </c>
      <c r="H445" s="134" t="s">
        <v>142</v>
      </c>
      <c r="I445" s="134" t="s">
        <v>142</v>
      </c>
      <c r="J445" s="134" t="s">
        <v>142</v>
      </c>
      <c r="K445" s="134" t="s">
        <v>142</v>
      </c>
      <c r="L445" s="134" t="s">
        <v>142</v>
      </c>
      <c r="M445" s="136"/>
      <c r="N445" s="131"/>
    </row>
    <row r="446" hidden="1" outlineLevel="1">
      <c r="A446" s="353" t="s">
        <v>2332</v>
      </c>
      <c r="B446" s="309">
        <v>46243.0</v>
      </c>
      <c r="C446" s="118" t="str">
        <f t="shared" si="49"/>
        <v>Sun</v>
      </c>
      <c r="D446" s="128">
        <f t="shared" si="50"/>
        <v>1</v>
      </c>
      <c r="E446" s="131" t="s">
        <v>142</v>
      </c>
      <c r="F446" s="134" t="s">
        <v>142</v>
      </c>
      <c r="G446" s="134" t="s">
        <v>142</v>
      </c>
      <c r="H446" s="134" t="s">
        <v>142</v>
      </c>
      <c r="I446" s="134" t="s">
        <v>142</v>
      </c>
      <c r="J446" s="134" t="s">
        <v>142</v>
      </c>
      <c r="K446" s="134" t="s">
        <v>142</v>
      </c>
      <c r="L446" s="134" t="s">
        <v>142</v>
      </c>
      <c r="M446" s="136"/>
      <c r="N446" s="131"/>
    </row>
    <row r="447" ht="15.0" hidden="1" customHeight="1" outlineLevel="1">
      <c r="A447" s="353" t="s">
        <v>2333</v>
      </c>
      <c r="B447" s="309">
        <v>46243.0</v>
      </c>
      <c r="C447" s="118" t="str">
        <f t="shared" si="49"/>
        <v>Sun</v>
      </c>
      <c r="D447" s="143">
        <f t="shared" si="50"/>
        <v>1</v>
      </c>
      <c r="E447" s="144" t="s">
        <v>142</v>
      </c>
      <c r="F447" s="134" t="s">
        <v>142</v>
      </c>
      <c r="G447" s="134" t="s">
        <v>142</v>
      </c>
      <c r="H447" s="134" t="s">
        <v>142</v>
      </c>
      <c r="I447" s="134" t="s">
        <v>142</v>
      </c>
      <c r="J447" s="134" t="s">
        <v>142</v>
      </c>
      <c r="K447" s="134" t="s">
        <v>142</v>
      </c>
      <c r="L447" s="134" t="s">
        <v>142</v>
      </c>
      <c r="M447" s="136"/>
      <c r="N447" s="131"/>
    </row>
    <row r="448" hidden="1" outlineLevel="1">
      <c r="B448" s="215"/>
      <c r="C448" s="216" t="s">
        <v>199</v>
      </c>
      <c r="D448" s="217">
        <f>AVERAGE(D433:D447)</f>
        <v>1</v>
      </c>
      <c r="E448" s="472"/>
      <c r="L448" s="216" t="s">
        <v>199</v>
      </c>
      <c r="M448" s="217">
        <f>SUM(M433:M447)/75*0.1</f>
        <v>0</v>
      </c>
    </row>
    <row r="449" hidden="1" collapsed="1">
      <c r="A449" s="85" t="s">
        <v>347</v>
      </c>
      <c r="B449" s="86"/>
      <c r="C449" s="86"/>
      <c r="D449" s="359"/>
      <c r="E449" s="89"/>
      <c r="F449" s="89"/>
      <c r="G449" s="91"/>
      <c r="H449" s="91"/>
      <c r="I449" s="91"/>
      <c r="J449" s="91"/>
      <c r="K449" s="91"/>
      <c r="L449" s="91"/>
      <c r="M449" s="93"/>
      <c r="N449" s="95"/>
    </row>
    <row r="450" hidden="1" outlineLevel="1">
      <c r="A450" s="96" t="s">
        <v>89</v>
      </c>
      <c r="B450" s="98" t="s">
        <v>90</v>
      </c>
      <c r="C450" s="98" t="s">
        <v>91</v>
      </c>
      <c r="D450" s="101" t="s">
        <v>93</v>
      </c>
      <c r="E450" s="102" t="s">
        <v>94</v>
      </c>
      <c r="F450" s="102" t="s">
        <v>95</v>
      </c>
      <c r="G450" s="105" t="s">
        <v>96</v>
      </c>
      <c r="H450" s="107" t="s">
        <v>97</v>
      </c>
      <c r="I450" s="107" t="s">
        <v>104</v>
      </c>
      <c r="J450" s="105" t="s">
        <v>106</v>
      </c>
      <c r="K450" s="107" t="s">
        <v>109</v>
      </c>
      <c r="L450" s="105" t="s">
        <v>111</v>
      </c>
      <c r="M450" s="98" t="s">
        <v>114</v>
      </c>
      <c r="N450" s="101" t="s">
        <v>116</v>
      </c>
    </row>
    <row r="451" hidden="1" outlineLevel="1">
      <c r="A451" s="353" t="s">
        <v>2335</v>
      </c>
      <c r="B451" s="309">
        <v>46244.0</v>
      </c>
      <c r="C451" s="118" t="str">
        <f t="shared" ref="C451:C465" si="51">IF(B451="", "", TEXT(B451, "ddd"))</f>
        <v>Mon</v>
      </c>
      <c r="D451" s="143">
        <f t="shared" ref="D451:D465" si="52">IF(E451="Yes",0.05,0)
+IF(F451="Yes",0.1,0)
+IF(G451="Yes",0.15,0)
+IF(H451="Yes",0.15,0)
+IF(I451="Yes",0.05,0)
+IF(J451="Yes",0.05,0)
+IF(K451="Yes",0.15,0)
+IF(L451="Yes",0.3,0)
</f>
        <v>1</v>
      </c>
      <c r="E451" s="144" t="s">
        <v>142</v>
      </c>
      <c r="F451" s="134" t="s">
        <v>142</v>
      </c>
      <c r="G451" s="134" t="s">
        <v>142</v>
      </c>
      <c r="H451" s="134" t="s">
        <v>142</v>
      </c>
      <c r="I451" s="134" t="s">
        <v>142</v>
      </c>
      <c r="J451" s="134" t="s">
        <v>142</v>
      </c>
      <c r="K451" s="134" t="s">
        <v>142</v>
      </c>
      <c r="L451" s="134" t="s">
        <v>142</v>
      </c>
      <c r="M451" s="136"/>
      <c r="N451" s="137"/>
    </row>
    <row r="452" hidden="1" outlineLevel="1">
      <c r="A452" s="113" t="s">
        <v>2337</v>
      </c>
      <c r="B452" s="309">
        <v>46244.0</v>
      </c>
      <c r="C452" s="118" t="str">
        <f t="shared" si="51"/>
        <v>Mon</v>
      </c>
      <c r="D452" s="128">
        <f t="shared" si="52"/>
        <v>1</v>
      </c>
      <c r="E452" s="131" t="s">
        <v>142</v>
      </c>
      <c r="F452" s="134" t="s">
        <v>142</v>
      </c>
      <c r="G452" s="134" t="s">
        <v>142</v>
      </c>
      <c r="H452" s="134" t="s">
        <v>142</v>
      </c>
      <c r="I452" s="134" t="s">
        <v>142</v>
      </c>
      <c r="J452" s="134" t="s">
        <v>142</v>
      </c>
      <c r="K452" s="134" t="s">
        <v>142</v>
      </c>
      <c r="L452" s="134" t="s">
        <v>142</v>
      </c>
      <c r="M452" s="136"/>
      <c r="N452" s="131"/>
    </row>
    <row r="453" hidden="1" outlineLevel="1">
      <c r="A453" s="113" t="s">
        <v>2338</v>
      </c>
      <c r="B453" s="309">
        <v>46244.0</v>
      </c>
      <c r="C453" s="118" t="str">
        <f t="shared" si="51"/>
        <v>Mon</v>
      </c>
      <c r="D453" s="143">
        <f t="shared" si="52"/>
        <v>1</v>
      </c>
      <c r="E453" s="144" t="s">
        <v>142</v>
      </c>
      <c r="F453" s="134" t="s">
        <v>142</v>
      </c>
      <c r="G453" s="134" t="s">
        <v>142</v>
      </c>
      <c r="H453" s="134" t="s">
        <v>142</v>
      </c>
      <c r="I453" s="134" t="s">
        <v>142</v>
      </c>
      <c r="J453" s="134" t="s">
        <v>142</v>
      </c>
      <c r="K453" s="134" t="s">
        <v>142</v>
      </c>
      <c r="L453" s="134" t="s">
        <v>142</v>
      </c>
      <c r="M453" s="136"/>
      <c r="N453" s="131"/>
    </row>
    <row r="454" hidden="1" outlineLevel="1">
      <c r="A454" s="113" t="s">
        <v>2339</v>
      </c>
      <c r="B454" s="309">
        <v>46245.0</v>
      </c>
      <c r="C454" s="118" t="str">
        <f t="shared" si="51"/>
        <v>Tue</v>
      </c>
      <c r="D454" s="128">
        <f t="shared" si="52"/>
        <v>1</v>
      </c>
      <c r="E454" s="131" t="s">
        <v>142</v>
      </c>
      <c r="F454" s="134" t="s">
        <v>142</v>
      </c>
      <c r="G454" s="134" t="s">
        <v>142</v>
      </c>
      <c r="H454" s="134" t="s">
        <v>142</v>
      </c>
      <c r="I454" s="134" t="s">
        <v>142</v>
      </c>
      <c r="J454" s="134" t="s">
        <v>142</v>
      </c>
      <c r="K454" s="134" t="s">
        <v>142</v>
      </c>
      <c r="L454" s="134" t="s">
        <v>142</v>
      </c>
      <c r="M454" s="136"/>
      <c r="N454" s="131"/>
    </row>
    <row r="455" hidden="1" outlineLevel="1">
      <c r="A455" s="113" t="s">
        <v>2340</v>
      </c>
      <c r="B455" s="309">
        <v>46245.0</v>
      </c>
      <c r="C455" s="118" t="str">
        <f t="shared" si="51"/>
        <v>Tue</v>
      </c>
      <c r="D455" s="143">
        <f t="shared" si="52"/>
        <v>1</v>
      </c>
      <c r="E455" s="144" t="s">
        <v>142</v>
      </c>
      <c r="F455" s="134" t="s">
        <v>142</v>
      </c>
      <c r="G455" s="134" t="s">
        <v>142</v>
      </c>
      <c r="H455" s="134" t="s">
        <v>142</v>
      </c>
      <c r="I455" s="134" t="s">
        <v>142</v>
      </c>
      <c r="J455" s="134" t="s">
        <v>142</v>
      </c>
      <c r="K455" s="134" t="s">
        <v>142</v>
      </c>
      <c r="L455" s="134" t="s">
        <v>142</v>
      </c>
      <c r="M455" s="136"/>
      <c r="N455" s="131"/>
    </row>
    <row r="456" hidden="1" outlineLevel="1">
      <c r="A456" s="113" t="s">
        <v>2342</v>
      </c>
      <c r="B456" s="309">
        <v>46245.0</v>
      </c>
      <c r="C456" s="118" t="str">
        <f t="shared" si="51"/>
        <v>Tue</v>
      </c>
      <c r="D456" s="128">
        <f t="shared" si="52"/>
        <v>1</v>
      </c>
      <c r="E456" s="131" t="s">
        <v>142</v>
      </c>
      <c r="F456" s="134" t="s">
        <v>142</v>
      </c>
      <c r="G456" s="134" t="s">
        <v>142</v>
      </c>
      <c r="H456" s="134" t="s">
        <v>142</v>
      </c>
      <c r="I456" s="134" t="s">
        <v>142</v>
      </c>
      <c r="J456" s="134" t="s">
        <v>142</v>
      </c>
      <c r="K456" s="134" t="s">
        <v>142</v>
      </c>
      <c r="L456" s="134" t="s">
        <v>142</v>
      </c>
      <c r="M456" s="136"/>
      <c r="N456" s="131"/>
    </row>
    <row r="457" hidden="1" outlineLevel="1">
      <c r="A457" s="113" t="s">
        <v>2343</v>
      </c>
      <c r="B457" s="309">
        <v>46247.0</v>
      </c>
      <c r="C457" s="118" t="str">
        <f t="shared" si="51"/>
        <v>Thu</v>
      </c>
      <c r="D457" s="143">
        <f t="shared" si="52"/>
        <v>1</v>
      </c>
      <c r="E457" s="144" t="s">
        <v>142</v>
      </c>
      <c r="F457" s="134" t="s">
        <v>142</v>
      </c>
      <c r="G457" s="134" t="s">
        <v>142</v>
      </c>
      <c r="H457" s="134" t="s">
        <v>142</v>
      </c>
      <c r="I457" s="134" t="s">
        <v>142</v>
      </c>
      <c r="J457" s="134" t="s">
        <v>142</v>
      </c>
      <c r="K457" s="134" t="s">
        <v>142</v>
      </c>
      <c r="L457" s="134" t="s">
        <v>142</v>
      </c>
      <c r="M457" s="136"/>
      <c r="N457" s="137"/>
    </row>
    <row r="458" hidden="1" outlineLevel="1">
      <c r="A458" s="113" t="s">
        <v>2344</v>
      </c>
      <c r="B458" s="309">
        <v>46247.0</v>
      </c>
      <c r="C458" s="118" t="str">
        <f t="shared" si="51"/>
        <v>Thu</v>
      </c>
      <c r="D458" s="128">
        <f t="shared" si="52"/>
        <v>1</v>
      </c>
      <c r="E458" s="131" t="s">
        <v>142</v>
      </c>
      <c r="F458" s="134" t="s">
        <v>142</v>
      </c>
      <c r="G458" s="134" t="s">
        <v>142</v>
      </c>
      <c r="H458" s="134" t="s">
        <v>142</v>
      </c>
      <c r="I458" s="134" t="s">
        <v>142</v>
      </c>
      <c r="J458" s="134" t="s">
        <v>142</v>
      </c>
      <c r="K458" s="134" t="s">
        <v>142</v>
      </c>
      <c r="L458" s="134" t="s">
        <v>142</v>
      </c>
      <c r="M458" s="136"/>
      <c r="N458" s="131"/>
    </row>
    <row r="459" hidden="1" outlineLevel="1">
      <c r="A459" s="113" t="s">
        <v>2345</v>
      </c>
      <c r="B459" s="309">
        <v>46247.0</v>
      </c>
      <c r="C459" s="118" t="str">
        <f t="shared" si="51"/>
        <v>Thu</v>
      </c>
      <c r="D459" s="143">
        <f t="shared" si="52"/>
        <v>1</v>
      </c>
      <c r="E459" s="144" t="s">
        <v>142</v>
      </c>
      <c r="F459" s="134" t="s">
        <v>142</v>
      </c>
      <c r="G459" s="134" t="s">
        <v>142</v>
      </c>
      <c r="H459" s="134" t="s">
        <v>142</v>
      </c>
      <c r="I459" s="134" t="s">
        <v>142</v>
      </c>
      <c r="J459" s="134" t="s">
        <v>142</v>
      </c>
      <c r="K459" s="134" t="s">
        <v>142</v>
      </c>
      <c r="L459" s="134" t="s">
        <v>142</v>
      </c>
      <c r="M459" s="136"/>
      <c r="N459" s="131"/>
    </row>
    <row r="460" hidden="1" outlineLevel="1">
      <c r="A460" s="113" t="s">
        <v>2346</v>
      </c>
      <c r="B460" s="309">
        <v>46248.0</v>
      </c>
      <c r="C460" s="118" t="str">
        <f t="shared" si="51"/>
        <v>Fri</v>
      </c>
      <c r="D460" s="128">
        <f t="shared" si="52"/>
        <v>1</v>
      </c>
      <c r="E460" s="131" t="s">
        <v>142</v>
      </c>
      <c r="F460" s="134" t="s">
        <v>142</v>
      </c>
      <c r="G460" s="134" t="s">
        <v>142</v>
      </c>
      <c r="H460" s="134" t="s">
        <v>142</v>
      </c>
      <c r="I460" s="134" t="s">
        <v>142</v>
      </c>
      <c r="J460" s="134" t="s">
        <v>142</v>
      </c>
      <c r="K460" s="134" t="s">
        <v>142</v>
      </c>
      <c r="L460" s="134" t="s">
        <v>142</v>
      </c>
      <c r="M460" s="136"/>
      <c r="N460" s="131"/>
    </row>
    <row r="461" hidden="1" outlineLevel="1">
      <c r="A461" s="113" t="s">
        <v>2347</v>
      </c>
      <c r="B461" s="309">
        <v>46248.0</v>
      </c>
      <c r="C461" s="118" t="str">
        <f t="shared" si="51"/>
        <v>Fri</v>
      </c>
      <c r="D461" s="143">
        <f t="shared" si="52"/>
        <v>1</v>
      </c>
      <c r="E461" s="144" t="s">
        <v>142</v>
      </c>
      <c r="F461" s="134" t="s">
        <v>142</v>
      </c>
      <c r="G461" s="134" t="s">
        <v>142</v>
      </c>
      <c r="H461" s="134" t="s">
        <v>142</v>
      </c>
      <c r="I461" s="134" t="s">
        <v>142</v>
      </c>
      <c r="J461" s="134" t="s">
        <v>142</v>
      </c>
      <c r="K461" s="134" t="s">
        <v>142</v>
      </c>
      <c r="L461" s="134" t="s">
        <v>142</v>
      </c>
      <c r="M461" s="136"/>
      <c r="N461" s="131"/>
    </row>
    <row r="462" hidden="1" outlineLevel="1">
      <c r="A462" s="113" t="s">
        <v>2348</v>
      </c>
      <c r="B462" s="309">
        <v>46248.0</v>
      </c>
      <c r="C462" s="118" t="str">
        <f t="shared" si="51"/>
        <v>Fri</v>
      </c>
      <c r="D462" s="128">
        <f t="shared" si="52"/>
        <v>1</v>
      </c>
      <c r="E462" s="131" t="s">
        <v>142</v>
      </c>
      <c r="F462" s="134" t="s">
        <v>142</v>
      </c>
      <c r="G462" s="134" t="s">
        <v>142</v>
      </c>
      <c r="H462" s="134" t="s">
        <v>142</v>
      </c>
      <c r="I462" s="134" t="s">
        <v>142</v>
      </c>
      <c r="J462" s="134" t="s">
        <v>142</v>
      </c>
      <c r="K462" s="134" t="s">
        <v>142</v>
      </c>
      <c r="L462" s="134" t="s">
        <v>142</v>
      </c>
      <c r="M462" s="136"/>
      <c r="N462" s="131"/>
    </row>
    <row r="463" hidden="1" outlineLevel="1">
      <c r="A463" s="113" t="s">
        <v>2350</v>
      </c>
      <c r="B463" s="309">
        <v>46249.0</v>
      </c>
      <c r="C463" s="118" t="str">
        <f t="shared" si="51"/>
        <v>Sat</v>
      </c>
      <c r="D463" s="143">
        <f t="shared" si="52"/>
        <v>1</v>
      </c>
      <c r="E463" s="144" t="s">
        <v>142</v>
      </c>
      <c r="F463" s="134" t="s">
        <v>142</v>
      </c>
      <c r="G463" s="134" t="s">
        <v>142</v>
      </c>
      <c r="H463" s="134" t="s">
        <v>142</v>
      </c>
      <c r="I463" s="134" t="s">
        <v>142</v>
      </c>
      <c r="J463" s="134" t="s">
        <v>142</v>
      </c>
      <c r="K463" s="134" t="s">
        <v>142</v>
      </c>
      <c r="L463" s="134" t="s">
        <v>142</v>
      </c>
      <c r="M463" s="136"/>
      <c r="N463" s="131"/>
    </row>
    <row r="464" hidden="1" outlineLevel="1">
      <c r="A464" s="113" t="s">
        <v>2351</v>
      </c>
      <c r="B464" s="309">
        <v>46249.0</v>
      </c>
      <c r="C464" s="118" t="str">
        <f t="shared" si="51"/>
        <v>Sat</v>
      </c>
      <c r="D464" s="128">
        <f t="shared" si="52"/>
        <v>1</v>
      </c>
      <c r="E464" s="131" t="s">
        <v>142</v>
      </c>
      <c r="F464" s="134" t="s">
        <v>142</v>
      </c>
      <c r="G464" s="134" t="s">
        <v>142</v>
      </c>
      <c r="H464" s="134" t="s">
        <v>142</v>
      </c>
      <c r="I464" s="134" t="s">
        <v>142</v>
      </c>
      <c r="J464" s="134" t="s">
        <v>142</v>
      </c>
      <c r="K464" s="134" t="s">
        <v>142</v>
      </c>
      <c r="L464" s="134" t="s">
        <v>142</v>
      </c>
      <c r="M464" s="136"/>
      <c r="N464" s="131"/>
    </row>
    <row r="465" ht="15.0" hidden="1" customHeight="1" outlineLevel="1">
      <c r="A465" s="113" t="s">
        <v>2353</v>
      </c>
      <c r="B465" s="309">
        <v>46249.0</v>
      </c>
      <c r="C465" s="118" t="str">
        <f t="shared" si="51"/>
        <v>Sat</v>
      </c>
      <c r="D465" s="143">
        <f t="shared" si="52"/>
        <v>1</v>
      </c>
      <c r="E465" s="144" t="s">
        <v>142</v>
      </c>
      <c r="F465" s="134" t="s">
        <v>142</v>
      </c>
      <c r="G465" s="134" t="s">
        <v>142</v>
      </c>
      <c r="H465" s="134" t="s">
        <v>142</v>
      </c>
      <c r="I465" s="134" t="s">
        <v>142</v>
      </c>
      <c r="J465" s="134" t="s">
        <v>142</v>
      </c>
      <c r="K465" s="134" t="s">
        <v>142</v>
      </c>
      <c r="L465" s="134" t="s">
        <v>142</v>
      </c>
      <c r="M465" s="136"/>
      <c r="N465" s="131"/>
    </row>
    <row r="466" hidden="1" outlineLevel="1">
      <c r="B466" s="215"/>
      <c r="C466" s="216" t="s">
        <v>199</v>
      </c>
      <c r="D466" s="217">
        <f>AVERAGE(D451:D465)</f>
        <v>1</v>
      </c>
      <c r="E466" s="472"/>
      <c r="L466" s="216" t="s">
        <v>199</v>
      </c>
      <c r="M466" s="217">
        <f>SUM(M451:M465)/75*0.1</f>
        <v>0</v>
      </c>
    </row>
    <row r="467" hidden="1" collapsed="1">
      <c r="A467" s="85" t="s">
        <v>368</v>
      </c>
      <c r="B467" s="86"/>
      <c r="C467" s="86"/>
      <c r="D467" s="359"/>
      <c r="E467" s="89"/>
      <c r="F467" s="89"/>
      <c r="G467" s="91"/>
      <c r="H467" s="91"/>
      <c r="I467" s="91"/>
      <c r="J467" s="91"/>
      <c r="K467" s="91"/>
      <c r="L467" s="91"/>
      <c r="M467" s="93"/>
      <c r="N467" s="95"/>
    </row>
    <row r="468" hidden="1" outlineLevel="1">
      <c r="A468" s="96" t="s">
        <v>89</v>
      </c>
      <c r="B468" s="98" t="s">
        <v>90</v>
      </c>
      <c r="C468" s="98" t="s">
        <v>91</v>
      </c>
      <c r="D468" s="101" t="s">
        <v>93</v>
      </c>
      <c r="E468" s="102" t="s">
        <v>94</v>
      </c>
      <c r="F468" s="102" t="s">
        <v>95</v>
      </c>
      <c r="G468" s="105" t="s">
        <v>96</v>
      </c>
      <c r="H468" s="107" t="s">
        <v>97</v>
      </c>
      <c r="I468" s="107" t="s">
        <v>104</v>
      </c>
      <c r="J468" s="105" t="s">
        <v>106</v>
      </c>
      <c r="K468" s="107" t="s">
        <v>109</v>
      </c>
      <c r="L468" s="105" t="s">
        <v>111</v>
      </c>
      <c r="M468" s="98" t="s">
        <v>114</v>
      </c>
      <c r="N468" s="101" t="s">
        <v>116</v>
      </c>
    </row>
    <row r="469" hidden="1" outlineLevel="1">
      <c r="A469" s="353" t="s">
        <v>2356</v>
      </c>
      <c r="B469" s="309">
        <v>46251.0</v>
      </c>
      <c r="C469" s="118" t="str">
        <f t="shared" ref="C469:C483" si="53">IF(B469="", "", TEXT(B469, "ddd"))</f>
        <v>Mon</v>
      </c>
      <c r="D469" s="143">
        <f t="shared" ref="D469:D483" si="54">IF(E469="Yes",0.05,0)
+IF(F469="Yes",0.1,0)
+IF(G469="Yes",0.15,0)
+IF(H469="Yes",0.15,0)
+IF(I469="Yes",0.05,0)
+IF(J469="Yes",0.05,0)
+IF(K469="Yes",0.15,0)
+IF(L469="Yes",0.3,0)
</f>
        <v>1</v>
      </c>
      <c r="E469" s="144" t="s">
        <v>142</v>
      </c>
      <c r="F469" s="134" t="s">
        <v>142</v>
      </c>
      <c r="G469" s="134" t="s">
        <v>142</v>
      </c>
      <c r="H469" s="134" t="s">
        <v>142</v>
      </c>
      <c r="I469" s="134" t="s">
        <v>142</v>
      </c>
      <c r="J469" s="134" t="s">
        <v>142</v>
      </c>
      <c r="K469" s="134" t="s">
        <v>142</v>
      </c>
      <c r="L469" s="134" t="s">
        <v>142</v>
      </c>
      <c r="M469" s="136"/>
      <c r="N469" s="137"/>
    </row>
    <row r="470" hidden="1" outlineLevel="1">
      <c r="A470" s="353" t="s">
        <v>2360</v>
      </c>
      <c r="B470" s="309">
        <v>46251.0</v>
      </c>
      <c r="C470" s="118" t="str">
        <f t="shared" si="53"/>
        <v>Mon</v>
      </c>
      <c r="D470" s="128">
        <f t="shared" si="54"/>
        <v>1</v>
      </c>
      <c r="E470" s="131" t="s">
        <v>142</v>
      </c>
      <c r="F470" s="134" t="s">
        <v>142</v>
      </c>
      <c r="G470" s="134" t="s">
        <v>142</v>
      </c>
      <c r="H470" s="134" t="s">
        <v>142</v>
      </c>
      <c r="I470" s="134" t="s">
        <v>142</v>
      </c>
      <c r="J470" s="134" t="s">
        <v>142</v>
      </c>
      <c r="K470" s="134" t="s">
        <v>142</v>
      </c>
      <c r="L470" s="134" t="s">
        <v>142</v>
      </c>
      <c r="M470" s="136"/>
      <c r="N470" s="131"/>
    </row>
    <row r="471" hidden="1" outlineLevel="1">
      <c r="A471" s="113" t="s">
        <v>2362</v>
      </c>
      <c r="B471" s="309">
        <v>46251.0</v>
      </c>
      <c r="C471" s="118" t="str">
        <f t="shared" si="53"/>
        <v>Mon</v>
      </c>
      <c r="D471" s="143">
        <f t="shared" si="54"/>
        <v>1</v>
      </c>
      <c r="E471" s="144" t="s">
        <v>142</v>
      </c>
      <c r="F471" s="134" t="s">
        <v>142</v>
      </c>
      <c r="G471" s="134" t="s">
        <v>142</v>
      </c>
      <c r="H471" s="134" t="s">
        <v>142</v>
      </c>
      <c r="I471" s="134" t="s">
        <v>142</v>
      </c>
      <c r="J471" s="134" t="s">
        <v>142</v>
      </c>
      <c r="K471" s="134" t="s">
        <v>142</v>
      </c>
      <c r="L471" s="134" t="s">
        <v>142</v>
      </c>
      <c r="M471" s="136"/>
      <c r="N471" s="131"/>
    </row>
    <row r="472" hidden="1" outlineLevel="1">
      <c r="A472" s="113" t="s">
        <v>2363</v>
      </c>
      <c r="B472" s="309">
        <v>46254.0</v>
      </c>
      <c r="C472" s="118" t="str">
        <f t="shared" si="53"/>
        <v>Thu</v>
      </c>
      <c r="D472" s="128">
        <f t="shared" si="54"/>
        <v>1</v>
      </c>
      <c r="E472" s="131" t="s">
        <v>142</v>
      </c>
      <c r="F472" s="134" t="s">
        <v>142</v>
      </c>
      <c r="G472" s="134" t="s">
        <v>142</v>
      </c>
      <c r="H472" s="134" t="s">
        <v>142</v>
      </c>
      <c r="I472" s="134" t="s">
        <v>142</v>
      </c>
      <c r="J472" s="134" t="s">
        <v>142</v>
      </c>
      <c r="K472" s="134" t="s">
        <v>142</v>
      </c>
      <c r="L472" s="134" t="s">
        <v>142</v>
      </c>
      <c r="M472" s="136"/>
      <c r="N472" s="131"/>
    </row>
    <row r="473" hidden="1" outlineLevel="1">
      <c r="A473" s="113" t="s">
        <v>2365</v>
      </c>
      <c r="B473" s="309">
        <v>46254.0</v>
      </c>
      <c r="C473" s="118" t="str">
        <f t="shared" si="53"/>
        <v>Thu</v>
      </c>
      <c r="D473" s="143">
        <f t="shared" si="54"/>
        <v>1</v>
      </c>
      <c r="E473" s="144" t="s">
        <v>142</v>
      </c>
      <c r="F473" s="134" t="s">
        <v>142</v>
      </c>
      <c r="G473" s="134" t="s">
        <v>142</v>
      </c>
      <c r="H473" s="134" t="s">
        <v>142</v>
      </c>
      <c r="I473" s="134" t="s">
        <v>142</v>
      </c>
      <c r="J473" s="134" t="s">
        <v>142</v>
      </c>
      <c r="K473" s="134" t="s">
        <v>142</v>
      </c>
      <c r="L473" s="134" t="s">
        <v>142</v>
      </c>
      <c r="M473" s="136"/>
      <c r="N473" s="131"/>
    </row>
    <row r="474" hidden="1" outlineLevel="1">
      <c r="A474" s="113" t="s">
        <v>2367</v>
      </c>
      <c r="B474" s="309">
        <v>46254.0</v>
      </c>
      <c r="C474" s="118" t="str">
        <f t="shared" si="53"/>
        <v>Thu</v>
      </c>
      <c r="D474" s="128">
        <f t="shared" si="54"/>
        <v>1</v>
      </c>
      <c r="E474" s="131" t="s">
        <v>142</v>
      </c>
      <c r="F474" s="134" t="s">
        <v>142</v>
      </c>
      <c r="G474" s="134" t="s">
        <v>142</v>
      </c>
      <c r="H474" s="134" t="s">
        <v>142</v>
      </c>
      <c r="I474" s="134" t="s">
        <v>142</v>
      </c>
      <c r="J474" s="134" t="s">
        <v>142</v>
      </c>
      <c r="K474" s="134" t="s">
        <v>142</v>
      </c>
      <c r="L474" s="134" t="s">
        <v>142</v>
      </c>
      <c r="M474" s="136"/>
      <c r="N474" s="131"/>
    </row>
    <row r="475" hidden="1" outlineLevel="1">
      <c r="A475" s="113" t="s">
        <v>2370</v>
      </c>
      <c r="B475" s="309">
        <v>46255.0</v>
      </c>
      <c r="C475" s="118" t="str">
        <f t="shared" si="53"/>
        <v>Fri</v>
      </c>
      <c r="D475" s="143">
        <f t="shared" si="54"/>
        <v>1</v>
      </c>
      <c r="E475" s="144" t="s">
        <v>142</v>
      </c>
      <c r="F475" s="134" t="s">
        <v>142</v>
      </c>
      <c r="G475" s="134" t="s">
        <v>142</v>
      </c>
      <c r="H475" s="134" t="s">
        <v>142</v>
      </c>
      <c r="I475" s="134" t="s">
        <v>142</v>
      </c>
      <c r="J475" s="134" t="s">
        <v>142</v>
      </c>
      <c r="K475" s="134" t="s">
        <v>142</v>
      </c>
      <c r="L475" s="134" t="s">
        <v>142</v>
      </c>
      <c r="M475" s="136"/>
      <c r="N475" s="131"/>
    </row>
    <row r="476" hidden="1" outlineLevel="1">
      <c r="A476" s="113" t="s">
        <v>2371</v>
      </c>
      <c r="B476" s="309">
        <v>46255.0</v>
      </c>
      <c r="C476" s="118" t="str">
        <f t="shared" si="53"/>
        <v>Fri</v>
      </c>
      <c r="D476" s="128">
        <f t="shared" si="54"/>
        <v>1</v>
      </c>
      <c r="E476" s="131" t="s">
        <v>142</v>
      </c>
      <c r="F476" s="134" t="s">
        <v>142</v>
      </c>
      <c r="G476" s="134" t="s">
        <v>142</v>
      </c>
      <c r="H476" s="134" t="s">
        <v>142</v>
      </c>
      <c r="I476" s="134" t="s">
        <v>142</v>
      </c>
      <c r="J476" s="134" t="s">
        <v>142</v>
      </c>
      <c r="K476" s="134" t="s">
        <v>142</v>
      </c>
      <c r="L476" s="134" t="s">
        <v>142</v>
      </c>
      <c r="M476" s="136"/>
      <c r="N476" s="131"/>
    </row>
    <row r="477" hidden="1" outlineLevel="1">
      <c r="A477" s="113" t="s">
        <v>2372</v>
      </c>
      <c r="B477" s="309">
        <v>46255.0</v>
      </c>
      <c r="C477" s="118" t="str">
        <f t="shared" si="53"/>
        <v>Fri</v>
      </c>
      <c r="D477" s="143">
        <f t="shared" si="54"/>
        <v>1</v>
      </c>
      <c r="E477" s="144" t="s">
        <v>142</v>
      </c>
      <c r="F477" s="134" t="s">
        <v>142</v>
      </c>
      <c r="G477" s="134" t="s">
        <v>142</v>
      </c>
      <c r="H477" s="134" t="s">
        <v>142</v>
      </c>
      <c r="I477" s="134" t="s">
        <v>142</v>
      </c>
      <c r="J477" s="134" t="s">
        <v>142</v>
      </c>
      <c r="K477" s="134" t="s">
        <v>142</v>
      </c>
      <c r="L477" s="134" t="s">
        <v>142</v>
      </c>
      <c r="M477" s="136"/>
      <c r="N477" s="131"/>
    </row>
    <row r="478" hidden="1" outlineLevel="1">
      <c r="A478" s="113" t="s">
        <v>2374</v>
      </c>
      <c r="B478" s="309">
        <v>46256.0</v>
      </c>
      <c r="C478" s="118" t="str">
        <f t="shared" si="53"/>
        <v>Sat</v>
      </c>
      <c r="D478" s="128">
        <f t="shared" si="54"/>
        <v>1</v>
      </c>
      <c r="E478" s="131" t="s">
        <v>142</v>
      </c>
      <c r="F478" s="134" t="s">
        <v>142</v>
      </c>
      <c r="G478" s="134" t="s">
        <v>142</v>
      </c>
      <c r="H478" s="134" t="s">
        <v>142</v>
      </c>
      <c r="I478" s="134" t="s">
        <v>142</v>
      </c>
      <c r="J478" s="134" t="s">
        <v>142</v>
      </c>
      <c r="K478" s="134" t="s">
        <v>142</v>
      </c>
      <c r="L478" s="134" t="s">
        <v>142</v>
      </c>
      <c r="M478" s="136"/>
      <c r="N478" s="131"/>
    </row>
    <row r="479" hidden="1" outlineLevel="1">
      <c r="A479" s="113" t="s">
        <v>2375</v>
      </c>
      <c r="B479" s="309">
        <v>46256.0</v>
      </c>
      <c r="C479" s="118" t="str">
        <f t="shared" si="53"/>
        <v>Sat</v>
      </c>
      <c r="D479" s="143">
        <f t="shared" si="54"/>
        <v>1</v>
      </c>
      <c r="E479" s="144" t="s">
        <v>142</v>
      </c>
      <c r="F479" s="134" t="s">
        <v>142</v>
      </c>
      <c r="G479" s="134" t="s">
        <v>142</v>
      </c>
      <c r="H479" s="134" t="s">
        <v>142</v>
      </c>
      <c r="I479" s="134" t="s">
        <v>142</v>
      </c>
      <c r="J479" s="134" t="s">
        <v>142</v>
      </c>
      <c r="K479" s="134" t="s">
        <v>142</v>
      </c>
      <c r="L479" s="134" t="s">
        <v>142</v>
      </c>
      <c r="M479" s="136"/>
      <c r="N479" s="131"/>
    </row>
    <row r="480" hidden="1" outlineLevel="1">
      <c r="A480" s="113" t="s">
        <v>2377</v>
      </c>
      <c r="B480" s="309">
        <v>46256.0</v>
      </c>
      <c r="C480" s="118" t="str">
        <f t="shared" si="53"/>
        <v>Sat</v>
      </c>
      <c r="D480" s="128">
        <f t="shared" si="54"/>
        <v>1</v>
      </c>
      <c r="E480" s="131" t="s">
        <v>142</v>
      </c>
      <c r="F480" s="134" t="s">
        <v>142</v>
      </c>
      <c r="G480" s="134" t="s">
        <v>142</v>
      </c>
      <c r="H480" s="134" t="s">
        <v>142</v>
      </c>
      <c r="I480" s="134" t="s">
        <v>142</v>
      </c>
      <c r="J480" s="134" t="s">
        <v>142</v>
      </c>
      <c r="K480" s="134" t="s">
        <v>142</v>
      </c>
      <c r="L480" s="134" t="s">
        <v>142</v>
      </c>
      <c r="M480" s="136"/>
      <c r="N480" s="131"/>
    </row>
    <row r="481" hidden="1" outlineLevel="1">
      <c r="A481" s="113" t="s">
        <v>2378</v>
      </c>
      <c r="B481" s="309">
        <v>46257.0</v>
      </c>
      <c r="C481" s="118" t="str">
        <f t="shared" si="53"/>
        <v>Sun</v>
      </c>
      <c r="D481" s="143">
        <f t="shared" si="54"/>
        <v>1</v>
      </c>
      <c r="E481" s="144" t="s">
        <v>142</v>
      </c>
      <c r="F481" s="134" t="s">
        <v>142</v>
      </c>
      <c r="G481" s="134" t="s">
        <v>142</v>
      </c>
      <c r="H481" s="134" t="s">
        <v>142</v>
      </c>
      <c r="I481" s="134" t="s">
        <v>142</v>
      </c>
      <c r="J481" s="134" t="s">
        <v>142</v>
      </c>
      <c r="K481" s="134" t="s">
        <v>142</v>
      </c>
      <c r="L481" s="134" t="s">
        <v>142</v>
      </c>
      <c r="M481" s="136"/>
      <c r="N481" s="131"/>
    </row>
    <row r="482" hidden="1" outlineLevel="1">
      <c r="A482" s="113" t="s">
        <v>2380</v>
      </c>
      <c r="B482" s="309">
        <v>46257.0</v>
      </c>
      <c r="C482" s="118" t="str">
        <f t="shared" si="53"/>
        <v>Sun</v>
      </c>
      <c r="D482" s="128">
        <f t="shared" si="54"/>
        <v>1</v>
      </c>
      <c r="E482" s="131" t="s">
        <v>142</v>
      </c>
      <c r="F482" s="134" t="s">
        <v>142</v>
      </c>
      <c r="G482" s="134" t="s">
        <v>142</v>
      </c>
      <c r="H482" s="134" t="s">
        <v>142</v>
      </c>
      <c r="I482" s="134" t="s">
        <v>142</v>
      </c>
      <c r="J482" s="134" t="s">
        <v>142</v>
      </c>
      <c r="K482" s="134" t="s">
        <v>142</v>
      </c>
      <c r="L482" s="134" t="s">
        <v>142</v>
      </c>
      <c r="M482" s="136"/>
      <c r="N482" s="131"/>
    </row>
    <row r="483" ht="15.75" hidden="1" customHeight="1" outlineLevel="1">
      <c r="A483" s="113" t="s">
        <v>2382</v>
      </c>
      <c r="B483" s="309">
        <v>46257.0</v>
      </c>
      <c r="C483" s="118" t="str">
        <f t="shared" si="53"/>
        <v>Sun</v>
      </c>
      <c r="D483" s="143">
        <f t="shared" si="54"/>
        <v>1</v>
      </c>
      <c r="E483" s="144" t="s">
        <v>142</v>
      </c>
      <c r="F483" s="134" t="s">
        <v>142</v>
      </c>
      <c r="G483" s="134" t="s">
        <v>142</v>
      </c>
      <c r="H483" s="134" t="s">
        <v>142</v>
      </c>
      <c r="I483" s="134" t="s">
        <v>142</v>
      </c>
      <c r="J483" s="134" t="s">
        <v>142</v>
      </c>
      <c r="K483" s="134" t="s">
        <v>142</v>
      </c>
      <c r="L483" s="134" t="s">
        <v>142</v>
      </c>
      <c r="M483" s="136"/>
      <c r="N483" s="131"/>
    </row>
    <row r="484" hidden="1" outlineLevel="1">
      <c r="B484" s="215"/>
      <c r="C484" s="216" t="s">
        <v>199</v>
      </c>
      <c r="D484" s="217">
        <f>AVERAGE(D469:D483)</f>
        <v>1</v>
      </c>
      <c r="E484" s="472"/>
      <c r="L484" s="216" t="s">
        <v>199</v>
      </c>
      <c r="M484" s="217">
        <f>SUM(M469:M483)/75*0.1</f>
        <v>0</v>
      </c>
    </row>
    <row r="485" collapsed="1">
      <c r="A485" s="85" t="s">
        <v>397</v>
      </c>
      <c r="B485" s="86"/>
      <c r="C485" s="86"/>
      <c r="D485" s="359"/>
      <c r="E485" s="360"/>
      <c r="F485" s="361"/>
      <c r="G485" s="361"/>
      <c r="H485" s="361"/>
      <c r="I485" s="361"/>
      <c r="J485" s="361"/>
      <c r="K485" s="361"/>
      <c r="L485" s="361"/>
      <c r="M485" s="361"/>
      <c r="N485" s="361"/>
    </row>
    <row r="486" hidden="1" outlineLevel="1">
      <c r="A486" s="362" t="s">
        <v>89</v>
      </c>
      <c r="B486" s="363" t="s">
        <v>90</v>
      </c>
      <c r="C486" s="363" t="s">
        <v>91</v>
      </c>
      <c r="D486" s="364" t="s">
        <v>93</v>
      </c>
      <c r="E486" s="365" t="s">
        <v>94</v>
      </c>
      <c r="F486" s="365" t="s">
        <v>95</v>
      </c>
      <c r="G486" s="366" t="s">
        <v>96</v>
      </c>
      <c r="H486" s="366" t="s">
        <v>97</v>
      </c>
      <c r="I486" s="366" t="s">
        <v>104</v>
      </c>
      <c r="J486" s="366" t="s">
        <v>106</v>
      </c>
      <c r="K486" s="366" t="s">
        <v>109</v>
      </c>
      <c r="L486" s="366" t="s">
        <v>111</v>
      </c>
      <c r="M486" s="363" t="s">
        <v>114</v>
      </c>
      <c r="N486" s="363" t="s">
        <v>116</v>
      </c>
    </row>
    <row r="487" hidden="1" outlineLevel="1">
      <c r="A487" s="372" t="s">
        <v>2385</v>
      </c>
      <c r="B487" s="309">
        <v>46258.0</v>
      </c>
      <c r="C487" s="368" t="str">
        <f t="shared" ref="C487:C501" si="55">IF(B487="", "", TEXT(B487, "ddd"))</f>
        <v>Mon</v>
      </c>
      <c r="D487" s="143">
        <f t="shared" ref="D487:D501" si="56">IF(E487="Yes",0.05,0)
+IF(F487="Yes",0.1,0)
+IF(G487="Yes",0.15,0)
+IF(H487="Yes",0.15,0)
+IF(I487="Yes",0.05,0)
+IF(J487="Yes",0.05,0)
+IF(K487="Yes",0.15,0)
+IF(L487="Yes",0.3,0)
</f>
        <v>1</v>
      </c>
      <c r="E487" s="144" t="s">
        <v>142</v>
      </c>
      <c r="F487" s="134" t="s">
        <v>142</v>
      </c>
      <c r="G487" s="134" t="s">
        <v>142</v>
      </c>
      <c r="H487" s="134" t="s">
        <v>142</v>
      </c>
      <c r="I487" s="134" t="s">
        <v>142</v>
      </c>
      <c r="J487" s="134" t="s">
        <v>142</v>
      </c>
      <c r="K487" s="134" t="s">
        <v>142</v>
      </c>
      <c r="L487" s="134" t="s">
        <v>142</v>
      </c>
      <c r="M487" s="370"/>
      <c r="N487" s="137"/>
    </row>
    <row r="488" hidden="1" outlineLevel="1">
      <c r="A488" s="372" t="s">
        <v>2388</v>
      </c>
      <c r="B488" s="309">
        <v>46258.0</v>
      </c>
      <c r="C488" s="368" t="str">
        <f t="shared" si="55"/>
        <v>Mon</v>
      </c>
      <c r="D488" s="128">
        <f t="shared" si="56"/>
        <v>1</v>
      </c>
      <c r="E488" s="131" t="s">
        <v>142</v>
      </c>
      <c r="F488" s="134" t="s">
        <v>142</v>
      </c>
      <c r="G488" s="134" t="s">
        <v>142</v>
      </c>
      <c r="H488" s="134" t="s">
        <v>142</v>
      </c>
      <c r="I488" s="134" t="s">
        <v>142</v>
      </c>
      <c r="J488" s="134" t="s">
        <v>142</v>
      </c>
      <c r="K488" s="134" t="s">
        <v>142</v>
      </c>
      <c r="L488" s="134" t="s">
        <v>142</v>
      </c>
      <c r="M488" s="370"/>
      <c r="N488" s="370"/>
    </row>
    <row r="489" hidden="1" outlineLevel="1">
      <c r="A489" s="372" t="s">
        <v>2390</v>
      </c>
      <c r="B489" s="309">
        <v>46258.0</v>
      </c>
      <c r="C489" s="368" t="str">
        <f t="shared" si="55"/>
        <v>Mon</v>
      </c>
      <c r="D489" s="143">
        <f t="shared" si="56"/>
        <v>1</v>
      </c>
      <c r="E489" s="144" t="s">
        <v>142</v>
      </c>
      <c r="F489" s="134" t="s">
        <v>142</v>
      </c>
      <c r="G489" s="134" t="s">
        <v>142</v>
      </c>
      <c r="H489" s="134" t="s">
        <v>142</v>
      </c>
      <c r="I489" s="134" t="s">
        <v>142</v>
      </c>
      <c r="J489" s="134" t="s">
        <v>142</v>
      </c>
      <c r="K489" s="134" t="s">
        <v>142</v>
      </c>
      <c r="L489" s="134" t="s">
        <v>142</v>
      </c>
      <c r="M489" s="370"/>
      <c r="N489" s="370"/>
    </row>
    <row r="490" hidden="1" outlineLevel="1">
      <c r="A490" s="372" t="s">
        <v>2391</v>
      </c>
      <c r="B490" s="309">
        <v>46261.0</v>
      </c>
      <c r="C490" s="368" t="str">
        <f t="shared" si="55"/>
        <v>Thu</v>
      </c>
      <c r="D490" s="128">
        <f t="shared" si="56"/>
        <v>1</v>
      </c>
      <c r="E490" s="131" t="s">
        <v>142</v>
      </c>
      <c r="F490" s="134" t="s">
        <v>142</v>
      </c>
      <c r="G490" s="134" t="s">
        <v>142</v>
      </c>
      <c r="H490" s="134" t="s">
        <v>142</v>
      </c>
      <c r="I490" s="134" t="s">
        <v>142</v>
      </c>
      <c r="J490" s="134" t="s">
        <v>142</v>
      </c>
      <c r="K490" s="134" t="s">
        <v>142</v>
      </c>
      <c r="L490" s="134" t="s">
        <v>142</v>
      </c>
      <c r="M490" s="370"/>
      <c r="N490" s="370"/>
    </row>
    <row r="491" hidden="1" outlineLevel="1">
      <c r="A491" s="372" t="s">
        <v>2392</v>
      </c>
      <c r="B491" s="309">
        <v>46261.0</v>
      </c>
      <c r="C491" s="368" t="str">
        <f t="shared" si="55"/>
        <v>Thu</v>
      </c>
      <c r="D491" s="143">
        <f t="shared" si="56"/>
        <v>1</v>
      </c>
      <c r="E491" s="144" t="s">
        <v>142</v>
      </c>
      <c r="F491" s="134" t="s">
        <v>142</v>
      </c>
      <c r="G491" s="134" t="s">
        <v>142</v>
      </c>
      <c r="H491" s="134" t="s">
        <v>142</v>
      </c>
      <c r="I491" s="134" t="s">
        <v>142</v>
      </c>
      <c r="J491" s="134" t="s">
        <v>142</v>
      </c>
      <c r="K491" s="134" t="s">
        <v>142</v>
      </c>
      <c r="L491" s="134" t="s">
        <v>142</v>
      </c>
      <c r="M491" s="370"/>
      <c r="N491" s="370"/>
    </row>
    <row r="492" hidden="1" outlineLevel="1">
      <c r="A492" s="372" t="s">
        <v>2393</v>
      </c>
      <c r="B492" s="309">
        <v>46261.0</v>
      </c>
      <c r="C492" s="368" t="str">
        <f t="shared" si="55"/>
        <v>Thu</v>
      </c>
      <c r="D492" s="128">
        <f t="shared" si="56"/>
        <v>1</v>
      </c>
      <c r="E492" s="131" t="s">
        <v>142</v>
      </c>
      <c r="F492" s="134" t="s">
        <v>142</v>
      </c>
      <c r="G492" s="134" t="s">
        <v>142</v>
      </c>
      <c r="H492" s="134" t="s">
        <v>142</v>
      </c>
      <c r="I492" s="134" t="s">
        <v>142</v>
      </c>
      <c r="J492" s="134" t="s">
        <v>142</v>
      </c>
      <c r="K492" s="134" t="s">
        <v>142</v>
      </c>
      <c r="L492" s="134" t="s">
        <v>142</v>
      </c>
      <c r="M492" s="370"/>
      <c r="N492" s="370"/>
    </row>
    <row r="493" hidden="1" outlineLevel="1">
      <c r="A493" s="372" t="s">
        <v>2394</v>
      </c>
      <c r="B493" s="309">
        <v>46262.0</v>
      </c>
      <c r="C493" s="368" t="str">
        <f t="shared" si="55"/>
        <v>Fri</v>
      </c>
      <c r="D493" s="143">
        <f t="shared" si="56"/>
        <v>1</v>
      </c>
      <c r="E493" s="144" t="s">
        <v>142</v>
      </c>
      <c r="F493" s="134" t="s">
        <v>142</v>
      </c>
      <c r="G493" s="134" t="s">
        <v>142</v>
      </c>
      <c r="H493" s="134" t="s">
        <v>142</v>
      </c>
      <c r="I493" s="134" t="s">
        <v>142</v>
      </c>
      <c r="J493" s="134" t="s">
        <v>142</v>
      </c>
      <c r="K493" s="134" t="s">
        <v>142</v>
      </c>
      <c r="L493" s="134" t="s">
        <v>142</v>
      </c>
      <c r="M493" s="370"/>
      <c r="N493" s="370"/>
    </row>
    <row r="494" hidden="1" outlineLevel="1">
      <c r="A494" s="372" t="s">
        <v>2396</v>
      </c>
      <c r="B494" s="309">
        <v>46262.0</v>
      </c>
      <c r="C494" s="368" t="str">
        <f t="shared" si="55"/>
        <v>Fri</v>
      </c>
      <c r="D494" s="128">
        <f t="shared" si="56"/>
        <v>1</v>
      </c>
      <c r="E494" s="131" t="s">
        <v>142</v>
      </c>
      <c r="F494" s="134" t="s">
        <v>142</v>
      </c>
      <c r="G494" s="134" t="s">
        <v>142</v>
      </c>
      <c r="H494" s="134" t="s">
        <v>142</v>
      </c>
      <c r="I494" s="134" t="s">
        <v>142</v>
      </c>
      <c r="J494" s="134" t="s">
        <v>142</v>
      </c>
      <c r="K494" s="134" t="s">
        <v>142</v>
      </c>
      <c r="L494" s="134" t="s">
        <v>142</v>
      </c>
      <c r="M494" s="370"/>
      <c r="N494" s="370"/>
    </row>
    <row r="495" hidden="1" outlineLevel="1">
      <c r="A495" s="372" t="s">
        <v>2397</v>
      </c>
      <c r="B495" s="309">
        <v>46262.0</v>
      </c>
      <c r="C495" s="368" t="str">
        <f t="shared" si="55"/>
        <v>Fri</v>
      </c>
      <c r="D495" s="143">
        <f t="shared" si="56"/>
        <v>1</v>
      </c>
      <c r="E495" s="144" t="s">
        <v>142</v>
      </c>
      <c r="F495" s="134" t="s">
        <v>142</v>
      </c>
      <c r="G495" s="134" t="s">
        <v>142</v>
      </c>
      <c r="H495" s="134" t="s">
        <v>142</v>
      </c>
      <c r="I495" s="134" t="s">
        <v>142</v>
      </c>
      <c r="J495" s="134" t="s">
        <v>142</v>
      </c>
      <c r="K495" s="134" t="s">
        <v>142</v>
      </c>
      <c r="L495" s="134" t="s">
        <v>142</v>
      </c>
      <c r="M495" s="370"/>
      <c r="N495" s="370"/>
    </row>
    <row r="496" hidden="1" outlineLevel="1">
      <c r="A496" s="372" t="s">
        <v>2398</v>
      </c>
      <c r="B496" s="309"/>
      <c r="C496" s="368" t="str">
        <f t="shared" si="55"/>
        <v/>
      </c>
      <c r="D496" s="128">
        <f t="shared" si="56"/>
        <v>1</v>
      </c>
      <c r="E496" s="131" t="s">
        <v>142</v>
      </c>
      <c r="F496" s="134" t="s">
        <v>142</v>
      </c>
      <c r="G496" s="134" t="s">
        <v>142</v>
      </c>
      <c r="H496" s="134" t="s">
        <v>142</v>
      </c>
      <c r="I496" s="134" t="s">
        <v>142</v>
      </c>
      <c r="J496" s="134" t="s">
        <v>142</v>
      </c>
      <c r="K496" s="134" t="s">
        <v>142</v>
      </c>
      <c r="L496" s="134" t="s">
        <v>142</v>
      </c>
      <c r="M496" s="370"/>
      <c r="N496" s="370"/>
    </row>
    <row r="497" hidden="1" outlineLevel="1">
      <c r="A497" s="372" t="s">
        <v>2400</v>
      </c>
      <c r="B497" s="309"/>
      <c r="C497" s="368" t="str">
        <f t="shared" si="55"/>
        <v/>
      </c>
      <c r="D497" s="143">
        <f t="shared" si="56"/>
        <v>1</v>
      </c>
      <c r="E497" s="144" t="s">
        <v>142</v>
      </c>
      <c r="F497" s="134" t="s">
        <v>142</v>
      </c>
      <c r="G497" s="134" t="s">
        <v>142</v>
      </c>
      <c r="H497" s="134" t="s">
        <v>142</v>
      </c>
      <c r="I497" s="134" t="s">
        <v>142</v>
      </c>
      <c r="J497" s="134" t="s">
        <v>142</v>
      </c>
      <c r="K497" s="134" t="s">
        <v>142</v>
      </c>
      <c r="L497" s="134" t="s">
        <v>142</v>
      </c>
      <c r="M497" s="370"/>
      <c r="N497" s="370"/>
    </row>
    <row r="498" hidden="1" outlineLevel="1">
      <c r="A498" s="372" t="s">
        <v>2402</v>
      </c>
      <c r="B498" s="309"/>
      <c r="C498" s="368" t="str">
        <f t="shared" si="55"/>
        <v/>
      </c>
      <c r="D498" s="128">
        <f t="shared" si="56"/>
        <v>1</v>
      </c>
      <c r="E498" s="131" t="s">
        <v>142</v>
      </c>
      <c r="F498" s="134" t="s">
        <v>142</v>
      </c>
      <c r="G498" s="134" t="s">
        <v>142</v>
      </c>
      <c r="H498" s="134" t="s">
        <v>142</v>
      </c>
      <c r="I498" s="134" t="s">
        <v>142</v>
      </c>
      <c r="J498" s="134" t="s">
        <v>142</v>
      </c>
      <c r="K498" s="134" t="s">
        <v>142</v>
      </c>
      <c r="L498" s="134" t="s">
        <v>142</v>
      </c>
      <c r="M498" s="370"/>
      <c r="N498" s="370"/>
    </row>
    <row r="499" hidden="1" outlineLevel="1">
      <c r="A499" s="372" t="s">
        <v>2403</v>
      </c>
      <c r="B499" s="309"/>
      <c r="C499" s="368" t="str">
        <f t="shared" si="55"/>
        <v/>
      </c>
      <c r="D499" s="143">
        <f t="shared" si="56"/>
        <v>1</v>
      </c>
      <c r="E499" s="144" t="s">
        <v>142</v>
      </c>
      <c r="F499" s="134" t="s">
        <v>142</v>
      </c>
      <c r="G499" s="134" t="s">
        <v>142</v>
      </c>
      <c r="H499" s="134" t="s">
        <v>142</v>
      </c>
      <c r="I499" s="134" t="s">
        <v>142</v>
      </c>
      <c r="J499" s="134" t="s">
        <v>142</v>
      </c>
      <c r="K499" s="134" t="s">
        <v>142</v>
      </c>
      <c r="L499" s="134" t="s">
        <v>142</v>
      </c>
      <c r="M499" s="370"/>
      <c r="N499" s="370"/>
    </row>
    <row r="500" hidden="1" outlineLevel="1">
      <c r="A500" s="372" t="s">
        <v>2405</v>
      </c>
      <c r="B500" s="309"/>
      <c r="C500" s="368" t="str">
        <f t="shared" si="55"/>
        <v/>
      </c>
      <c r="D500" s="128">
        <f t="shared" si="56"/>
        <v>1</v>
      </c>
      <c r="E500" s="131" t="s">
        <v>142</v>
      </c>
      <c r="F500" s="134" t="s">
        <v>142</v>
      </c>
      <c r="G500" s="134" t="s">
        <v>142</v>
      </c>
      <c r="H500" s="134" t="s">
        <v>142</v>
      </c>
      <c r="I500" s="134" t="s">
        <v>142</v>
      </c>
      <c r="J500" s="134" t="s">
        <v>142</v>
      </c>
      <c r="K500" s="134" t="s">
        <v>142</v>
      </c>
      <c r="L500" s="134" t="s">
        <v>142</v>
      </c>
      <c r="M500" s="370"/>
      <c r="N500" s="370"/>
    </row>
    <row r="501" hidden="1" outlineLevel="1">
      <c r="A501" s="372" t="s">
        <v>2407</v>
      </c>
      <c r="B501" s="309"/>
      <c r="C501" s="368" t="str">
        <f t="shared" si="55"/>
        <v/>
      </c>
      <c r="D501" s="143">
        <f t="shared" si="56"/>
        <v>1</v>
      </c>
      <c r="E501" s="144" t="s">
        <v>142</v>
      </c>
      <c r="F501" s="134" t="s">
        <v>142</v>
      </c>
      <c r="G501" s="134" t="s">
        <v>142</v>
      </c>
      <c r="H501" s="134" t="s">
        <v>142</v>
      </c>
      <c r="I501" s="134" t="s">
        <v>142</v>
      </c>
      <c r="J501" s="134" t="s">
        <v>142</v>
      </c>
      <c r="K501" s="134" t="s">
        <v>142</v>
      </c>
      <c r="L501" s="134" t="s">
        <v>142</v>
      </c>
      <c r="M501" s="370"/>
      <c r="N501" s="370"/>
    </row>
    <row r="502" hidden="1" outlineLevel="1">
      <c r="A502" s="373"/>
      <c r="B502" s="373"/>
      <c r="C502" s="374" t="s">
        <v>199</v>
      </c>
      <c r="D502" s="375">
        <f>AVERAGE(D487:D501)</f>
        <v>1</v>
      </c>
      <c r="E502" s="376"/>
      <c r="F502" s="373"/>
      <c r="G502" s="373"/>
      <c r="H502" s="373"/>
      <c r="I502" s="373"/>
      <c r="J502" s="373"/>
      <c r="K502" s="373"/>
      <c r="L502" s="374" t="s">
        <v>199</v>
      </c>
      <c r="M502" s="377">
        <f>SUM(M487:M501)/75*0.1</f>
        <v>0</v>
      </c>
      <c r="N502" s="373"/>
    </row>
    <row r="503" collapsed="1">
      <c r="A503" s="85" t="s">
        <v>423</v>
      </c>
      <c r="B503" s="86"/>
      <c r="C503" s="86"/>
      <c r="D503" s="359"/>
      <c r="E503" s="360"/>
      <c r="F503" s="361"/>
      <c r="G503" s="361"/>
      <c r="H503" s="361"/>
      <c r="I503" s="361"/>
      <c r="J503" s="361"/>
      <c r="K503" s="361"/>
      <c r="L503" s="361"/>
      <c r="M503" s="361"/>
      <c r="N503" s="361"/>
    </row>
    <row r="504" hidden="1" outlineLevel="1">
      <c r="A504" s="362" t="s">
        <v>89</v>
      </c>
      <c r="B504" s="363" t="s">
        <v>90</v>
      </c>
      <c r="C504" s="363" t="s">
        <v>91</v>
      </c>
      <c r="D504" s="364" t="s">
        <v>93</v>
      </c>
      <c r="E504" s="365" t="s">
        <v>94</v>
      </c>
      <c r="F504" s="365" t="s">
        <v>95</v>
      </c>
      <c r="G504" s="366" t="s">
        <v>96</v>
      </c>
      <c r="H504" s="366" t="s">
        <v>97</v>
      </c>
      <c r="I504" s="366" t="s">
        <v>104</v>
      </c>
      <c r="J504" s="366" t="s">
        <v>106</v>
      </c>
      <c r="K504" s="366" t="s">
        <v>109</v>
      </c>
      <c r="L504" s="366" t="s">
        <v>111</v>
      </c>
      <c r="M504" s="363" t="s">
        <v>114</v>
      </c>
      <c r="N504" s="363" t="s">
        <v>116</v>
      </c>
    </row>
    <row r="505" hidden="1" outlineLevel="1">
      <c r="A505" s="372" t="s">
        <v>2409</v>
      </c>
      <c r="B505" s="309">
        <v>46265.0</v>
      </c>
      <c r="C505" s="368" t="str">
        <f t="shared" ref="C505:C519" si="57">IF(B505="", "", TEXT(B505, "ddd"))</f>
        <v>Mon</v>
      </c>
      <c r="D505" s="143">
        <f t="shared" ref="D505:D519" si="58">IF(E505="Yes",0.05,0)
+IF(F505="Yes",0.1,0)
+IF(G505="Yes",0.15,0)
+IF(H505="Yes",0.15,0)
+IF(I505="Yes",0.05,0)
+IF(J505="Yes",0.05,0)
+IF(K505="Yes",0.15,0)
+IF(L505="Yes",0.3,0)
</f>
        <v>1</v>
      </c>
      <c r="E505" s="144" t="s">
        <v>142</v>
      </c>
      <c r="F505" s="134" t="s">
        <v>142</v>
      </c>
      <c r="G505" s="134" t="s">
        <v>142</v>
      </c>
      <c r="H505" s="134" t="s">
        <v>142</v>
      </c>
      <c r="I505" s="134" t="s">
        <v>142</v>
      </c>
      <c r="J505" s="134" t="s">
        <v>142</v>
      </c>
      <c r="K505" s="134" t="s">
        <v>142</v>
      </c>
      <c r="L505" s="134" t="s">
        <v>142</v>
      </c>
      <c r="M505" s="370"/>
      <c r="N505" s="137"/>
    </row>
    <row r="506" hidden="1" outlineLevel="1">
      <c r="A506" s="372" t="s">
        <v>2413</v>
      </c>
      <c r="B506" s="309">
        <v>46265.0</v>
      </c>
      <c r="C506" s="368" t="str">
        <f t="shared" si="57"/>
        <v>Mon</v>
      </c>
      <c r="D506" s="128">
        <f t="shared" si="58"/>
        <v>1</v>
      </c>
      <c r="E506" s="131" t="s">
        <v>142</v>
      </c>
      <c r="F506" s="134" t="s">
        <v>142</v>
      </c>
      <c r="G506" s="134" t="s">
        <v>142</v>
      </c>
      <c r="H506" s="134" t="s">
        <v>142</v>
      </c>
      <c r="I506" s="134" t="s">
        <v>142</v>
      </c>
      <c r="J506" s="134" t="s">
        <v>142</v>
      </c>
      <c r="K506" s="134" t="s">
        <v>142</v>
      </c>
      <c r="L506" s="134" t="s">
        <v>142</v>
      </c>
      <c r="M506" s="370"/>
      <c r="N506" s="137"/>
    </row>
    <row r="507" hidden="1" outlineLevel="1">
      <c r="A507" s="372" t="s">
        <v>2415</v>
      </c>
      <c r="B507" s="309">
        <v>46265.0</v>
      </c>
      <c r="C507" s="368" t="str">
        <f t="shared" si="57"/>
        <v>Mon</v>
      </c>
      <c r="D507" s="143">
        <f t="shared" si="58"/>
        <v>1</v>
      </c>
      <c r="E507" s="144" t="s">
        <v>142</v>
      </c>
      <c r="F507" s="134" t="s">
        <v>142</v>
      </c>
      <c r="G507" s="134" t="s">
        <v>142</v>
      </c>
      <c r="H507" s="134" t="s">
        <v>142</v>
      </c>
      <c r="I507" s="134" t="s">
        <v>142</v>
      </c>
      <c r="J507" s="134" t="s">
        <v>142</v>
      </c>
      <c r="K507" s="134" t="s">
        <v>142</v>
      </c>
      <c r="L507" s="134" t="s">
        <v>142</v>
      </c>
      <c r="M507" s="370"/>
      <c r="N507" s="137"/>
    </row>
    <row r="508" hidden="1" outlineLevel="1">
      <c r="A508" s="372" t="s">
        <v>2417</v>
      </c>
      <c r="B508" s="309">
        <v>46269.0</v>
      </c>
      <c r="C508" s="368" t="str">
        <f t="shared" si="57"/>
        <v>Fri</v>
      </c>
      <c r="D508" s="128">
        <f t="shared" si="58"/>
        <v>1</v>
      </c>
      <c r="E508" s="131" t="s">
        <v>142</v>
      </c>
      <c r="F508" s="134" t="s">
        <v>142</v>
      </c>
      <c r="G508" s="134" t="s">
        <v>142</v>
      </c>
      <c r="H508" s="134" t="s">
        <v>142</v>
      </c>
      <c r="I508" s="134" t="s">
        <v>142</v>
      </c>
      <c r="J508" s="134" t="s">
        <v>142</v>
      </c>
      <c r="K508" s="134" t="s">
        <v>142</v>
      </c>
      <c r="L508" s="134" t="s">
        <v>142</v>
      </c>
      <c r="M508" s="370"/>
      <c r="N508" s="137"/>
    </row>
    <row r="509" hidden="1" outlineLevel="1">
      <c r="A509" s="372" t="s">
        <v>2419</v>
      </c>
      <c r="B509" s="309">
        <v>46269.0</v>
      </c>
      <c r="C509" s="368" t="str">
        <f t="shared" si="57"/>
        <v>Fri</v>
      </c>
      <c r="D509" s="143">
        <f t="shared" si="58"/>
        <v>1</v>
      </c>
      <c r="E509" s="144" t="s">
        <v>142</v>
      </c>
      <c r="F509" s="134" t="s">
        <v>142</v>
      </c>
      <c r="G509" s="134" t="s">
        <v>142</v>
      </c>
      <c r="H509" s="134" t="s">
        <v>142</v>
      </c>
      <c r="I509" s="134" t="s">
        <v>142</v>
      </c>
      <c r="J509" s="134" t="s">
        <v>142</v>
      </c>
      <c r="K509" s="134" t="s">
        <v>142</v>
      </c>
      <c r="L509" s="134" t="s">
        <v>142</v>
      </c>
      <c r="M509" s="370"/>
      <c r="N509" s="137"/>
    </row>
    <row r="510" hidden="1" outlineLevel="1">
      <c r="A510" s="372" t="s">
        <v>2420</v>
      </c>
      <c r="B510" s="309">
        <v>46269.0</v>
      </c>
      <c r="C510" s="368" t="str">
        <f t="shared" si="57"/>
        <v>Fri</v>
      </c>
      <c r="D510" s="128">
        <f t="shared" si="58"/>
        <v>1</v>
      </c>
      <c r="E510" s="131" t="s">
        <v>142</v>
      </c>
      <c r="F510" s="134" t="s">
        <v>142</v>
      </c>
      <c r="G510" s="134" t="s">
        <v>142</v>
      </c>
      <c r="H510" s="134" t="s">
        <v>142</v>
      </c>
      <c r="I510" s="134" t="s">
        <v>142</v>
      </c>
      <c r="J510" s="134" t="s">
        <v>142</v>
      </c>
      <c r="K510" s="134" t="s">
        <v>142</v>
      </c>
      <c r="L510" s="134" t="s">
        <v>142</v>
      </c>
      <c r="M510" s="370"/>
      <c r="N510" s="137"/>
    </row>
    <row r="511" hidden="1" outlineLevel="1">
      <c r="A511" s="372" t="s">
        <v>2421</v>
      </c>
      <c r="B511" s="309"/>
      <c r="C511" s="368" t="str">
        <f t="shared" si="57"/>
        <v/>
      </c>
      <c r="D511" s="143">
        <f t="shared" si="58"/>
        <v>1</v>
      </c>
      <c r="E511" s="144" t="s">
        <v>142</v>
      </c>
      <c r="F511" s="134" t="s">
        <v>142</v>
      </c>
      <c r="G511" s="134" t="s">
        <v>142</v>
      </c>
      <c r="H511" s="134" t="s">
        <v>142</v>
      </c>
      <c r="I511" s="134" t="s">
        <v>142</v>
      </c>
      <c r="J511" s="134" t="s">
        <v>142</v>
      </c>
      <c r="K511" s="134" t="s">
        <v>142</v>
      </c>
      <c r="L511" s="134" t="s">
        <v>142</v>
      </c>
      <c r="M511" s="370"/>
      <c r="N511" s="137"/>
    </row>
    <row r="512" hidden="1" outlineLevel="1">
      <c r="A512" s="372" t="s">
        <v>2422</v>
      </c>
      <c r="B512" s="309"/>
      <c r="C512" s="368" t="str">
        <f t="shared" si="57"/>
        <v/>
      </c>
      <c r="D512" s="128">
        <f t="shared" si="58"/>
        <v>1</v>
      </c>
      <c r="E512" s="131" t="s">
        <v>142</v>
      </c>
      <c r="F512" s="134" t="s">
        <v>142</v>
      </c>
      <c r="G512" s="134" t="s">
        <v>142</v>
      </c>
      <c r="H512" s="134" t="s">
        <v>142</v>
      </c>
      <c r="I512" s="134" t="s">
        <v>142</v>
      </c>
      <c r="J512" s="134" t="s">
        <v>142</v>
      </c>
      <c r="K512" s="134" t="s">
        <v>142</v>
      </c>
      <c r="L512" s="134" t="s">
        <v>142</v>
      </c>
      <c r="M512" s="370"/>
      <c r="N512" s="137"/>
    </row>
    <row r="513" hidden="1" outlineLevel="1">
      <c r="A513" s="372" t="s">
        <v>2424</v>
      </c>
      <c r="B513" s="309"/>
      <c r="C513" s="368" t="str">
        <f t="shared" si="57"/>
        <v/>
      </c>
      <c r="D513" s="143">
        <f t="shared" si="58"/>
        <v>1</v>
      </c>
      <c r="E513" s="144" t="s">
        <v>142</v>
      </c>
      <c r="F513" s="134" t="s">
        <v>142</v>
      </c>
      <c r="G513" s="134" t="s">
        <v>142</v>
      </c>
      <c r="H513" s="134" t="s">
        <v>142</v>
      </c>
      <c r="I513" s="134" t="s">
        <v>142</v>
      </c>
      <c r="J513" s="134" t="s">
        <v>142</v>
      </c>
      <c r="K513" s="134" t="s">
        <v>142</v>
      </c>
      <c r="L513" s="134" t="s">
        <v>142</v>
      </c>
      <c r="M513" s="370"/>
      <c r="N513" s="137"/>
    </row>
    <row r="514" hidden="1" outlineLevel="1">
      <c r="A514" s="372" t="s">
        <v>2425</v>
      </c>
      <c r="B514" s="309"/>
      <c r="C514" s="368" t="str">
        <f t="shared" si="57"/>
        <v/>
      </c>
      <c r="D514" s="128">
        <f t="shared" si="58"/>
        <v>1</v>
      </c>
      <c r="E514" s="131" t="s">
        <v>142</v>
      </c>
      <c r="F514" s="134" t="s">
        <v>142</v>
      </c>
      <c r="G514" s="134" t="s">
        <v>142</v>
      </c>
      <c r="H514" s="134" t="s">
        <v>142</v>
      </c>
      <c r="I514" s="134" t="s">
        <v>142</v>
      </c>
      <c r="J514" s="134" t="s">
        <v>142</v>
      </c>
      <c r="K514" s="134" t="s">
        <v>142</v>
      </c>
      <c r="L514" s="134" t="s">
        <v>142</v>
      </c>
      <c r="M514" s="370"/>
      <c r="N514" s="137"/>
    </row>
    <row r="515" hidden="1" outlineLevel="1">
      <c r="A515" s="372" t="s">
        <v>2426</v>
      </c>
      <c r="B515" s="309"/>
      <c r="C515" s="368" t="str">
        <f t="shared" si="57"/>
        <v/>
      </c>
      <c r="D515" s="143">
        <f t="shared" si="58"/>
        <v>1</v>
      </c>
      <c r="E515" s="144" t="s">
        <v>142</v>
      </c>
      <c r="F515" s="134" t="s">
        <v>142</v>
      </c>
      <c r="G515" s="134" t="s">
        <v>142</v>
      </c>
      <c r="H515" s="134" t="s">
        <v>142</v>
      </c>
      <c r="I515" s="134" t="s">
        <v>142</v>
      </c>
      <c r="J515" s="134" t="s">
        <v>142</v>
      </c>
      <c r="K515" s="134" t="s">
        <v>142</v>
      </c>
      <c r="L515" s="134" t="s">
        <v>142</v>
      </c>
      <c r="M515" s="370"/>
      <c r="N515" s="137"/>
    </row>
    <row r="516" hidden="1" outlineLevel="1">
      <c r="A516" s="372" t="s">
        <v>2428</v>
      </c>
      <c r="B516" s="309"/>
      <c r="C516" s="368" t="str">
        <f t="shared" si="57"/>
        <v/>
      </c>
      <c r="D516" s="128">
        <f t="shared" si="58"/>
        <v>1</v>
      </c>
      <c r="E516" s="131" t="s">
        <v>142</v>
      </c>
      <c r="F516" s="134" t="s">
        <v>142</v>
      </c>
      <c r="G516" s="134" t="s">
        <v>142</v>
      </c>
      <c r="H516" s="134" t="s">
        <v>142</v>
      </c>
      <c r="I516" s="134" t="s">
        <v>142</v>
      </c>
      <c r="J516" s="134" t="s">
        <v>142</v>
      </c>
      <c r="K516" s="134" t="s">
        <v>142</v>
      </c>
      <c r="L516" s="134" t="s">
        <v>142</v>
      </c>
      <c r="M516" s="370"/>
      <c r="N516" s="137"/>
    </row>
    <row r="517" hidden="1" outlineLevel="1">
      <c r="A517" s="367"/>
      <c r="B517" s="309"/>
      <c r="C517" s="368" t="str">
        <f t="shared" si="57"/>
        <v/>
      </c>
      <c r="D517" s="143">
        <f t="shared" si="58"/>
        <v>1</v>
      </c>
      <c r="E517" s="144" t="s">
        <v>142</v>
      </c>
      <c r="F517" s="134" t="s">
        <v>142</v>
      </c>
      <c r="G517" s="134" t="s">
        <v>142</v>
      </c>
      <c r="H517" s="134" t="s">
        <v>142</v>
      </c>
      <c r="I517" s="134" t="s">
        <v>142</v>
      </c>
      <c r="J517" s="134" t="s">
        <v>142</v>
      </c>
      <c r="K517" s="134" t="s">
        <v>142</v>
      </c>
      <c r="L517" s="134" t="s">
        <v>142</v>
      </c>
      <c r="M517" s="370"/>
      <c r="N517" s="137"/>
    </row>
    <row r="518" hidden="1" outlineLevel="1">
      <c r="A518" s="367"/>
      <c r="B518" s="309"/>
      <c r="C518" s="368" t="str">
        <f t="shared" si="57"/>
        <v/>
      </c>
      <c r="D518" s="128">
        <f t="shared" si="58"/>
        <v>1</v>
      </c>
      <c r="E518" s="131" t="s">
        <v>142</v>
      </c>
      <c r="F518" s="134" t="s">
        <v>142</v>
      </c>
      <c r="G518" s="134" t="s">
        <v>142</v>
      </c>
      <c r="H518" s="134" t="s">
        <v>142</v>
      </c>
      <c r="I518" s="134" t="s">
        <v>142</v>
      </c>
      <c r="J518" s="134" t="s">
        <v>142</v>
      </c>
      <c r="K518" s="134" t="s">
        <v>142</v>
      </c>
      <c r="L518" s="134" t="s">
        <v>142</v>
      </c>
      <c r="M518" s="370"/>
      <c r="N518" s="137"/>
    </row>
    <row r="519" hidden="1" outlineLevel="1">
      <c r="A519" s="367"/>
      <c r="B519" s="309"/>
      <c r="C519" s="368" t="str">
        <f t="shared" si="57"/>
        <v/>
      </c>
      <c r="D519" s="143">
        <f t="shared" si="58"/>
        <v>1</v>
      </c>
      <c r="E519" s="144" t="s">
        <v>142</v>
      </c>
      <c r="F519" s="134" t="s">
        <v>142</v>
      </c>
      <c r="G519" s="134" t="s">
        <v>142</v>
      </c>
      <c r="H519" s="134" t="s">
        <v>142</v>
      </c>
      <c r="I519" s="134" t="s">
        <v>142</v>
      </c>
      <c r="J519" s="134" t="s">
        <v>142</v>
      </c>
      <c r="K519" s="134" t="s">
        <v>142</v>
      </c>
      <c r="L519" s="134" t="s">
        <v>142</v>
      </c>
      <c r="M519" s="370"/>
      <c r="N519" s="137"/>
    </row>
    <row r="520" hidden="1" outlineLevel="1">
      <c r="A520" s="373"/>
      <c r="B520" s="373"/>
      <c r="C520" s="374" t="s">
        <v>199</v>
      </c>
      <c r="D520" s="375">
        <f>AVERAGE(D505:D519)</f>
        <v>1</v>
      </c>
      <c r="E520" s="376"/>
      <c r="F520" s="373"/>
      <c r="G520" s="373"/>
      <c r="H520" s="373"/>
      <c r="I520" s="373"/>
      <c r="J520" s="373"/>
      <c r="K520" s="373"/>
      <c r="L520" s="374" t="s">
        <v>199</v>
      </c>
      <c r="M520" s="377">
        <f>SUM(M505:M519)/75*0.1</f>
        <v>0</v>
      </c>
      <c r="N520" s="373"/>
    </row>
    <row r="521" collapsed="1">
      <c r="A521" s="85" t="s">
        <v>450</v>
      </c>
      <c r="B521" s="86"/>
      <c r="C521" s="86"/>
      <c r="D521" s="359"/>
      <c r="E521" s="360"/>
      <c r="F521" s="361"/>
      <c r="G521" s="361"/>
      <c r="H521" s="361"/>
      <c r="I521" s="361"/>
      <c r="J521" s="361"/>
      <c r="K521" s="361"/>
      <c r="L521" s="361"/>
      <c r="M521" s="361"/>
      <c r="N521" s="361"/>
    </row>
    <row r="522" hidden="1" outlineLevel="1">
      <c r="A522" s="362" t="s">
        <v>89</v>
      </c>
      <c r="B522" s="363" t="s">
        <v>90</v>
      </c>
      <c r="C522" s="363" t="s">
        <v>91</v>
      </c>
      <c r="D522" s="364" t="s">
        <v>93</v>
      </c>
      <c r="E522" s="365" t="s">
        <v>94</v>
      </c>
      <c r="F522" s="365" t="s">
        <v>95</v>
      </c>
      <c r="G522" s="366" t="s">
        <v>96</v>
      </c>
      <c r="H522" s="366" t="s">
        <v>97</v>
      </c>
      <c r="I522" s="366" t="s">
        <v>104</v>
      </c>
      <c r="J522" s="366" t="s">
        <v>106</v>
      </c>
      <c r="K522" s="366" t="s">
        <v>109</v>
      </c>
      <c r="L522" s="366" t="s">
        <v>111</v>
      </c>
      <c r="M522" s="363" t="s">
        <v>114</v>
      </c>
      <c r="N522" s="363" t="s">
        <v>116</v>
      </c>
    </row>
    <row r="523" hidden="1" outlineLevel="1">
      <c r="A523" s="372" t="s">
        <v>2432</v>
      </c>
      <c r="B523" s="309">
        <v>46272.0</v>
      </c>
      <c r="C523" s="368" t="str">
        <f t="shared" ref="C523:C537" si="59">IF(B523="", "", TEXT(B523, "ddd"))</f>
        <v>Mon</v>
      </c>
      <c r="D523" s="143">
        <f t="shared" ref="D523:D537" si="60">IF(E523="Yes",0.05,0)
+IF(F523="Yes",0.1,0)
+IF(G523="Yes",0.15,0)
+IF(H523="Yes",0.15,0)
+IF(I523="Yes",0.05,0)
+IF(J523="Yes",0.05,0)
+IF(K523="Yes",0.15,0)
+IF(L523="Yes",0.3,0)
</f>
        <v>1</v>
      </c>
      <c r="E523" s="144" t="s">
        <v>142</v>
      </c>
      <c r="F523" s="134" t="s">
        <v>142</v>
      </c>
      <c r="G523" s="134" t="s">
        <v>142</v>
      </c>
      <c r="H523" s="134" t="s">
        <v>142</v>
      </c>
      <c r="I523" s="134" t="s">
        <v>142</v>
      </c>
      <c r="J523" s="134" t="s">
        <v>142</v>
      </c>
      <c r="K523" s="134" t="s">
        <v>142</v>
      </c>
      <c r="L523" s="134" t="s">
        <v>142</v>
      </c>
      <c r="M523" s="370"/>
      <c r="N523" s="137"/>
    </row>
    <row r="524" hidden="1" outlineLevel="1">
      <c r="A524" s="372" t="s">
        <v>2437</v>
      </c>
      <c r="B524" s="309">
        <v>46272.0</v>
      </c>
      <c r="C524" s="368" t="str">
        <f t="shared" si="59"/>
        <v>Mon</v>
      </c>
      <c r="D524" s="128">
        <f t="shared" si="60"/>
        <v>1</v>
      </c>
      <c r="E524" s="131" t="s">
        <v>142</v>
      </c>
      <c r="F524" s="134" t="s">
        <v>142</v>
      </c>
      <c r="G524" s="134" t="s">
        <v>142</v>
      </c>
      <c r="H524" s="134" t="s">
        <v>142</v>
      </c>
      <c r="I524" s="134" t="s">
        <v>142</v>
      </c>
      <c r="J524" s="134" t="s">
        <v>142</v>
      </c>
      <c r="K524" s="134" t="s">
        <v>142</v>
      </c>
      <c r="L524" s="134" t="s">
        <v>142</v>
      </c>
      <c r="M524" s="370"/>
      <c r="N524" s="137"/>
    </row>
    <row r="525" hidden="1" outlineLevel="1">
      <c r="A525" s="372" t="s">
        <v>2438</v>
      </c>
      <c r="B525" s="309">
        <v>46272.0</v>
      </c>
      <c r="C525" s="368" t="str">
        <f t="shared" si="59"/>
        <v>Mon</v>
      </c>
      <c r="D525" s="143">
        <f t="shared" si="60"/>
        <v>1</v>
      </c>
      <c r="E525" s="144" t="s">
        <v>142</v>
      </c>
      <c r="F525" s="134" t="s">
        <v>142</v>
      </c>
      <c r="G525" s="134" t="s">
        <v>142</v>
      </c>
      <c r="H525" s="134" t="s">
        <v>142</v>
      </c>
      <c r="I525" s="134" t="s">
        <v>142</v>
      </c>
      <c r="J525" s="134" t="s">
        <v>142</v>
      </c>
      <c r="K525" s="134" t="s">
        <v>142</v>
      </c>
      <c r="L525" s="134" t="s">
        <v>142</v>
      </c>
      <c r="M525" s="370"/>
      <c r="N525" s="137"/>
    </row>
    <row r="526" hidden="1" outlineLevel="1">
      <c r="A526" s="372" t="s">
        <v>2439</v>
      </c>
      <c r="B526" s="309">
        <v>46273.0</v>
      </c>
      <c r="C526" s="368" t="str">
        <f t="shared" si="59"/>
        <v>Tue</v>
      </c>
      <c r="D526" s="128">
        <f t="shared" si="60"/>
        <v>1</v>
      </c>
      <c r="E526" s="131" t="s">
        <v>142</v>
      </c>
      <c r="F526" s="134" t="s">
        <v>142</v>
      </c>
      <c r="G526" s="134" t="s">
        <v>142</v>
      </c>
      <c r="H526" s="134" t="s">
        <v>142</v>
      </c>
      <c r="I526" s="134" t="s">
        <v>142</v>
      </c>
      <c r="J526" s="134" t="s">
        <v>142</v>
      </c>
      <c r="K526" s="134" t="s">
        <v>142</v>
      </c>
      <c r="L526" s="134" t="s">
        <v>142</v>
      </c>
      <c r="M526" s="370"/>
      <c r="N526" s="137"/>
    </row>
    <row r="527" hidden="1" outlineLevel="1">
      <c r="A527" s="372" t="s">
        <v>2441</v>
      </c>
      <c r="B527" s="309">
        <v>46273.0</v>
      </c>
      <c r="C527" s="368" t="str">
        <f t="shared" si="59"/>
        <v>Tue</v>
      </c>
      <c r="D527" s="143">
        <f t="shared" si="60"/>
        <v>1</v>
      </c>
      <c r="E527" s="144" t="s">
        <v>142</v>
      </c>
      <c r="F527" s="134" t="s">
        <v>142</v>
      </c>
      <c r="G527" s="134" t="s">
        <v>142</v>
      </c>
      <c r="H527" s="134" t="s">
        <v>142</v>
      </c>
      <c r="I527" s="134" t="s">
        <v>142</v>
      </c>
      <c r="J527" s="134" t="s">
        <v>142</v>
      </c>
      <c r="K527" s="134" t="s">
        <v>142</v>
      </c>
      <c r="L527" s="134" t="s">
        <v>142</v>
      </c>
      <c r="M527" s="370"/>
      <c r="N527" s="137"/>
    </row>
    <row r="528" hidden="1" outlineLevel="1">
      <c r="A528" s="372" t="s">
        <v>2442</v>
      </c>
      <c r="B528" s="309">
        <v>46273.0</v>
      </c>
      <c r="C528" s="368" t="str">
        <f t="shared" si="59"/>
        <v>Tue</v>
      </c>
      <c r="D528" s="128">
        <f t="shared" si="60"/>
        <v>1</v>
      </c>
      <c r="E528" s="131" t="s">
        <v>142</v>
      </c>
      <c r="F528" s="134" t="s">
        <v>142</v>
      </c>
      <c r="G528" s="134" t="s">
        <v>142</v>
      </c>
      <c r="H528" s="134" t="s">
        <v>142</v>
      </c>
      <c r="I528" s="134" t="s">
        <v>142</v>
      </c>
      <c r="J528" s="134" t="s">
        <v>142</v>
      </c>
      <c r="K528" s="134" t="s">
        <v>142</v>
      </c>
      <c r="L528" s="134" t="s">
        <v>142</v>
      </c>
      <c r="M528" s="370"/>
      <c r="N528" s="137"/>
    </row>
    <row r="529" hidden="1" outlineLevel="1">
      <c r="A529" s="372" t="s">
        <v>2443</v>
      </c>
      <c r="B529" s="309">
        <v>46276.0</v>
      </c>
      <c r="C529" s="368" t="str">
        <f t="shared" si="59"/>
        <v>Fri</v>
      </c>
      <c r="D529" s="143">
        <f t="shared" si="60"/>
        <v>1</v>
      </c>
      <c r="E529" s="144" t="s">
        <v>142</v>
      </c>
      <c r="F529" s="134" t="s">
        <v>142</v>
      </c>
      <c r="G529" s="134" t="s">
        <v>142</v>
      </c>
      <c r="H529" s="134" t="s">
        <v>142</v>
      </c>
      <c r="I529" s="134" t="s">
        <v>142</v>
      </c>
      <c r="J529" s="134" t="s">
        <v>142</v>
      </c>
      <c r="K529" s="134" t="s">
        <v>142</v>
      </c>
      <c r="L529" s="134" t="s">
        <v>142</v>
      </c>
      <c r="M529" s="370"/>
      <c r="N529" s="137"/>
    </row>
    <row r="530" hidden="1" outlineLevel="1">
      <c r="A530" s="372" t="s">
        <v>2445</v>
      </c>
      <c r="B530" s="309">
        <v>46276.0</v>
      </c>
      <c r="C530" s="368" t="str">
        <f t="shared" si="59"/>
        <v>Fri</v>
      </c>
      <c r="D530" s="128">
        <f t="shared" si="60"/>
        <v>1</v>
      </c>
      <c r="E530" s="131" t="s">
        <v>142</v>
      </c>
      <c r="F530" s="134" t="s">
        <v>142</v>
      </c>
      <c r="G530" s="134" t="s">
        <v>142</v>
      </c>
      <c r="H530" s="134" t="s">
        <v>142</v>
      </c>
      <c r="I530" s="134" t="s">
        <v>142</v>
      </c>
      <c r="J530" s="134" t="s">
        <v>142</v>
      </c>
      <c r="K530" s="134" t="s">
        <v>142</v>
      </c>
      <c r="L530" s="134" t="s">
        <v>142</v>
      </c>
      <c r="M530" s="370"/>
      <c r="N530" s="137"/>
    </row>
    <row r="531" hidden="1" outlineLevel="1">
      <c r="A531" s="372" t="s">
        <v>2447</v>
      </c>
      <c r="B531" s="309">
        <v>46276.0</v>
      </c>
      <c r="C531" s="368" t="str">
        <f t="shared" si="59"/>
        <v>Fri</v>
      </c>
      <c r="D531" s="143">
        <f t="shared" si="60"/>
        <v>1</v>
      </c>
      <c r="E531" s="144" t="s">
        <v>142</v>
      </c>
      <c r="F531" s="134" t="s">
        <v>142</v>
      </c>
      <c r="G531" s="134" t="s">
        <v>142</v>
      </c>
      <c r="H531" s="134" t="s">
        <v>142</v>
      </c>
      <c r="I531" s="134" t="s">
        <v>142</v>
      </c>
      <c r="J531" s="134" t="s">
        <v>142</v>
      </c>
      <c r="K531" s="134" t="s">
        <v>142</v>
      </c>
      <c r="L531" s="134" t="s">
        <v>142</v>
      </c>
      <c r="M531" s="370"/>
      <c r="N531" s="137"/>
    </row>
    <row r="532" hidden="1" outlineLevel="1">
      <c r="A532" s="372" t="s">
        <v>2449</v>
      </c>
      <c r="B532" s="309">
        <v>46277.0</v>
      </c>
      <c r="C532" s="368" t="str">
        <f t="shared" si="59"/>
        <v>Sat</v>
      </c>
      <c r="D532" s="128">
        <f t="shared" si="60"/>
        <v>1</v>
      </c>
      <c r="E532" s="131" t="s">
        <v>142</v>
      </c>
      <c r="F532" s="134" t="s">
        <v>142</v>
      </c>
      <c r="G532" s="134" t="s">
        <v>142</v>
      </c>
      <c r="H532" s="134" t="s">
        <v>142</v>
      </c>
      <c r="I532" s="134" t="s">
        <v>142</v>
      </c>
      <c r="J532" s="134" t="s">
        <v>142</v>
      </c>
      <c r="K532" s="134" t="s">
        <v>142</v>
      </c>
      <c r="L532" s="134" t="s">
        <v>142</v>
      </c>
      <c r="M532" s="370"/>
      <c r="N532" s="137"/>
    </row>
    <row r="533" hidden="1" outlineLevel="1">
      <c r="A533" s="372" t="s">
        <v>2451</v>
      </c>
      <c r="B533" s="309">
        <v>46277.0</v>
      </c>
      <c r="C533" s="368" t="str">
        <f t="shared" si="59"/>
        <v>Sat</v>
      </c>
      <c r="D533" s="143">
        <f t="shared" si="60"/>
        <v>1</v>
      </c>
      <c r="E533" s="144" t="s">
        <v>142</v>
      </c>
      <c r="F533" s="134" t="s">
        <v>142</v>
      </c>
      <c r="G533" s="134" t="s">
        <v>142</v>
      </c>
      <c r="H533" s="134" t="s">
        <v>142</v>
      </c>
      <c r="I533" s="134" t="s">
        <v>142</v>
      </c>
      <c r="J533" s="134" t="s">
        <v>142</v>
      </c>
      <c r="K533" s="134" t="s">
        <v>142</v>
      </c>
      <c r="L533" s="134" t="s">
        <v>142</v>
      </c>
      <c r="M533" s="370"/>
      <c r="N533" s="137"/>
    </row>
    <row r="534" hidden="1" outlineLevel="1">
      <c r="A534" s="372" t="s">
        <v>2453</v>
      </c>
      <c r="B534" s="309">
        <v>46277.0</v>
      </c>
      <c r="C534" s="368" t="str">
        <f t="shared" si="59"/>
        <v>Sat</v>
      </c>
      <c r="D534" s="128">
        <f t="shared" si="60"/>
        <v>1</v>
      </c>
      <c r="E534" s="131" t="s">
        <v>142</v>
      </c>
      <c r="F534" s="134" t="s">
        <v>142</v>
      </c>
      <c r="G534" s="134" t="s">
        <v>142</v>
      </c>
      <c r="H534" s="134" t="s">
        <v>142</v>
      </c>
      <c r="I534" s="134" t="s">
        <v>142</v>
      </c>
      <c r="J534" s="134" t="s">
        <v>142</v>
      </c>
      <c r="K534" s="134" t="s">
        <v>142</v>
      </c>
      <c r="L534" s="134" t="s">
        <v>142</v>
      </c>
      <c r="M534" s="370"/>
      <c r="N534" s="137"/>
    </row>
    <row r="535" hidden="1" outlineLevel="1">
      <c r="A535" s="372" t="s">
        <v>2455</v>
      </c>
      <c r="B535" s="309">
        <v>46278.0</v>
      </c>
      <c r="C535" s="368" t="str">
        <f t="shared" si="59"/>
        <v>Sun</v>
      </c>
      <c r="D535" s="143">
        <f t="shared" si="60"/>
        <v>1</v>
      </c>
      <c r="E535" s="144" t="s">
        <v>142</v>
      </c>
      <c r="F535" s="134" t="s">
        <v>142</v>
      </c>
      <c r="G535" s="134" t="s">
        <v>142</v>
      </c>
      <c r="H535" s="134" t="s">
        <v>142</v>
      </c>
      <c r="I535" s="134" t="s">
        <v>142</v>
      </c>
      <c r="J535" s="134" t="s">
        <v>142</v>
      </c>
      <c r="K535" s="134" t="s">
        <v>142</v>
      </c>
      <c r="L535" s="134" t="s">
        <v>142</v>
      </c>
      <c r="M535" s="370"/>
      <c r="N535" s="137"/>
    </row>
    <row r="536" hidden="1" outlineLevel="1">
      <c r="A536" s="372" t="s">
        <v>2457</v>
      </c>
      <c r="B536" s="309">
        <v>46278.0</v>
      </c>
      <c r="C536" s="368" t="str">
        <f t="shared" si="59"/>
        <v>Sun</v>
      </c>
      <c r="D536" s="128">
        <f t="shared" si="60"/>
        <v>1</v>
      </c>
      <c r="E536" s="131" t="s">
        <v>142</v>
      </c>
      <c r="F536" s="134" t="s">
        <v>142</v>
      </c>
      <c r="G536" s="134" t="s">
        <v>142</v>
      </c>
      <c r="H536" s="134" t="s">
        <v>142</v>
      </c>
      <c r="I536" s="134" t="s">
        <v>142</v>
      </c>
      <c r="J536" s="134" t="s">
        <v>142</v>
      </c>
      <c r="K536" s="134" t="s">
        <v>142</v>
      </c>
      <c r="L536" s="134" t="s">
        <v>142</v>
      </c>
      <c r="M536" s="370"/>
      <c r="N536" s="137"/>
    </row>
    <row r="537" hidden="1" outlineLevel="1">
      <c r="A537" s="372" t="s">
        <v>2458</v>
      </c>
      <c r="B537" s="309">
        <v>46278.0</v>
      </c>
      <c r="C537" s="368" t="str">
        <f t="shared" si="59"/>
        <v>Sun</v>
      </c>
      <c r="D537" s="143">
        <f t="shared" si="60"/>
        <v>1</v>
      </c>
      <c r="E537" s="144" t="s">
        <v>142</v>
      </c>
      <c r="F537" s="134" t="s">
        <v>142</v>
      </c>
      <c r="G537" s="134" t="s">
        <v>142</v>
      </c>
      <c r="H537" s="134" t="s">
        <v>142</v>
      </c>
      <c r="I537" s="134" t="s">
        <v>142</v>
      </c>
      <c r="J537" s="134" t="s">
        <v>142</v>
      </c>
      <c r="K537" s="134" t="s">
        <v>142</v>
      </c>
      <c r="L537" s="134" t="s">
        <v>142</v>
      </c>
      <c r="M537" s="370"/>
      <c r="N537" s="137"/>
    </row>
    <row r="538" hidden="1" outlineLevel="1">
      <c r="A538" s="373"/>
      <c r="B538" s="373"/>
      <c r="C538" s="374" t="s">
        <v>199</v>
      </c>
      <c r="D538" s="375">
        <f>AVERAGE(D523:D537)</f>
        <v>1</v>
      </c>
      <c r="E538" s="376"/>
      <c r="F538" s="373"/>
      <c r="G538" s="373"/>
      <c r="H538" s="373"/>
      <c r="I538" s="373"/>
      <c r="J538" s="373"/>
      <c r="K538" s="373"/>
      <c r="L538" s="374" t="s">
        <v>199</v>
      </c>
      <c r="M538" s="377">
        <f>SUM(M523:M537)/75*0.1</f>
        <v>0</v>
      </c>
      <c r="N538" s="373"/>
    </row>
    <row r="539" collapsed="1">
      <c r="A539" s="85" t="s">
        <v>471</v>
      </c>
      <c r="B539" s="86"/>
      <c r="C539" s="86"/>
      <c r="D539" s="359"/>
      <c r="E539" s="360"/>
      <c r="F539" s="361"/>
      <c r="G539" s="361"/>
      <c r="H539" s="361"/>
      <c r="I539" s="361"/>
      <c r="J539" s="361"/>
      <c r="K539" s="361"/>
      <c r="L539" s="361"/>
      <c r="M539" s="361"/>
      <c r="N539" s="361"/>
    </row>
    <row r="540" hidden="1" outlineLevel="1">
      <c r="A540" s="363" t="s">
        <v>89</v>
      </c>
      <c r="B540" s="363" t="s">
        <v>90</v>
      </c>
      <c r="C540" s="363" t="s">
        <v>91</v>
      </c>
      <c r="D540" s="364" t="s">
        <v>93</v>
      </c>
      <c r="E540" s="365" t="s">
        <v>94</v>
      </c>
      <c r="F540" s="365" t="s">
        <v>95</v>
      </c>
      <c r="G540" s="366" t="s">
        <v>96</v>
      </c>
      <c r="H540" s="366" t="s">
        <v>97</v>
      </c>
      <c r="I540" s="366" t="s">
        <v>104</v>
      </c>
      <c r="J540" s="366" t="s">
        <v>106</v>
      </c>
      <c r="K540" s="366" t="s">
        <v>109</v>
      </c>
      <c r="L540" s="366" t="s">
        <v>111</v>
      </c>
      <c r="M540" s="363" t="s">
        <v>114</v>
      </c>
      <c r="N540" s="363" t="s">
        <v>116</v>
      </c>
    </row>
    <row r="541" hidden="1" outlineLevel="1">
      <c r="A541" s="367" t="s">
        <v>2461</v>
      </c>
      <c r="B541" s="309">
        <v>46279.0</v>
      </c>
      <c r="C541" s="368" t="str">
        <f t="shared" ref="C541:C555" si="61">IF(B541="", "", TEXT(B541, "ddd"))</f>
        <v>Mon</v>
      </c>
      <c r="D541" s="143">
        <f t="shared" ref="D541:D555" si="62">IF(E541="Yes",0.05,0)
+IF(F541="Yes",0.1,0)
+IF(G541="Yes",0.15,0)
+IF(H541="Yes",0.15,0)
+IF(I541="Yes",0.05,0)
+IF(J541="Yes",0.05,0)
+IF(K541="Yes",0.15,0)
+IF(L541="Yes",0.3,0)
</f>
        <v>1</v>
      </c>
      <c r="E541" s="144" t="s">
        <v>142</v>
      </c>
      <c r="F541" s="134" t="s">
        <v>142</v>
      </c>
      <c r="G541" s="134" t="s">
        <v>142</v>
      </c>
      <c r="H541" s="134" t="s">
        <v>142</v>
      </c>
      <c r="I541" s="134" t="s">
        <v>142</v>
      </c>
      <c r="J541" s="134" t="s">
        <v>142</v>
      </c>
      <c r="K541" s="134" t="s">
        <v>142</v>
      </c>
      <c r="L541" s="134" t="s">
        <v>142</v>
      </c>
      <c r="M541" s="370"/>
      <c r="N541" s="137"/>
    </row>
    <row r="542" hidden="1" outlineLevel="1">
      <c r="A542" s="367" t="s">
        <v>2462</v>
      </c>
      <c r="B542" s="309">
        <v>46279.0</v>
      </c>
      <c r="C542" s="368" t="str">
        <f t="shared" si="61"/>
        <v>Mon</v>
      </c>
      <c r="D542" s="128">
        <f t="shared" si="62"/>
        <v>1</v>
      </c>
      <c r="E542" s="131" t="s">
        <v>142</v>
      </c>
      <c r="F542" s="134" t="s">
        <v>142</v>
      </c>
      <c r="G542" s="134" t="s">
        <v>142</v>
      </c>
      <c r="H542" s="134" t="s">
        <v>142</v>
      </c>
      <c r="I542" s="134" t="s">
        <v>142</v>
      </c>
      <c r="J542" s="134" t="s">
        <v>142</v>
      </c>
      <c r="K542" s="134" t="s">
        <v>142</v>
      </c>
      <c r="L542" s="134" t="s">
        <v>142</v>
      </c>
      <c r="M542" s="370"/>
      <c r="N542" s="137"/>
    </row>
    <row r="543" hidden="1" outlineLevel="1">
      <c r="A543" s="367" t="s">
        <v>2464</v>
      </c>
      <c r="B543" s="309">
        <v>46279.0</v>
      </c>
      <c r="C543" s="368" t="str">
        <f t="shared" si="61"/>
        <v>Mon</v>
      </c>
      <c r="D543" s="143">
        <f t="shared" si="62"/>
        <v>1</v>
      </c>
      <c r="E543" s="144" t="s">
        <v>142</v>
      </c>
      <c r="F543" s="134" t="s">
        <v>142</v>
      </c>
      <c r="G543" s="134" t="s">
        <v>142</v>
      </c>
      <c r="H543" s="134" t="s">
        <v>142</v>
      </c>
      <c r="I543" s="134" t="s">
        <v>142</v>
      </c>
      <c r="J543" s="134" t="s">
        <v>142</v>
      </c>
      <c r="K543" s="134" t="s">
        <v>142</v>
      </c>
      <c r="L543" s="134" t="s">
        <v>142</v>
      </c>
      <c r="M543" s="370"/>
      <c r="N543" s="137"/>
    </row>
    <row r="544" hidden="1" outlineLevel="1">
      <c r="A544" s="367" t="s">
        <v>2466</v>
      </c>
      <c r="B544" s="309">
        <v>46282.0</v>
      </c>
      <c r="C544" s="368" t="str">
        <f t="shared" si="61"/>
        <v>Thu</v>
      </c>
      <c r="D544" s="128">
        <f t="shared" si="62"/>
        <v>1</v>
      </c>
      <c r="E544" s="131" t="s">
        <v>142</v>
      </c>
      <c r="F544" s="134" t="s">
        <v>142</v>
      </c>
      <c r="G544" s="134" t="s">
        <v>142</v>
      </c>
      <c r="H544" s="134" t="s">
        <v>142</v>
      </c>
      <c r="I544" s="134" t="s">
        <v>142</v>
      </c>
      <c r="J544" s="134" t="s">
        <v>142</v>
      </c>
      <c r="K544" s="134" t="s">
        <v>142</v>
      </c>
      <c r="L544" s="134" t="s">
        <v>142</v>
      </c>
      <c r="M544" s="370"/>
      <c r="N544" s="137"/>
    </row>
    <row r="545" hidden="1" outlineLevel="1">
      <c r="A545" s="367" t="s">
        <v>2468</v>
      </c>
      <c r="B545" s="309">
        <v>46282.0</v>
      </c>
      <c r="C545" s="368" t="str">
        <f t="shared" si="61"/>
        <v>Thu</v>
      </c>
      <c r="D545" s="143">
        <f t="shared" si="62"/>
        <v>1</v>
      </c>
      <c r="E545" s="144" t="s">
        <v>142</v>
      </c>
      <c r="F545" s="134" t="s">
        <v>142</v>
      </c>
      <c r="G545" s="134" t="s">
        <v>142</v>
      </c>
      <c r="H545" s="134" t="s">
        <v>142</v>
      </c>
      <c r="I545" s="134" t="s">
        <v>142</v>
      </c>
      <c r="J545" s="134" t="s">
        <v>142</v>
      </c>
      <c r="K545" s="134" t="s">
        <v>142</v>
      </c>
      <c r="L545" s="134" t="s">
        <v>142</v>
      </c>
      <c r="M545" s="370"/>
      <c r="N545" s="137"/>
    </row>
    <row r="546" hidden="1" outlineLevel="1">
      <c r="A546" s="367" t="s">
        <v>2470</v>
      </c>
      <c r="B546" s="309">
        <v>46282.0</v>
      </c>
      <c r="C546" s="368" t="str">
        <f t="shared" si="61"/>
        <v>Thu</v>
      </c>
      <c r="D546" s="128">
        <f t="shared" si="62"/>
        <v>1</v>
      </c>
      <c r="E546" s="131" t="s">
        <v>142</v>
      </c>
      <c r="F546" s="134" t="s">
        <v>142</v>
      </c>
      <c r="G546" s="134" t="s">
        <v>142</v>
      </c>
      <c r="H546" s="134" t="s">
        <v>142</v>
      </c>
      <c r="I546" s="134" t="s">
        <v>142</v>
      </c>
      <c r="J546" s="134" t="s">
        <v>142</v>
      </c>
      <c r="K546" s="134" t="s">
        <v>142</v>
      </c>
      <c r="L546" s="134" t="s">
        <v>142</v>
      </c>
      <c r="M546" s="370"/>
      <c r="N546" s="137"/>
    </row>
    <row r="547" hidden="1" outlineLevel="1">
      <c r="A547" s="367" t="s">
        <v>2472</v>
      </c>
      <c r="B547" s="309">
        <v>46283.0</v>
      </c>
      <c r="C547" s="368" t="str">
        <f t="shared" si="61"/>
        <v>Fri</v>
      </c>
      <c r="D547" s="143">
        <f t="shared" si="62"/>
        <v>1</v>
      </c>
      <c r="E547" s="144" t="s">
        <v>142</v>
      </c>
      <c r="F547" s="134" t="s">
        <v>142</v>
      </c>
      <c r="G547" s="134" t="s">
        <v>142</v>
      </c>
      <c r="H547" s="134" t="s">
        <v>142</v>
      </c>
      <c r="I547" s="134" t="s">
        <v>142</v>
      </c>
      <c r="J547" s="134" t="s">
        <v>142</v>
      </c>
      <c r="K547" s="134" t="s">
        <v>142</v>
      </c>
      <c r="L547" s="134" t="s">
        <v>142</v>
      </c>
      <c r="M547" s="370"/>
      <c r="N547" s="137"/>
    </row>
    <row r="548" hidden="1" outlineLevel="1">
      <c r="A548" s="367" t="s">
        <v>2473</v>
      </c>
      <c r="B548" s="309">
        <v>46283.0</v>
      </c>
      <c r="C548" s="368" t="str">
        <f t="shared" si="61"/>
        <v>Fri</v>
      </c>
      <c r="D548" s="128">
        <f t="shared" si="62"/>
        <v>1</v>
      </c>
      <c r="E548" s="131" t="s">
        <v>142</v>
      </c>
      <c r="F548" s="134" t="s">
        <v>142</v>
      </c>
      <c r="G548" s="134" t="s">
        <v>142</v>
      </c>
      <c r="H548" s="134" t="s">
        <v>142</v>
      </c>
      <c r="I548" s="134" t="s">
        <v>142</v>
      </c>
      <c r="J548" s="134" t="s">
        <v>142</v>
      </c>
      <c r="K548" s="134" t="s">
        <v>142</v>
      </c>
      <c r="L548" s="134" t="s">
        <v>142</v>
      </c>
      <c r="M548" s="370"/>
      <c r="N548" s="137"/>
    </row>
    <row r="549" hidden="1" outlineLevel="1">
      <c r="A549" s="367" t="s">
        <v>2474</v>
      </c>
      <c r="B549" s="309">
        <v>46283.0</v>
      </c>
      <c r="C549" s="368" t="str">
        <f t="shared" si="61"/>
        <v>Fri</v>
      </c>
      <c r="D549" s="143">
        <f t="shared" si="62"/>
        <v>1</v>
      </c>
      <c r="E549" s="144" t="s">
        <v>142</v>
      </c>
      <c r="F549" s="134" t="s">
        <v>142</v>
      </c>
      <c r="G549" s="134" t="s">
        <v>142</v>
      </c>
      <c r="H549" s="134" t="s">
        <v>142</v>
      </c>
      <c r="I549" s="134" t="s">
        <v>142</v>
      </c>
      <c r="J549" s="134" t="s">
        <v>142</v>
      </c>
      <c r="K549" s="134" t="s">
        <v>142</v>
      </c>
      <c r="L549" s="134" t="s">
        <v>142</v>
      </c>
      <c r="M549" s="370"/>
      <c r="N549" s="137"/>
    </row>
    <row r="550" hidden="1" outlineLevel="1">
      <c r="A550" s="367" t="s">
        <v>2475</v>
      </c>
      <c r="B550" s="309">
        <v>46284.0</v>
      </c>
      <c r="C550" s="368" t="str">
        <f t="shared" si="61"/>
        <v>Sat</v>
      </c>
      <c r="D550" s="128">
        <f t="shared" si="62"/>
        <v>1</v>
      </c>
      <c r="E550" s="131" t="s">
        <v>142</v>
      </c>
      <c r="F550" s="134" t="s">
        <v>142</v>
      </c>
      <c r="G550" s="134" t="s">
        <v>142</v>
      </c>
      <c r="H550" s="134" t="s">
        <v>142</v>
      </c>
      <c r="I550" s="134" t="s">
        <v>142</v>
      </c>
      <c r="J550" s="134" t="s">
        <v>142</v>
      </c>
      <c r="K550" s="134" t="s">
        <v>142</v>
      </c>
      <c r="L550" s="134" t="s">
        <v>142</v>
      </c>
      <c r="M550" s="370"/>
      <c r="N550" s="137"/>
    </row>
    <row r="551" hidden="1" outlineLevel="1">
      <c r="A551" s="367" t="s">
        <v>2476</v>
      </c>
      <c r="B551" s="309">
        <v>46284.0</v>
      </c>
      <c r="C551" s="368" t="str">
        <f t="shared" si="61"/>
        <v>Sat</v>
      </c>
      <c r="D551" s="143">
        <f t="shared" si="62"/>
        <v>1</v>
      </c>
      <c r="E551" s="144" t="s">
        <v>142</v>
      </c>
      <c r="F551" s="134" t="s">
        <v>142</v>
      </c>
      <c r="G551" s="134" t="s">
        <v>142</v>
      </c>
      <c r="H551" s="134" t="s">
        <v>142</v>
      </c>
      <c r="I551" s="134" t="s">
        <v>142</v>
      </c>
      <c r="J551" s="134" t="s">
        <v>142</v>
      </c>
      <c r="K551" s="134" t="s">
        <v>142</v>
      </c>
      <c r="L551" s="134" t="s">
        <v>142</v>
      </c>
      <c r="M551" s="370"/>
      <c r="N551" s="137"/>
    </row>
    <row r="552" hidden="1" outlineLevel="1">
      <c r="A552" s="367" t="s">
        <v>2477</v>
      </c>
      <c r="B552" s="309">
        <v>46284.0</v>
      </c>
      <c r="C552" s="368" t="str">
        <f t="shared" si="61"/>
        <v>Sat</v>
      </c>
      <c r="D552" s="128">
        <f t="shared" si="62"/>
        <v>1</v>
      </c>
      <c r="E552" s="131" t="s">
        <v>142</v>
      </c>
      <c r="F552" s="134" t="s">
        <v>142</v>
      </c>
      <c r="G552" s="134" t="s">
        <v>142</v>
      </c>
      <c r="H552" s="134" t="s">
        <v>142</v>
      </c>
      <c r="I552" s="134" t="s">
        <v>142</v>
      </c>
      <c r="J552" s="134" t="s">
        <v>142</v>
      </c>
      <c r="K552" s="134" t="s">
        <v>142</v>
      </c>
      <c r="L552" s="134" t="s">
        <v>142</v>
      </c>
      <c r="M552" s="370"/>
      <c r="N552" s="137"/>
    </row>
    <row r="553" hidden="1" outlineLevel="1">
      <c r="A553" s="367" t="s">
        <v>2478</v>
      </c>
      <c r="B553" s="309">
        <v>46285.0</v>
      </c>
      <c r="C553" s="368" t="str">
        <f t="shared" si="61"/>
        <v>Sun</v>
      </c>
      <c r="D553" s="143">
        <f t="shared" si="62"/>
        <v>1</v>
      </c>
      <c r="E553" s="144" t="s">
        <v>142</v>
      </c>
      <c r="F553" s="134" t="s">
        <v>142</v>
      </c>
      <c r="G553" s="134" t="s">
        <v>142</v>
      </c>
      <c r="H553" s="134" t="s">
        <v>142</v>
      </c>
      <c r="I553" s="134" t="s">
        <v>142</v>
      </c>
      <c r="J553" s="134" t="s">
        <v>142</v>
      </c>
      <c r="K553" s="134" t="s">
        <v>142</v>
      </c>
      <c r="L553" s="134" t="s">
        <v>142</v>
      </c>
      <c r="M553" s="370"/>
      <c r="N553" s="137"/>
    </row>
    <row r="554" hidden="1" outlineLevel="1">
      <c r="A554" s="367" t="s">
        <v>2480</v>
      </c>
      <c r="B554" s="309">
        <v>46285.0</v>
      </c>
      <c r="C554" s="368" t="str">
        <f t="shared" si="61"/>
        <v>Sun</v>
      </c>
      <c r="D554" s="128">
        <f t="shared" si="62"/>
        <v>1</v>
      </c>
      <c r="E554" s="131" t="s">
        <v>142</v>
      </c>
      <c r="F554" s="134" t="s">
        <v>142</v>
      </c>
      <c r="G554" s="134" t="s">
        <v>142</v>
      </c>
      <c r="H554" s="134" t="s">
        <v>142</v>
      </c>
      <c r="I554" s="134" t="s">
        <v>142</v>
      </c>
      <c r="J554" s="134" t="s">
        <v>142</v>
      </c>
      <c r="K554" s="134" t="s">
        <v>142</v>
      </c>
      <c r="L554" s="134" t="s">
        <v>142</v>
      </c>
      <c r="M554" s="370"/>
      <c r="N554" s="137"/>
    </row>
    <row r="555" hidden="1" outlineLevel="1">
      <c r="A555" s="367" t="s">
        <v>2481</v>
      </c>
      <c r="B555" s="309">
        <v>46285.0</v>
      </c>
      <c r="C555" s="368" t="str">
        <f t="shared" si="61"/>
        <v>Sun</v>
      </c>
      <c r="D555" s="143">
        <f t="shared" si="62"/>
        <v>1</v>
      </c>
      <c r="E555" s="144" t="s">
        <v>142</v>
      </c>
      <c r="F555" s="134" t="s">
        <v>142</v>
      </c>
      <c r="G555" s="134" t="s">
        <v>142</v>
      </c>
      <c r="H555" s="134" t="s">
        <v>142</v>
      </c>
      <c r="I555" s="134" t="s">
        <v>142</v>
      </c>
      <c r="J555" s="134" t="s">
        <v>142</v>
      </c>
      <c r="K555" s="134" t="s">
        <v>142</v>
      </c>
      <c r="L555" s="134" t="s">
        <v>142</v>
      </c>
      <c r="M555" s="370"/>
      <c r="N555" s="137"/>
    </row>
    <row r="556" hidden="1" outlineLevel="1">
      <c r="A556" s="373"/>
      <c r="C556" s="374" t="s">
        <v>199</v>
      </c>
      <c r="D556" s="375">
        <f>AVERAGE(D541:D555)</f>
        <v>1</v>
      </c>
      <c r="E556" s="376"/>
      <c r="F556" s="373"/>
      <c r="G556" s="373"/>
      <c r="H556" s="373"/>
      <c r="I556" s="373"/>
      <c r="J556" s="373"/>
      <c r="K556" s="373"/>
      <c r="L556" s="374" t="s">
        <v>199</v>
      </c>
      <c r="M556" s="377">
        <f>SUM(M541:M555)/75*0.1</f>
        <v>0</v>
      </c>
      <c r="N556" s="373"/>
    </row>
    <row r="557" collapsed="1">
      <c r="A557" s="85" t="s">
        <v>493</v>
      </c>
      <c r="B557" s="86"/>
      <c r="C557" s="86"/>
      <c r="D557" s="359"/>
      <c r="E557" s="360"/>
      <c r="F557" s="361"/>
      <c r="G557" s="361"/>
      <c r="H557" s="361"/>
      <c r="I557" s="361"/>
      <c r="J557" s="361"/>
      <c r="K557" s="361"/>
      <c r="L557" s="361"/>
      <c r="M557" s="361"/>
      <c r="N557" s="361"/>
    </row>
    <row r="558" hidden="1" outlineLevel="1">
      <c r="A558" s="362" t="s">
        <v>89</v>
      </c>
      <c r="B558" s="363" t="s">
        <v>90</v>
      </c>
      <c r="C558" s="363" t="s">
        <v>91</v>
      </c>
      <c r="D558" s="364" t="s">
        <v>93</v>
      </c>
      <c r="E558" s="365" t="s">
        <v>94</v>
      </c>
      <c r="F558" s="365" t="s">
        <v>95</v>
      </c>
      <c r="G558" s="366" t="s">
        <v>96</v>
      </c>
      <c r="H558" s="366" t="s">
        <v>97</v>
      </c>
      <c r="I558" s="366" t="s">
        <v>104</v>
      </c>
      <c r="J558" s="366" t="s">
        <v>106</v>
      </c>
      <c r="K558" s="366" t="s">
        <v>109</v>
      </c>
      <c r="L558" s="366" t="s">
        <v>111</v>
      </c>
      <c r="M558" s="363" t="s">
        <v>114</v>
      </c>
      <c r="N558" s="363" t="s">
        <v>116</v>
      </c>
    </row>
    <row r="559" hidden="1" outlineLevel="1">
      <c r="A559" s="372" t="s">
        <v>2485</v>
      </c>
      <c r="B559" s="309">
        <v>46286.0</v>
      </c>
      <c r="C559" s="368" t="str">
        <f t="shared" ref="C559:C573" si="63">IF(B559="", "", TEXT(B559, "ddd"))</f>
        <v>Mon</v>
      </c>
      <c r="D559" s="143">
        <f t="shared" ref="D559:D573" si="64">IF(E559="Yes",0.05,0)
+IF(F559="Yes",0.1,0)
+IF(G559="Yes",0.15,0)
+IF(H559="Yes",0.15,0)
+IF(I559="Yes",0.05,0)
+IF(J559="Yes",0.05,0)
+IF(K559="Yes",0.15,0)
+IF(L559="Yes",0.3,0)
</f>
        <v>1</v>
      </c>
      <c r="E559" s="144" t="s">
        <v>142</v>
      </c>
      <c r="F559" s="134" t="s">
        <v>142</v>
      </c>
      <c r="G559" s="134" t="s">
        <v>142</v>
      </c>
      <c r="H559" s="134" t="s">
        <v>142</v>
      </c>
      <c r="I559" s="134" t="s">
        <v>142</v>
      </c>
      <c r="J559" s="134" t="s">
        <v>142</v>
      </c>
      <c r="K559" s="134" t="s">
        <v>142</v>
      </c>
      <c r="L559" s="134" t="s">
        <v>142</v>
      </c>
      <c r="M559" s="370"/>
      <c r="N559" s="137"/>
    </row>
    <row r="560" hidden="1" outlineLevel="1">
      <c r="A560" s="372" t="s">
        <v>2488</v>
      </c>
      <c r="B560" s="309">
        <v>46286.0</v>
      </c>
      <c r="C560" s="368" t="str">
        <f t="shared" si="63"/>
        <v>Mon</v>
      </c>
      <c r="D560" s="128">
        <f t="shared" si="64"/>
        <v>1</v>
      </c>
      <c r="E560" s="131" t="s">
        <v>142</v>
      </c>
      <c r="F560" s="134" t="s">
        <v>142</v>
      </c>
      <c r="G560" s="134" t="s">
        <v>142</v>
      </c>
      <c r="H560" s="134" t="s">
        <v>142</v>
      </c>
      <c r="I560" s="134" t="s">
        <v>142</v>
      </c>
      <c r="J560" s="134" t="s">
        <v>142</v>
      </c>
      <c r="K560" s="134" t="s">
        <v>142</v>
      </c>
      <c r="L560" s="134" t="s">
        <v>142</v>
      </c>
      <c r="M560" s="370"/>
      <c r="N560" s="137"/>
    </row>
    <row r="561" hidden="1" outlineLevel="1">
      <c r="A561" s="367" t="s">
        <v>2490</v>
      </c>
      <c r="B561" s="309">
        <v>46286.0</v>
      </c>
      <c r="C561" s="368" t="str">
        <f t="shared" si="63"/>
        <v>Mon</v>
      </c>
      <c r="D561" s="143">
        <f t="shared" si="64"/>
        <v>1</v>
      </c>
      <c r="E561" s="144" t="s">
        <v>142</v>
      </c>
      <c r="F561" s="134" t="s">
        <v>142</v>
      </c>
      <c r="G561" s="134" t="s">
        <v>142</v>
      </c>
      <c r="H561" s="134" t="s">
        <v>142</v>
      </c>
      <c r="I561" s="134" t="s">
        <v>142</v>
      </c>
      <c r="J561" s="134" t="s">
        <v>142</v>
      </c>
      <c r="K561" s="134" t="s">
        <v>142</v>
      </c>
      <c r="L561" s="134" t="s">
        <v>142</v>
      </c>
      <c r="M561" s="370"/>
      <c r="N561" s="137"/>
    </row>
    <row r="562" hidden="1" outlineLevel="1">
      <c r="A562" s="367" t="s">
        <v>2492</v>
      </c>
      <c r="B562" s="309">
        <v>46289.0</v>
      </c>
      <c r="C562" s="368" t="str">
        <f t="shared" si="63"/>
        <v>Thu</v>
      </c>
      <c r="D562" s="128">
        <f t="shared" si="64"/>
        <v>1</v>
      </c>
      <c r="E562" s="131" t="s">
        <v>142</v>
      </c>
      <c r="F562" s="134" t="s">
        <v>142</v>
      </c>
      <c r="G562" s="134" t="s">
        <v>142</v>
      </c>
      <c r="H562" s="134" t="s">
        <v>142</v>
      </c>
      <c r="I562" s="134" t="s">
        <v>142</v>
      </c>
      <c r="J562" s="134" t="s">
        <v>142</v>
      </c>
      <c r="K562" s="134" t="s">
        <v>142</v>
      </c>
      <c r="L562" s="134" t="s">
        <v>142</v>
      </c>
      <c r="M562" s="370"/>
      <c r="N562" s="137"/>
    </row>
    <row r="563" hidden="1" outlineLevel="1">
      <c r="A563" s="367" t="s">
        <v>2494</v>
      </c>
      <c r="B563" s="309">
        <v>46289.0</v>
      </c>
      <c r="C563" s="368" t="str">
        <f t="shared" si="63"/>
        <v>Thu</v>
      </c>
      <c r="D563" s="143">
        <f t="shared" si="64"/>
        <v>1</v>
      </c>
      <c r="E563" s="144" t="s">
        <v>142</v>
      </c>
      <c r="F563" s="134" t="s">
        <v>142</v>
      </c>
      <c r="G563" s="134" t="s">
        <v>142</v>
      </c>
      <c r="H563" s="134" t="s">
        <v>142</v>
      </c>
      <c r="I563" s="134" t="s">
        <v>142</v>
      </c>
      <c r="J563" s="134" t="s">
        <v>142</v>
      </c>
      <c r="K563" s="134" t="s">
        <v>142</v>
      </c>
      <c r="L563" s="134" t="s">
        <v>142</v>
      </c>
      <c r="M563" s="370"/>
      <c r="N563" s="137"/>
    </row>
    <row r="564" hidden="1" outlineLevel="1">
      <c r="A564" s="367" t="s">
        <v>2495</v>
      </c>
      <c r="B564" s="309">
        <v>46289.0</v>
      </c>
      <c r="C564" s="368" t="str">
        <f t="shared" si="63"/>
        <v>Thu</v>
      </c>
      <c r="D564" s="128">
        <f t="shared" si="64"/>
        <v>1</v>
      </c>
      <c r="E564" s="131" t="s">
        <v>142</v>
      </c>
      <c r="F564" s="134" t="s">
        <v>142</v>
      </c>
      <c r="G564" s="134" t="s">
        <v>142</v>
      </c>
      <c r="H564" s="134" t="s">
        <v>142</v>
      </c>
      <c r="I564" s="134" t="s">
        <v>142</v>
      </c>
      <c r="J564" s="134" t="s">
        <v>142</v>
      </c>
      <c r="K564" s="134" t="s">
        <v>142</v>
      </c>
      <c r="L564" s="134" t="s">
        <v>142</v>
      </c>
      <c r="M564" s="370"/>
      <c r="N564" s="137"/>
    </row>
    <row r="565" hidden="1" outlineLevel="1">
      <c r="A565" s="367" t="s">
        <v>2496</v>
      </c>
      <c r="B565" s="309">
        <v>46290.0</v>
      </c>
      <c r="C565" s="368" t="str">
        <f t="shared" si="63"/>
        <v>Fri</v>
      </c>
      <c r="D565" s="143">
        <f t="shared" si="64"/>
        <v>1</v>
      </c>
      <c r="E565" s="144" t="s">
        <v>142</v>
      </c>
      <c r="F565" s="134" t="s">
        <v>142</v>
      </c>
      <c r="G565" s="134" t="s">
        <v>142</v>
      </c>
      <c r="H565" s="134" t="s">
        <v>142</v>
      </c>
      <c r="I565" s="134" t="s">
        <v>142</v>
      </c>
      <c r="J565" s="134" t="s">
        <v>142</v>
      </c>
      <c r="K565" s="134" t="s">
        <v>142</v>
      </c>
      <c r="L565" s="134" t="s">
        <v>142</v>
      </c>
      <c r="M565" s="370"/>
      <c r="N565" s="137"/>
    </row>
    <row r="566" hidden="1" outlineLevel="1">
      <c r="A566" s="367" t="s">
        <v>2497</v>
      </c>
      <c r="B566" s="309">
        <v>46290.0</v>
      </c>
      <c r="C566" s="368" t="str">
        <f t="shared" si="63"/>
        <v>Fri</v>
      </c>
      <c r="D566" s="128">
        <f t="shared" si="64"/>
        <v>1</v>
      </c>
      <c r="E566" s="131" t="s">
        <v>142</v>
      </c>
      <c r="F566" s="134" t="s">
        <v>142</v>
      </c>
      <c r="G566" s="134" t="s">
        <v>142</v>
      </c>
      <c r="H566" s="134" t="s">
        <v>142</v>
      </c>
      <c r="I566" s="134" t="s">
        <v>142</v>
      </c>
      <c r="J566" s="134" t="s">
        <v>142</v>
      </c>
      <c r="K566" s="134" t="s">
        <v>142</v>
      </c>
      <c r="L566" s="134" t="s">
        <v>142</v>
      </c>
      <c r="M566" s="370"/>
      <c r="N566" s="137"/>
    </row>
    <row r="567" hidden="1" outlineLevel="1">
      <c r="A567" s="367" t="s">
        <v>2499</v>
      </c>
      <c r="B567" s="309">
        <v>46290.0</v>
      </c>
      <c r="C567" s="368" t="str">
        <f t="shared" si="63"/>
        <v>Fri</v>
      </c>
      <c r="D567" s="143">
        <f t="shared" si="64"/>
        <v>1</v>
      </c>
      <c r="E567" s="144" t="s">
        <v>142</v>
      </c>
      <c r="F567" s="134" t="s">
        <v>142</v>
      </c>
      <c r="G567" s="134" t="s">
        <v>142</v>
      </c>
      <c r="H567" s="134" t="s">
        <v>142</v>
      </c>
      <c r="I567" s="134" t="s">
        <v>142</v>
      </c>
      <c r="J567" s="134" t="s">
        <v>142</v>
      </c>
      <c r="K567" s="134" t="s">
        <v>142</v>
      </c>
      <c r="L567" s="134" t="s">
        <v>142</v>
      </c>
      <c r="M567" s="370"/>
      <c r="N567" s="137"/>
    </row>
    <row r="568" hidden="1" outlineLevel="1">
      <c r="A568" s="367" t="s">
        <v>2500</v>
      </c>
      <c r="B568" s="309">
        <v>46291.0</v>
      </c>
      <c r="C568" s="368" t="str">
        <f t="shared" si="63"/>
        <v>Sat</v>
      </c>
      <c r="D568" s="128">
        <f t="shared" si="64"/>
        <v>1</v>
      </c>
      <c r="E568" s="131" t="s">
        <v>142</v>
      </c>
      <c r="F568" s="134" t="s">
        <v>142</v>
      </c>
      <c r="G568" s="134" t="s">
        <v>142</v>
      </c>
      <c r="H568" s="134" t="s">
        <v>142</v>
      </c>
      <c r="I568" s="134" t="s">
        <v>142</v>
      </c>
      <c r="J568" s="134" t="s">
        <v>142</v>
      </c>
      <c r="K568" s="134" t="s">
        <v>142</v>
      </c>
      <c r="L568" s="134" t="s">
        <v>142</v>
      </c>
      <c r="M568" s="370"/>
      <c r="N568" s="137"/>
    </row>
    <row r="569" hidden="1" outlineLevel="1">
      <c r="A569" s="367" t="s">
        <v>2502</v>
      </c>
      <c r="B569" s="309">
        <v>46291.0</v>
      </c>
      <c r="C569" s="368" t="str">
        <f t="shared" si="63"/>
        <v>Sat</v>
      </c>
      <c r="D569" s="143">
        <f t="shared" si="64"/>
        <v>1</v>
      </c>
      <c r="E569" s="144" t="s">
        <v>142</v>
      </c>
      <c r="F569" s="134" t="s">
        <v>142</v>
      </c>
      <c r="G569" s="134" t="s">
        <v>142</v>
      </c>
      <c r="H569" s="134" t="s">
        <v>142</v>
      </c>
      <c r="I569" s="134" t="s">
        <v>142</v>
      </c>
      <c r="J569" s="134" t="s">
        <v>142</v>
      </c>
      <c r="K569" s="134" t="s">
        <v>142</v>
      </c>
      <c r="L569" s="134" t="s">
        <v>142</v>
      </c>
      <c r="M569" s="370"/>
      <c r="N569" s="137"/>
    </row>
    <row r="570" hidden="1" outlineLevel="1">
      <c r="A570" s="367" t="s">
        <v>2504</v>
      </c>
      <c r="B570" s="309">
        <v>46291.0</v>
      </c>
      <c r="C570" s="368" t="str">
        <f t="shared" si="63"/>
        <v>Sat</v>
      </c>
      <c r="D570" s="128">
        <f t="shared" si="64"/>
        <v>1</v>
      </c>
      <c r="E570" s="131" t="s">
        <v>142</v>
      </c>
      <c r="F570" s="134" t="s">
        <v>142</v>
      </c>
      <c r="G570" s="134" t="s">
        <v>142</v>
      </c>
      <c r="H570" s="134" t="s">
        <v>142</v>
      </c>
      <c r="I570" s="134" t="s">
        <v>142</v>
      </c>
      <c r="J570" s="134" t="s">
        <v>142</v>
      </c>
      <c r="K570" s="134" t="s">
        <v>142</v>
      </c>
      <c r="L570" s="134" t="s">
        <v>142</v>
      </c>
      <c r="M570" s="370"/>
      <c r="N570" s="137"/>
    </row>
    <row r="571" hidden="1" outlineLevel="1">
      <c r="A571" s="367" t="s">
        <v>2505</v>
      </c>
      <c r="B571" s="309">
        <v>46292.0</v>
      </c>
      <c r="C571" s="368" t="str">
        <f t="shared" si="63"/>
        <v>Sun</v>
      </c>
      <c r="D571" s="143">
        <f t="shared" si="64"/>
        <v>1</v>
      </c>
      <c r="E571" s="144" t="s">
        <v>142</v>
      </c>
      <c r="F571" s="134" t="s">
        <v>142</v>
      </c>
      <c r="G571" s="134" t="s">
        <v>142</v>
      </c>
      <c r="H571" s="134" t="s">
        <v>142</v>
      </c>
      <c r="I571" s="134" t="s">
        <v>142</v>
      </c>
      <c r="J571" s="134" t="s">
        <v>142</v>
      </c>
      <c r="K571" s="134" t="s">
        <v>142</v>
      </c>
      <c r="L571" s="134" t="s">
        <v>142</v>
      </c>
      <c r="M571" s="370"/>
      <c r="N571" s="137"/>
    </row>
    <row r="572" hidden="1" outlineLevel="1">
      <c r="A572" s="367" t="s">
        <v>2506</v>
      </c>
      <c r="B572" s="309">
        <v>46292.0</v>
      </c>
      <c r="C572" s="368" t="str">
        <f t="shared" si="63"/>
        <v>Sun</v>
      </c>
      <c r="D572" s="128">
        <f t="shared" si="64"/>
        <v>1</v>
      </c>
      <c r="E572" s="131" t="s">
        <v>142</v>
      </c>
      <c r="F572" s="134" t="s">
        <v>142</v>
      </c>
      <c r="G572" s="134" t="s">
        <v>142</v>
      </c>
      <c r="H572" s="134" t="s">
        <v>142</v>
      </c>
      <c r="I572" s="134" t="s">
        <v>142</v>
      </c>
      <c r="J572" s="134" t="s">
        <v>142</v>
      </c>
      <c r="K572" s="134" t="s">
        <v>142</v>
      </c>
      <c r="L572" s="134" t="s">
        <v>142</v>
      </c>
      <c r="M572" s="370"/>
      <c r="N572" s="137"/>
    </row>
    <row r="573" hidden="1" outlineLevel="1">
      <c r="A573" s="367" t="s">
        <v>2508</v>
      </c>
      <c r="B573" s="309">
        <v>46292.0</v>
      </c>
      <c r="C573" s="368" t="str">
        <f t="shared" si="63"/>
        <v>Sun</v>
      </c>
      <c r="D573" s="143">
        <f t="shared" si="64"/>
        <v>1</v>
      </c>
      <c r="E573" s="144" t="s">
        <v>142</v>
      </c>
      <c r="F573" s="134" t="s">
        <v>142</v>
      </c>
      <c r="G573" s="134" t="s">
        <v>142</v>
      </c>
      <c r="H573" s="134" t="s">
        <v>142</v>
      </c>
      <c r="I573" s="134" t="s">
        <v>142</v>
      </c>
      <c r="J573" s="134" t="s">
        <v>142</v>
      </c>
      <c r="K573" s="134" t="s">
        <v>142</v>
      </c>
      <c r="L573" s="134" t="s">
        <v>142</v>
      </c>
      <c r="M573" s="370"/>
      <c r="N573" s="137"/>
    </row>
    <row r="574" hidden="1" outlineLevel="1">
      <c r="A574" s="373"/>
      <c r="B574" s="373"/>
      <c r="C574" s="374" t="s">
        <v>199</v>
      </c>
      <c r="D574" s="375">
        <f>AVERAGE(D559:D573)</f>
        <v>1</v>
      </c>
      <c r="E574" s="376"/>
      <c r="F574" s="373"/>
      <c r="G574" s="373"/>
      <c r="H574" s="373"/>
      <c r="I574" s="373"/>
      <c r="J574" s="373"/>
      <c r="K574" s="373"/>
      <c r="L574" s="374" t="s">
        <v>199</v>
      </c>
      <c r="M574" s="377">
        <f>SUM(M559:M573)/75*0.1</f>
        <v>0</v>
      </c>
      <c r="N574" s="373"/>
    </row>
    <row r="575" collapsed="1">
      <c r="A575" s="85" t="s">
        <v>514</v>
      </c>
      <c r="B575" s="86"/>
      <c r="C575" s="86"/>
      <c r="D575" s="359"/>
      <c r="E575" s="360"/>
      <c r="F575" s="361"/>
      <c r="G575" s="361"/>
      <c r="H575" s="361"/>
      <c r="I575" s="361"/>
      <c r="J575" s="361"/>
      <c r="K575" s="361"/>
      <c r="L575" s="361"/>
      <c r="M575" s="361"/>
      <c r="N575" s="361"/>
    </row>
    <row r="576" hidden="1" outlineLevel="1">
      <c r="A576" s="362" t="s">
        <v>89</v>
      </c>
      <c r="B576" s="363" t="s">
        <v>90</v>
      </c>
      <c r="C576" s="363" t="s">
        <v>91</v>
      </c>
      <c r="D576" s="364" t="s">
        <v>93</v>
      </c>
      <c r="E576" s="365" t="s">
        <v>94</v>
      </c>
      <c r="F576" s="365" t="s">
        <v>95</v>
      </c>
      <c r="G576" s="366" t="s">
        <v>96</v>
      </c>
      <c r="H576" s="366" t="s">
        <v>97</v>
      </c>
      <c r="I576" s="366" t="s">
        <v>104</v>
      </c>
      <c r="J576" s="366" t="s">
        <v>106</v>
      </c>
      <c r="K576" s="366" t="s">
        <v>109</v>
      </c>
      <c r="L576" s="366" t="s">
        <v>111</v>
      </c>
      <c r="M576" s="363" t="s">
        <v>114</v>
      </c>
      <c r="N576" s="363" t="s">
        <v>116</v>
      </c>
    </row>
    <row r="577" hidden="1" outlineLevel="1">
      <c r="A577" s="372" t="s">
        <v>2509</v>
      </c>
      <c r="B577" s="309">
        <v>46293.0</v>
      </c>
      <c r="C577" s="368" t="str">
        <f t="shared" ref="C577:C591" si="65">IF(B577="", "", TEXT(B577, "ddd"))</f>
        <v>Mon</v>
      </c>
      <c r="D577" s="143">
        <f t="shared" ref="D577:D591" si="66">IF(E577="Yes",0.05,0)
+IF(F577="Yes",0.1,0)
+IF(G577="Yes",0.15,0)
+IF(H577="Yes",0.15,0)
+IF(I577="Yes",0.05,0)
+IF(J577="Yes",0.05,0)
+IF(K577="Yes",0.15,0)
+IF(L577="Yes",0.3,0)
</f>
        <v>1</v>
      </c>
      <c r="E577" s="144" t="s">
        <v>142</v>
      </c>
      <c r="F577" s="134" t="s">
        <v>142</v>
      </c>
      <c r="G577" s="134" t="s">
        <v>142</v>
      </c>
      <c r="H577" s="134" t="s">
        <v>142</v>
      </c>
      <c r="I577" s="134" t="s">
        <v>142</v>
      </c>
      <c r="J577" s="134" t="s">
        <v>142</v>
      </c>
      <c r="K577" s="134" t="s">
        <v>142</v>
      </c>
      <c r="L577" s="134" t="s">
        <v>142</v>
      </c>
      <c r="M577" s="370"/>
      <c r="N577" s="137"/>
    </row>
    <row r="578" hidden="1" outlineLevel="1">
      <c r="A578" s="372" t="s">
        <v>2510</v>
      </c>
      <c r="B578" s="309">
        <v>46293.0</v>
      </c>
      <c r="C578" s="368" t="str">
        <f t="shared" si="65"/>
        <v>Mon</v>
      </c>
      <c r="D578" s="128">
        <f t="shared" si="66"/>
        <v>1</v>
      </c>
      <c r="E578" s="131" t="s">
        <v>142</v>
      </c>
      <c r="F578" s="134" t="s">
        <v>142</v>
      </c>
      <c r="G578" s="134" t="s">
        <v>142</v>
      </c>
      <c r="H578" s="134" t="s">
        <v>142</v>
      </c>
      <c r="I578" s="134" t="s">
        <v>142</v>
      </c>
      <c r="J578" s="134" t="s">
        <v>142</v>
      </c>
      <c r="K578" s="134" t="s">
        <v>142</v>
      </c>
      <c r="L578" s="134" t="s">
        <v>142</v>
      </c>
      <c r="M578" s="370"/>
      <c r="N578" s="137"/>
    </row>
    <row r="579" hidden="1" outlineLevel="1">
      <c r="A579" s="372" t="s">
        <v>2512</v>
      </c>
      <c r="B579" s="309">
        <v>46293.0</v>
      </c>
      <c r="C579" s="368" t="str">
        <f t="shared" si="65"/>
        <v>Mon</v>
      </c>
      <c r="D579" s="143">
        <f t="shared" si="66"/>
        <v>1</v>
      </c>
      <c r="E579" s="144" t="s">
        <v>142</v>
      </c>
      <c r="F579" s="134" t="s">
        <v>142</v>
      </c>
      <c r="G579" s="134" t="s">
        <v>142</v>
      </c>
      <c r="H579" s="134" t="s">
        <v>142</v>
      </c>
      <c r="I579" s="134" t="s">
        <v>142</v>
      </c>
      <c r="J579" s="134" t="s">
        <v>142</v>
      </c>
      <c r="K579" s="134" t="s">
        <v>142</v>
      </c>
      <c r="L579" s="134" t="s">
        <v>142</v>
      </c>
      <c r="M579" s="370"/>
      <c r="N579" s="137"/>
    </row>
    <row r="580" hidden="1" outlineLevel="1">
      <c r="A580" s="372" t="s">
        <v>2514</v>
      </c>
      <c r="B580" s="309">
        <v>46294.0</v>
      </c>
      <c r="C580" s="368" t="str">
        <f t="shared" si="65"/>
        <v>Tue</v>
      </c>
      <c r="D580" s="128">
        <f t="shared" si="66"/>
        <v>1</v>
      </c>
      <c r="E580" s="131" t="s">
        <v>142</v>
      </c>
      <c r="F580" s="134" t="s">
        <v>142</v>
      </c>
      <c r="G580" s="134" t="s">
        <v>142</v>
      </c>
      <c r="H580" s="134" t="s">
        <v>142</v>
      </c>
      <c r="I580" s="134" t="s">
        <v>142</v>
      </c>
      <c r="J580" s="134" t="s">
        <v>142</v>
      </c>
      <c r="K580" s="134" t="s">
        <v>142</v>
      </c>
      <c r="L580" s="134" t="s">
        <v>142</v>
      </c>
      <c r="M580" s="370"/>
      <c r="N580" s="137"/>
    </row>
    <row r="581" hidden="1" outlineLevel="1">
      <c r="A581" s="372" t="s">
        <v>2516</v>
      </c>
      <c r="B581" s="309">
        <v>46294.0</v>
      </c>
      <c r="C581" s="368" t="str">
        <f t="shared" si="65"/>
        <v>Tue</v>
      </c>
      <c r="D581" s="143">
        <f t="shared" si="66"/>
        <v>1</v>
      </c>
      <c r="E581" s="144" t="s">
        <v>142</v>
      </c>
      <c r="F581" s="134" t="s">
        <v>142</v>
      </c>
      <c r="G581" s="134" t="s">
        <v>142</v>
      </c>
      <c r="H581" s="134" t="s">
        <v>142</v>
      </c>
      <c r="I581" s="134" t="s">
        <v>142</v>
      </c>
      <c r="J581" s="134" t="s">
        <v>142</v>
      </c>
      <c r="K581" s="134" t="s">
        <v>142</v>
      </c>
      <c r="L581" s="134" t="s">
        <v>142</v>
      </c>
      <c r="M581" s="370"/>
      <c r="N581" s="137"/>
    </row>
    <row r="582" hidden="1" outlineLevel="1">
      <c r="A582" s="372" t="s">
        <v>2518</v>
      </c>
      <c r="B582" s="309">
        <v>46294.0</v>
      </c>
      <c r="C582" s="368" t="str">
        <f t="shared" si="65"/>
        <v>Tue</v>
      </c>
      <c r="D582" s="128">
        <f t="shared" si="66"/>
        <v>1</v>
      </c>
      <c r="E582" s="131" t="s">
        <v>142</v>
      </c>
      <c r="F582" s="134" t="s">
        <v>142</v>
      </c>
      <c r="G582" s="134" t="s">
        <v>142</v>
      </c>
      <c r="H582" s="134" t="s">
        <v>142</v>
      </c>
      <c r="I582" s="134" t="s">
        <v>142</v>
      </c>
      <c r="J582" s="134" t="s">
        <v>142</v>
      </c>
      <c r="K582" s="134" t="s">
        <v>142</v>
      </c>
      <c r="L582" s="134" t="s">
        <v>142</v>
      </c>
      <c r="M582" s="370"/>
      <c r="N582" s="137"/>
    </row>
    <row r="583" hidden="1" outlineLevel="1">
      <c r="A583" s="372" t="s">
        <v>2520</v>
      </c>
      <c r="B583" s="309">
        <v>46297.0</v>
      </c>
      <c r="C583" s="368" t="str">
        <f t="shared" si="65"/>
        <v>Fri</v>
      </c>
      <c r="D583" s="143">
        <f t="shared" si="66"/>
        <v>1</v>
      </c>
      <c r="E583" s="144" t="s">
        <v>142</v>
      </c>
      <c r="F583" s="134" t="s">
        <v>142</v>
      </c>
      <c r="G583" s="134" t="s">
        <v>142</v>
      </c>
      <c r="H583" s="134" t="s">
        <v>142</v>
      </c>
      <c r="I583" s="134" t="s">
        <v>142</v>
      </c>
      <c r="J583" s="134" t="s">
        <v>142</v>
      </c>
      <c r="K583" s="134" t="s">
        <v>142</v>
      </c>
      <c r="L583" s="134" t="s">
        <v>142</v>
      </c>
      <c r="M583" s="370"/>
      <c r="N583" s="137"/>
    </row>
    <row r="584" hidden="1" outlineLevel="1">
      <c r="A584" s="372" t="s">
        <v>2522</v>
      </c>
      <c r="B584" s="309">
        <v>46297.0</v>
      </c>
      <c r="C584" s="368" t="str">
        <f t="shared" si="65"/>
        <v>Fri</v>
      </c>
      <c r="D584" s="128">
        <f t="shared" si="66"/>
        <v>1</v>
      </c>
      <c r="E584" s="131" t="s">
        <v>142</v>
      </c>
      <c r="F584" s="134" t="s">
        <v>142</v>
      </c>
      <c r="G584" s="134" t="s">
        <v>142</v>
      </c>
      <c r="H584" s="134" t="s">
        <v>142</v>
      </c>
      <c r="I584" s="134" t="s">
        <v>142</v>
      </c>
      <c r="J584" s="134" t="s">
        <v>142</v>
      </c>
      <c r="K584" s="134" t="s">
        <v>142</v>
      </c>
      <c r="L584" s="134" t="s">
        <v>142</v>
      </c>
      <c r="M584" s="370"/>
      <c r="N584" s="137"/>
    </row>
    <row r="585" hidden="1" outlineLevel="1">
      <c r="A585" s="372" t="s">
        <v>2523</v>
      </c>
      <c r="B585" s="309">
        <v>46297.0</v>
      </c>
      <c r="C585" s="368" t="str">
        <f t="shared" si="65"/>
        <v>Fri</v>
      </c>
      <c r="D585" s="143">
        <f t="shared" si="66"/>
        <v>1</v>
      </c>
      <c r="E585" s="144" t="s">
        <v>142</v>
      </c>
      <c r="F585" s="134" t="s">
        <v>142</v>
      </c>
      <c r="G585" s="134" t="s">
        <v>142</v>
      </c>
      <c r="H585" s="134" t="s">
        <v>142</v>
      </c>
      <c r="I585" s="134" t="s">
        <v>142</v>
      </c>
      <c r="J585" s="134" t="s">
        <v>142</v>
      </c>
      <c r="K585" s="134" t="s">
        <v>142</v>
      </c>
      <c r="L585" s="134" t="s">
        <v>142</v>
      </c>
      <c r="M585" s="370"/>
      <c r="N585" s="137"/>
    </row>
    <row r="586" hidden="1" outlineLevel="1">
      <c r="A586" s="367" t="s">
        <v>2524</v>
      </c>
      <c r="B586" s="309">
        <v>46298.0</v>
      </c>
      <c r="C586" s="368" t="str">
        <f t="shared" si="65"/>
        <v>Sat</v>
      </c>
      <c r="D586" s="128">
        <f t="shared" si="66"/>
        <v>1</v>
      </c>
      <c r="E586" s="131" t="s">
        <v>142</v>
      </c>
      <c r="F586" s="134" t="s">
        <v>142</v>
      </c>
      <c r="G586" s="134" t="s">
        <v>142</v>
      </c>
      <c r="H586" s="134" t="s">
        <v>142</v>
      </c>
      <c r="I586" s="134" t="s">
        <v>142</v>
      </c>
      <c r="J586" s="134" t="s">
        <v>142</v>
      </c>
      <c r="K586" s="134" t="s">
        <v>142</v>
      </c>
      <c r="L586" s="134" t="s">
        <v>142</v>
      </c>
      <c r="M586" s="370"/>
      <c r="N586" s="137"/>
    </row>
    <row r="587" hidden="1" outlineLevel="1">
      <c r="A587" s="367" t="s">
        <v>2525</v>
      </c>
      <c r="B587" s="309">
        <v>46298.0</v>
      </c>
      <c r="C587" s="368" t="str">
        <f t="shared" si="65"/>
        <v>Sat</v>
      </c>
      <c r="D587" s="143">
        <f t="shared" si="66"/>
        <v>1</v>
      </c>
      <c r="E587" s="144" t="s">
        <v>142</v>
      </c>
      <c r="F587" s="134" t="s">
        <v>142</v>
      </c>
      <c r="G587" s="134" t="s">
        <v>142</v>
      </c>
      <c r="H587" s="134" t="s">
        <v>142</v>
      </c>
      <c r="I587" s="134" t="s">
        <v>142</v>
      </c>
      <c r="J587" s="134" t="s">
        <v>142</v>
      </c>
      <c r="K587" s="134" t="s">
        <v>142</v>
      </c>
      <c r="L587" s="134" t="s">
        <v>142</v>
      </c>
      <c r="M587" s="370"/>
      <c r="N587" s="137"/>
    </row>
    <row r="588" hidden="1" outlineLevel="1">
      <c r="A588" s="367" t="s">
        <v>2526</v>
      </c>
      <c r="B588" s="309">
        <v>46298.0</v>
      </c>
      <c r="C588" s="368" t="str">
        <f t="shared" si="65"/>
        <v>Sat</v>
      </c>
      <c r="D588" s="128">
        <f t="shared" si="66"/>
        <v>1</v>
      </c>
      <c r="E588" s="131" t="s">
        <v>142</v>
      </c>
      <c r="F588" s="134" t="s">
        <v>142</v>
      </c>
      <c r="G588" s="134" t="s">
        <v>142</v>
      </c>
      <c r="H588" s="134" t="s">
        <v>142</v>
      </c>
      <c r="I588" s="134" t="s">
        <v>142</v>
      </c>
      <c r="J588" s="134" t="s">
        <v>142</v>
      </c>
      <c r="K588" s="134" t="s">
        <v>142</v>
      </c>
      <c r="L588" s="134" t="s">
        <v>142</v>
      </c>
      <c r="M588" s="370"/>
      <c r="N588" s="137"/>
    </row>
    <row r="589" hidden="1" outlineLevel="1">
      <c r="A589" s="367" t="s">
        <v>2527</v>
      </c>
      <c r="B589" s="309">
        <v>46299.0</v>
      </c>
      <c r="C589" s="368" t="str">
        <f t="shared" si="65"/>
        <v>Sun</v>
      </c>
      <c r="D589" s="143">
        <f t="shared" si="66"/>
        <v>1</v>
      </c>
      <c r="E589" s="144" t="s">
        <v>142</v>
      </c>
      <c r="F589" s="134" t="s">
        <v>142</v>
      </c>
      <c r="G589" s="134" t="s">
        <v>142</v>
      </c>
      <c r="H589" s="134" t="s">
        <v>142</v>
      </c>
      <c r="I589" s="134" t="s">
        <v>142</v>
      </c>
      <c r="J589" s="134" t="s">
        <v>142</v>
      </c>
      <c r="K589" s="134" t="s">
        <v>142</v>
      </c>
      <c r="L589" s="134" t="s">
        <v>142</v>
      </c>
      <c r="M589" s="370"/>
      <c r="N589" s="137"/>
    </row>
    <row r="590" hidden="1" outlineLevel="1">
      <c r="A590" s="367" t="s">
        <v>2528</v>
      </c>
      <c r="B590" s="309">
        <v>46299.0</v>
      </c>
      <c r="C590" s="368" t="str">
        <f t="shared" si="65"/>
        <v>Sun</v>
      </c>
      <c r="D590" s="128">
        <f t="shared" si="66"/>
        <v>1</v>
      </c>
      <c r="E590" s="131" t="s">
        <v>142</v>
      </c>
      <c r="F590" s="134" t="s">
        <v>142</v>
      </c>
      <c r="G590" s="134" t="s">
        <v>142</v>
      </c>
      <c r="H590" s="134" t="s">
        <v>142</v>
      </c>
      <c r="I590" s="134" t="s">
        <v>142</v>
      </c>
      <c r="J590" s="134" t="s">
        <v>142</v>
      </c>
      <c r="K590" s="134" t="s">
        <v>142</v>
      </c>
      <c r="L590" s="134" t="s">
        <v>142</v>
      </c>
      <c r="M590" s="370"/>
      <c r="N590" s="137"/>
    </row>
    <row r="591" hidden="1" outlineLevel="1">
      <c r="A591" s="367" t="s">
        <v>2529</v>
      </c>
      <c r="B591" s="309">
        <v>46299.0</v>
      </c>
      <c r="C591" s="368" t="str">
        <f t="shared" si="65"/>
        <v>Sun</v>
      </c>
      <c r="D591" s="143">
        <f t="shared" si="66"/>
        <v>1</v>
      </c>
      <c r="E591" s="144" t="s">
        <v>142</v>
      </c>
      <c r="F591" s="134" t="s">
        <v>142</v>
      </c>
      <c r="G591" s="134" t="s">
        <v>142</v>
      </c>
      <c r="H591" s="134" t="s">
        <v>142</v>
      </c>
      <c r="I591" s="134" t="s">
        <v>142</v>
      </c>
      <c r="J591" s="134" t="s">
        <v>142</v>
      </c>
      <c r="K591" s="134" t="s">
        <v>142</v>
      </c>
      <c r="L591" s="134" t="s">
        <v>142</v>
      </c>
      <c r="M591" s="370"/>
      <c r="N591" s="137"/>
    </row>
    <row r="592" hidden="1" outlineLevel="1">
      <c r="A592" s="373"/>
      <c r="B592" s="373"/>
      <c r="C592" s="374" t="s">
        <v>199</v>
      </c>
      <c r="D592" s="375">
        <f>AVERAGE(D577:D591)</f>
        <v>1</v>
      </c>
      <c r="E592" s="376"/>
      <c r="F592" s="373"/>
      <c r="G592" s="373"/>
      <c r="H592" s="373"/>
      <c r="I592" s="373"/>
      <c r="J592" s="373"/>
      <c r="K592" s="373"/>
      <c r="L592" s="374" t="s">
        <v>199</v>
      </c>
      <c r="M592" s="377">
        <f>SUM(M577:M591)/75*0.1</f>
        <v>0</v>
      </c>
      <c r="N592" s="373"/>
    </row>
    <row r="593">
      <c r="A593" s="85" t="s">
        <v>537</v>
      </c>
      <c r="B593" s="86"/>
      <c r="C593" s="86"/>
      <c r="D593" s="359"/>
      <c r="E593" s="391"/>
      <c r="F593" s="376"/>
      <c r="G593" s="376"/>
      <c r="H593" s="376"/>
      <c r="I593" s="376"/>
      <c r="J593" s="376"/>
      <c r="K593" s="376"/>
      <c r="L593" s="376"/>
      <c r="M593" s="376"/>
      <c r="N593" s="376"/>
    </row>
    <row r="594" outlineLevel="1">
      <c r="A594" s="425" t="s">
        <v>89</v>
      </c>
      <c r="B594" s="392" t="s">
        <v>90</v>
      </c>
      <c r="C594" s="392" t="s">
        <v>91</v>
      </c>
      <c r="D594" s="393" t="s">
        <v>93</v>
      </c>
      <c r="E594" s="394" t="s">
        <v>94</v>
      </c>
      <c r="F594" s="395" t="s">
        <v>95</v>
      </c>
      <c r="G594" s="396" t="s">
        <v>96</v>
      </c>
      <c r="H594" s="396" t="s">
        <v>97</v>
      </c>
      <c r="I594" s="396" t="s">
        <v>104</v>
      </c>
      <c r="J594" s="396" t="s">
        <v>106</v>
      </c>
      <c r="K594" s="396" t="s">
        <v>109</v>
      </c>
      <c r="L594" s="396" t="s">
        <v>111</v>
      </c>
      <c r="M594" s="392" t="s">
        <v>114</v>
      </c>
      <c r="N594" s="392" t="s">
        <v>116</v>
      </c>
    </row>
    <row r="595" outlineLevel="1">
      <c r="A595" s="372" t="s">
        <v>2531</v>
      </c>
      <c r="B595" s="309">
        <v>46300.0</v>
      </c>
      <c r="C595" s="368" t="str">
        <f t="shared" ref="C595:C609" si="67">IF(B595="", "", TEXT(B595, "ddd"))</f>
        <v>Mon</v>
      </c>
      <c r="D595" s="143">
        <f t="shared" ref="D595:D609" si="68">IF(E595="Yes",0.05,0)
+IF(F595="Yes",0.1,0)
+IF(G595="Yes",0.15,0)
+IF(H595="Yes",0.15,0)
+IF(I595="Yes",0.05,0)
+IF(J595="Yes",0.05,0)
+IF(K595="Yes",0.15,0)
+IF(L595="Yes",0.3,0)
</f>
        <v>1</v>
      </c>
      <c r="E595" s="369" t="s">
        <v>142</v>
      </c>
      <c r="F595" s="7" t="s">
        <v>142</v>
      </c>
      <c r="G595" s="7" t="s">
        <v>142</v>
      </c>
      <c r="H595" s="7" t="s">
        <v>142</v>
      </c>
      <c r="I595" s="7" t="s">
        <v>142</v>
      </c>
      <c r="J595" s="7" t="s">
        <v>142</v>
      </c>
      <c r="K595" s="7" t="s">
        <v>142</v>
      </c>
      <c r="L595" s="7" t="s">
        <v>142</v>
      </c>
      <c r="M595" s="370"/>
      <c r="N595" s="137"/>
    </row>
    <row r="596" outlineLevel="1">
      <c r="A596" s="372" t="s">
        <v>2534</v>
      </c>
      <c r="B596" s="309">
        <v>46300.0</v>
      </c>
      <c r="C596" s="368" t="str">
        <f t="shared" si="67"/>
        <v>Mon</v>
      </c>
      <c r="D596" s="128">
        <f t="shared" si="68"/>
        <v>1</v>
      </c>
      <c r="E596" s="370" t="s">
        <v>142</v>
      </c>
      <c r="F596" s="7" t="s">
        <v>142</v>
      </c>
      <c r="G596" s="7" t="s">
        <v>142</v>
      </c>
      <c r="H596" s="7" t="s">
        <v>142</v>
      </c>
      <c r="I596" s="7" t="s">
        <v>142</v>
      </c>
      <c r="J596" s="7" t="s">
        <v>142</v>
      </c>
      <c r="K596" s="7" t="s">
        <v>142</v>
      </c>
      <c r="L596" s="7" t="s">
        <v>142</v>
      </c>
      <c r="M596" s="370"/>
      <c r="N596" s="137"/>
    </row>
    <row r="597" outlineLevel="1">
      <c r="A597" s="372" t="s">
        <v>2535</v>
      </c>
      <c r="B597" s="309">
        <v>46300.0</v>
      </c>
      <c r="C597" s="368" t="str">
        <f t="shared" si="67"/>
        <v>Mon</v>
      </c>
      <c r="D597" s="143">
        <f t="shared" si="68"/>
        <v>1</v>
      </c>
      <c r="E597" s="369" t="s">
        <v>142</v>
      </c>
      <c r="F597" s="7" t="s">
        <v>142</v>
      </c>
      <c r="G597" s="7" t="s">
        <v>142</v>
      </c>
      <c r="H597" s="7" t="s">
        <v>142</v>
      </c>
      <c r="I597" s="7" t="s">
        <v>142</v>
      </c>
      <c r="J597" s="7" t="s">
        <v>142</v>
      </c>
      <c r="K597" s="7" t="s">
        <v>142</v>
      </c>
      <c r="L597" s="7" t="s">
        <v>142</v>
      </c>
      <c r="M597" s="370"/>
      <c r="N597" s="137"/>
    </row>
    <row r="598" outlineLevel="1">
      <c r="A598" s="372" t="s">
        <v>2537</v>
      </c>
      <c r="B598" s="309">
        <v>46303.0</v>
      </c>
      <c r="C598" s="368" t="str">
        <f t="shared" si="67"/>
        <v>Thu</v>
      </c>
      <c r="D598" s="128">
        <f t="shared" si="68"/>
        <v>1</v>
      </c>
      <c r="E598" s="370" t="s">
        <v>142</v>
      </c>
      <c r="F598" s="7" t="s">
        <v>142</v>
      </c>
      <c r="G598" s="7" t="s">
        <v>142</v>
      </c>
      <c r="H598" s="7" t="s">
        <v>142</v>
      </c>
      <c r="I598" s="7" t="s">
        <v>142</v>
      </c>
      <c r="J598" s="7" t="s">
        <v>142</v>
      </c>
      <c r="K598" s="7" t="s">
        <v>142</v>
      </c>
      <c r="L598" s="7" t="s">
        <v>142</v>
      </c>
      <c r="M598" s="370"/>
      <c r="N598" s="137"/>
    </row>
    <row r="599" outlineLevel="1">
      <c r="A599" s="372" t="s">
        <v>2539</v>
      </c>
      <c r="B599" s="309">
        <v>46303.0</v>
      </c>
      <c r="C599" s="368" t="str">
        <f t="shared" si="67"/>
        <v>Thu</v>
      </c>
      <c r="D599" s="143">
        <f t="shared" si="68"/>
        <v>1</v>
      </c>
      <c r="E599" s="369" t="s">
        <v>142</v>
      </c>
      <c r="F599" s="7" t="s">
        <v>142</v>
      </c>
      <c r="G599" s="7" t="s">
        <v>142</v>
      </c>
      <c r="H599" s="7" t="s">
        <v>142</v>
      </c>
      <c r="I599" s="7" t="s">
        <v>142</v>
      </c>
      <c r="J599" s="7" t="s">
        <v>142</v>
      </c>
      <c r="K599" s="7" t="s">
        <v>142</v>
      </c>
      <c r="L599" s="7" t="s">
        <v>142</v>
      </c>
      <c r="M599" s="370"/>
      <c r="N599" s="137"/>
    </row>
    <row r="600" outlineLevel="1">
      <c r="A600" s="372" t="s">
        <v>2540</v>
      </c>
      <c r="B600" s="309">
        <v>46303.0</v>
      </c>
      <c r="C600" s="368" t="str">
        <f t="shared" si="67"/>
        <v>Thu</v>
      </c>
      <c r="D600" s="128">
        <f t="shared" si="68"/>
        <v>1</v>
      </c>
      <c r="E600" s="370" t="s">
        <v>142</v>
      </c>
      <c r="F600" s="7" t="s">
        <v>142</v>
      </c>
      <c r="G600" s="7" t="s">
        <v>142</v>
      </c>
      <c r="H600" s="7" t="s">
        <v>142</v>
      </c>
      <c r="I600" s="7" t="s">
        <v>142</v>
      </c>
      <c r="J600" s="7" t="s">
        <v>142</v>
      </c>
      <c r="K600" s="7" t="s">
        <v>142</v>
      </c>
      <c r="L600" s="7" t="s">
        <v>142</v>
      </c>
      <c r="M600" s="370"/>
      <c r="N600" s="137"/>
    </row>
    <row r="601" outlineLevel="1">
      <c r="A601" s="372" t="s">
        <v>2541</v>
      </c>
      <c r="B601" s="309">
        <v>46304.0</v>
      </c>
      <c r="C601" s="368" t="str">
        <f t="shared" si="67"/>
        <v>Fri</v>
      </c>
      <c r="D601" s="143">
        <f t="shared" si="68"/>
        <v>1</v>
      </c>
      <c r="E601" s="369" t="s">
        <v>142</v>
      </c>
      <c r="F601" s="7" t="s">
        <v>142</v>
      </c>
      <c r="G601" s="7" t="s">
        <v>142</v>
      </c>
      <c r="H601" s="7" t="s">
        <v>142</v>
      </c>
      <c r="I601" s="7" t="s">
        <v>142</v>
      </c>
      <c r="J601" s="7" t="s">
        <v>142</v>
      </c>
      <c r="K601" s="7" t="s">
        <v>142</v>
      </c>
      <c r="L601" s="7" t="s">
        <v>142</v>
      </c>
      <c r="M601" s="370"/>
      <c r="N601" s="137"/>
    </row>
    <row r="602" outlineLevel="1">
      <c r="A602" s="372" t="s">
        <v>2543</v>
      </c>
      <c r="B602" s="309">
        <v>46304.0</v>
      </c>
      <c r="C602" s="368" t="str">
        <f t="shared" si="67"/>
        <v>Fri</v>
      </c>
      <c r="D602" s="128">
        <f t="shared" si="68"/>
        <v>1</v>
      </c>
      <c r="E602" s="370" t="s">
        <v>142</v>
      </c>
      <c r="F602" s="7" t="s">
        <v>142</v>
      </c>
      <c r="G602" s="7" t="s">
        <v>142</v>
      </c>
      <c r="H602" s="7" t="s">
        <v>142</v>
      </c>
      <c r="I602" s="7" t="s">
        <v>142</v>
      </c>
      <c r="J602" s="7" t="s">
        <v>142</v>
      </c>
      <c r="K602" s="7" t="s">
        <v>142</v>
      </c>
      <c r="L602" s="7" t="s">
        <v>142</v>
      </c>
      <c r="M602" s="370"/>
      <c r="N602" s="137"/>
    </row>
    <row r="603" outlineLevel="1">
      <c r="A603" s="372" t="s">
        <v>2544</v>
      </c>
      <c r="B603" s="309">
        <v>46304.0</v>
      </c>
      <c r="C603" s="368" t="str">
        <f t="shared" si="67"/>
        <v>Fri</v>
      </c>
      <c r="D603" s="143">
        <f t="shared" si="68"/>
        <v>1</v>
      </c>
      <c r="E603" s="369" t="s">
        <v>142</v>
      </c>
      <c r="F603" s="7" t="s">
        <v>142</v>
      </c>
      <c r="G603" s="7" t="s">
        <v>142</v>
      </c>
      <c r="H603" s="7" t="s">
        <v>142</v>
      </c>
      <c r="I603" s="7" t="s">
        <v>142</v>
      </c>
      <c r="J603" s="7" t="s">
        <v>142</v>
      </c>
      <c r="K603" s="7" t="s">
        <v>142</v>
      </c>
      <c r="L603" s="7" t="s">
        <v>142</v>
      </c>
      <c r="M603" s="370"/>
      <c r="N603" s="137"/>
    </row>
    <row r="604" outlineLevel="1">
      <c r="A604" s="372" t="s">
        <v>2546</v>
      </c>
      <c r="B604" s="309">
        <v>46305.0</v>
      </c>
      <c r="C604" s="368" t="str">
        <f t="shared" si="67"/>
        <v>Sat</v>
      </c>
      <c r="D604" s="128">
        <f t="shared" si="68"/>
        <v>1</v>
      </c>
      <c r="E604" s="370" t="s">
        <v>142</v>
      </c>
      <c r="F604" s="7" t="s">
        <v>142</v>
      </c>
      <c r="G604" s="7" t="s">
        <v>142</v>
      </c>
      <c r="H604" s="7" t="s">
        <v>142</v>
      </c>
      <c r="I604" s="7" t="s">
        <v>142</v>
      </c>
      <c r="J604" s="7" t="s">
        <v>142</v>
      </c>
      <c r="K604" s="7" t="s">
        <v>142</v>
      </c>
      <c r="L604" s="7" t="s">
        <v>142</v>
      </c>
      <c r="M604" s="370"/>
      <c r="N604" s="137"/>
    </row>
    <row r="605" outlineLevel="1">
      <c r="A605" s="372" t="s">
        <v>2547</v>
      </c>
      <c r="B605" s="309">
        <v>46305.0</v>
      </c>
      <c r="C605" s="368" t="str">
        <f t="shared" si="67"/>
        <v>Sat</v>
      </c>
      <c r="D605" s="143">
        <f t="shared" si="68"/>
        <v>1</v>
      </c>
      <c r="E605" s="369" t="s">
        <v>142</v>
      </c>
      <c r="F605" s="7" t="s">
        <v>142</v>
      </c>
      <c r="G605" s="7" t="s">
        <v>142</v>
      </c>
      <c r="H605" s="7" t="s">
        <v>142</v>
      </c>
      <c r="I605" s="7" t="s">
        <v>142</v>
      </c>
      <c r="J605" s="7" t="s">
        <v>142</v>
      </c>
      <c r="K605" s="7" t="s">
        <v>142</v>
      </c>
      <c r="L605" s="7" t="s">
        <v>142</v>
      </c>
      <c r="M605" s="370"/>
      <c r="N605" s="137"/>
    </row>
    <row r="606" outlineLevel="1">
      <c r="A606" s="372" t="s">
        <v>2550</v>
      </c>
      <c r="B606" s="309">
        <v>46305.0</v>
      </c>
      <c r="C606" s="368" t="str">
        <f t="shared" si="67"/>
        <v>Sat</v>
      </c>
      <c r="D606" s="128">
        <f t="shared" si="68"/>
        <v>1</v>
      </c>
      <c r="E606" s="370" t="s">
        <v>142</v>
      </c>
      <c r="F606" s="7" t="s">
        <v>142</v>
      </c>
      <c r="G606" s="7" t="s">
        <v>142</v>
      </c>
      <c r="H606" s="7" t="s">
        <v>142</v>
      </c>
      <c r="I606" s="7" t="s">
        <v>142</v>
      </c>
      <c r="J606" s="7" t="s">
        <v>142</v>
      </c>
      <c r="K606" s="7" t="s">
        <v>142</v>
      </c>
      <c r="L606" s="7" t="s">
        <v>142</v>
      </c>
      <c r="M606" s="370"/>
      <c r="N606" s="137"/>
    </row>
    <row r="607" outlineLevel="1">
      <c r="A607" s="367"/>
      <c r="B607" s="270"/>
      <c r="C607" s="368" t="str">
        <f t="shared" si="67"/>
        <v/>
      </c>
      <c r="D607" s="143">
        <f t="shared" si="68"/>
        <v>0</v>
      </c>
      <c r="E607" s="369"/>
      <c r="F607" s="7"/>
      <c r="G607" s="7"/>
      <c r="H607" s="7"/>
      <c r="I607" s="7"/>
      <c r="J607" s="7"/>
      <c r="K607" s="7"/>
      <c r="L607" s="7"/>
      <c r="M607" s="370"/>
      <c r="N607" s="137"/>
    </row>
    <row r="608" outlineLevel="1">
      <c r="A608" s="367"/>
      <c r="B608" s="270"/>
      <c r="C608" s="368" t="str">
        <f t="shared" si="67"/>
        <v/>
      </c>
      <c r="D608" s="128">
        <f t="shared" si="68"/>
        <v>0</v>
      </c>
      <c r="E608" s="370"/>
      <c r="F608" s="7"/>
      <c r="G608" s="7"/>
      <c r="H608" s="7"/>
      <c r="I608" s="7"/>
      <c r="J608" s="7"/>
      <c r="K608" s="7"/>
      <c r="L608" s="7"/>
      <c r="M608" s="370"/>
      <c r="N608" s="137"/>
    </row>
    <row r="609" outlineLevel="1">
      <c r="A609" s="367"/>
      <c r="B609" s="270"/>
      <c r="C609" s="368" t="str">
        <f t="shared" si="67"/>
        <v/>
      </c>
      <c r="D609" s="143">
        <f t="shared" si="68"/>
        <v>0</v>
      </c>
      <c r="E609" s="369"/>
      <c r="F609" s="7"/>
      <c r="G609" s="7"/>
      <c r="H609" s="7"/>
      <c r="I609" s="7"/>
      <c r="J609" s="7"/>
      <c r="K609" s="7"/>
      <c r="L609" s="7"/>
      <c r="M609" s="370"/>
      <c r="N609" s="137"/>
    </row>
    <row r="610" outlineLevel="1">
      <c r="A610" s="373"/>
      <c r="B610" s="373"/>
      <c r="C610" s="374" t="s">
        <v>199</v>
      </c>
      <c r="D610" s="375">
        <f>AVERAGE(D595:D609)</f>
        <v>0.8</v>
      </c>
      <c r="E610" s="376"/>
      <c r="F610" s="373"/>
      <c r="G610" s="373"/>
      <c r="H610" s="373"/>
      <c r="I610" s="373"/>
      <c r="J610" s="373"/>
      <c r="K610" s="373"/>
      <c r="L610" s="374" t="s">
        <v>199</v>
      </c>
      <c r="M610" s="377">
        <f>SUM(M595:M609)/75*0.1</f>
        <v>0</v>
      </c>
      <c r="N610" s="373"/>
    </row>
  </sheetData>
  <mergeCells count="32">
    <mergeCell ref="A35:D35"/>
    <mergeCell ref="A53:D53"/>
    <mergeCell ref="A71:D71"/>
    <mergeCell ref="A89:D89"/>
    <mergeCell ref="A107:D107"/>
    <mergeCell ref="A125:D125"/>
    <mergeCell ref="A143:D143"/>
    <mergeCell ref="A161:D161"/>
    <mergeCell ref="A179:D179"/>
    <mergeCell ref="A197:D197"/>
    <mergeCell ref="A215:D215"/>
    <mergeCell ref="A233:D233"/>
    <mergeCell ref="A251:D251"/>
    <mergeCell ref="A269:D269"/>
    <mergeCell ref="A287:D287"/>
    <mergeCell ref="A305:D305"/>
    <mergeCell ref="A323:D323"/>
    <mergeCell ref="A341:D341"/>
    <mergeCell ref="A359:D359"/>
    <mergeCell ref="A377:D377"/>
    <mergeCell ref="A395:D395"/>
    <mergeCell ref="A539:D539"/>
    <mergeCell ref="A557:D557"/>
    <mergeCell ref="A575:D575"/>
    <mergeCell ref="A593:D593"/>
    <mergeCell ref="A413:D413"/>
    <mergeCell ref="A431:D431"/>
    <mergeCell ref="A449:D449"/>
    <mergeCell ref="A467:D467"/>
    <mergeCell ref="A485:D485"/>
    <mergeCell ref="A503:D503"/>
    <mergeCell ref="A521:D521"/>
  </mergeCells>
  <conditionalFormatting sqref="A1:N52 A55:A57 B55:B69 C55:D57 E55:L69 C67:C69 A73:A75 B73:B87 C73:D75 E73:L87 C85:C87 A89:N106 A109:A111 B109:B123 C109:D111 E109:L123 C121:C123 A125:N142 A145:A147 B145:B159 C145:D147 E145:L159 C157:C159 A161:N178 A181:A183 B181:B195 C181:D183 E181:L195 A193:A195 C193:D195 A199:A201 B199:B213 C199:D201 E199:L213 A211:A213 C211:D213 A217:A219 B217:B231 C217:D219 E217:L231 A229:A231 C229:D231 A235:A237 B235:B249 C235:D237 E235:L249 A247:A249 C247:D249 A253:A255 B253:B267 C253:D255 E253:L267 A265:A267 C265:D267 A271:A273 B271:B285 C271:C273 D271:D279 E271:L285 A283:A285 C283:D285 A289:A291 B289:B303 C289:D291 E289:L303 A301:A303 C301:D303 A305:N322 A325:B339 C325:D327 E325:L339 C337:D339 A343:B357 C343:D345 E343:L357 C355:D357 A359:N376 A379:B393 C379:D381 E379:L393 C391:D393 A395:N412 A415:B429 C415:D417 E415:L429 C427:D429 A433:B447 C433:D435 E433:L447 C445:D447 A451:B465 C451:D453 E451:L465 C463:D465 A469:B483 C469:D471 E469:L483 C481:D483 A485:N502 A539:A610 B539:B555 C539:N610 B557:B610">
    <cfRule type="cellIs" dxfId="6" priority="1" operator="equal">
      <formula>"LWOP"</formula>
    </cfRule>
  </conditionalFormatting>
  <conditionalFormatting sqref="A35:D35 A53:D53 A71:D71 A89:D89 A107:D107 A125:D125 A143:D143 A161:D161 A179:D179 A197:D197 A215:D215 A233:D233 A251:D251 A269:D269 A287:D287 A305:D305 A323:D323 A341:D341 A359:D359 A377:D377 A395:D395 A413:D413 A431:D431 A449:D449 A467:D467">
    <cfRule type="cellIs" dxfId="7" priority="2" operator="equal">
      <formula>"OFF"</formula>
    </cfRule>
  </conditionalFormatting>
  <conditionalFormatting sqref="A35:D35 A53:D53 A71:D71 A89:D89 A107:D107 A125:D125 A143:D143 A161:D161 A179:D179 A197:D197 A215:D215 A233:D233 A251:D251 A269:D269 A287:D287 A305:D305 A323:D323 A341:D341 A359:D359 A377:D377 A395:D395 A413:D413 A431:D431 A449:D449 A467:D467">
    <cfRule type="cellIs" dxfId="8" priority="3" operator="equal">
      <formula>"A"</formula>
    </cfRule>
  </conditionalFormatting>
  <conditionalFormatting sqref="A35:D35 A53:D53 A71:D71 A89:D89 A107:D107 A125:D125 A143:D143 A161:D161 A179:D179 A197:D197 A215:D215 A233:D233 A251:D251 A269:D269 A287:D287 A305:D305 A323:D323 A341:D341 A359:D359 A377:D377 A395:D395 A413:D413 A431:D431 A449:D449 A467:D467">
    <cfRule type="cellIs" dxfId="9" priority="4" operator="equal">
      <formula>"LWOP"</formula>
    </cfRule>
  </conditionalFormatting>
  <conditionalFormatting sqref="A1:A610 B1:B555 C1:N610 B557:B610">
    <cfRule type="cellIs" dxfId="10" priority="5" operator="equal">
      <formula>"Absent"</formula>
    </cfRule>
  </conditionalFormatting>
  <dataValidations>
    <dataValidation type="list" allowBlank="1" showErrorMessage="1" sqref="E2:L16 E19:L33 E37:L51 E55:L69 E73:L87 E91:L105 E109:L123 E127:L141 E145:L159 E163:L177 E181:L195 E199:L213 E217:L231 E235:L249 E253:L267 E271:L285 E289:L303 E307:L321 E325:L339 E343:L357 E361:L375 E379:L393 E397:L411 E415:L429 E433:L447 E451:L465 E469:L483 E487:L501 E505:L519 E523:L537 E541:L555 E559:L573 E577:L591 E595:L609">
      <formula1>"Yes,No"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9"/>
    <hyperlink r:id="rId17" ref="A20"/>
    <hyperlink r:id="rId18" ref="A21"/>
    <hyperlink r:id="rId19" ref="A22"/>
    <hyperlink r:id="rId20" ref="A23"/>
    <hyperlink r:id="rId21" ref="A24"/>
    <hyperlink r:id="rId22" ref="A25"/>
    <hyperlink r:id="rId23" ref="A26"/>
    <hyperlink r:id="rId24" ref="A27"/>
    <hyperlink r:id="rId25" ref="A28"/>
    <hyperlink r:id="rId26" ref="A29"/>
    <hyperlink r:id="rId27" ref="A30"/>
    <hyperlink r:id="rId28" ref="A31"/>
    <hyperlink r:id="rId29" ref="A32"/>
    <hyperlink r:id="rId30" ref="A33"/>
    <hyperlink r:id="rId31" ref="A37"/>
    <hyperlink r:id="rId32" ref="A38"/>
    <hyperlink r:id="rId33" ref="A39"/>
    <hyperlink r:id="rId34" ref="A40"/>
    <hyperlink r:id="rId35" ref="A41"/>
    <hyperlink r:id="rId36" ref="A42"/>
    <hyperlink r:id="rId37" ref="A43"/>
    <hyperlink r:id="rId38" ref="A44"/>
    <hyperlink r:id="rId39" ref="A45"/>
    <hyperlink r:id="rId40" ref="A46"/>
    <hyperlink r:id="rId41" ref="A47"/>
    <hyperlink r:id="rId42" ref="A48"/>
    <hyperlink r:id="rId43" ref="A49"/>
    <hyperlink r:id="rId44" ref="A50"/>
    <hyperlink r:id="rId45" ref="A51"/>
    <hyperlink r:id="rId46" ref="A55"/>
    <hyperlink r:id="rId47" ref="A56"/>
    <hyperlink r:id="rId48" ref="A57"/>
    <hyperlink r:id="rId49" ref="A58"/>
    <hyperlink r:id="rId50" ref="A59"/>
    <hyperlink r:id="rId51" ref="A60"/>
    <hyperlink r:id="rId52" ref="A61"/>
    <hyperlink r:id="rId53" ref="A62"/>
    <hyperlink r:id="rId54" ref="A63"/>
    <hyperlink r:id="rId55" ref="A64"/>
    <hyperlink r:id="rId56" ref="A65"/>
    <hyperlink r:id="rId57" ref="A66"/>
    <hyperlink r:id="rId58" ref="A67"/>
    <hyperlink r:id="rId59" ref="A68"/>
    <hyperlink r:id="rId60" ref="A69"/>
    <hyperlink r:id="rId61" ref="A73"/>
    <hyperlink r:id="rId62" ref="A74"/>
    <hyperlink r:id="rId63" ref="A75"/>
    <hyperlink r:id="rId64" ref="A76"/>
    <hyperlink r:id="rId65" ref="A77"/>
    <hyperlink r:id="rId66" ref="A78"/>
    <hyperlink r:id="rId67" ref="A79"/>
    <hyperlink r:id="rId68" ref="A80"/>
    <hyperlink r:id="rId69" ref="A81"/>
    <hyperlink r:id="rId70" ref="A82"/>
    <hyperlink r:id="rId71" ref="A83"/>
    <hyperlink r:id="rId72" ref="A84"/>
    <hyperlink r:id="rId73" ref="A85"/>
    <hyperlink r:id="rId74" ref="A86"/>
    <hyperlink r:id="rId75" ref="A87"/>
    <hyperlink r:id="rId76" ref="A91"/>
    <hyperlink r:id="rId77" ref="A92"/>
    <hyperlink r:id="rId78" ref="A93"/>
    <hyperlink r:id="rId79" ref="A94"/>
    <hyperlink r:id="rId80" ref="A95"/>
    <hyperlink r:id="rId81" ref="A96"/>
    <hyperlink r:id="rId82" ref="A97"/>
    <hyperlink r:id="rId83" ref="A98"/>
    <hyperlink r:id="rId84" ref="A99"/>
    <hyperlink r:id="rId85" ref="A100"/>
    <hyperlink r:id="rId86" ref="A101"/>
    <hyperlink r:id="rId87" ref="A102"/>
    <hyperlink r:id="rId88" ref="A103"/>
    <hyperlink r:id="rId89" ref="A104"/>
    <hyperlink r:id="rId90" ref="A105"/>
    <hyperlink r:id="rId91" ref="A109"/>
    <hyperlink r:id="rId92" ref="A110"/>
    <hyperlink r:id="rId93" ref="A111"/>
    <hyperlink r:id="rId94" ref="A112"/>
    <hyperlink r:id="rId95" ref="A113"/>
    <hyperlink r:id="rId96" ref="A114"/>
    <hyperlink r:id="rId97" ref="A115"/>
    <hyperlink r:id="rId98" ref="A116"/>
    <hyperlink r:id="rId99" ref="A117"/>
    <hyperlink r:id="rId100" ref="A118"/>
    <hyperlink r:id="rId101" ref="A119"/>
    <hyperlink r:id="rId102" ref="A120"/>
    <hyperlink r:id="rId103" ref="A121"/>
    <hyperlink r:id="rId104" ref="A122"/>
    <hyperlink r:id="rId105" ref="A123"/>
    <hyperlink r:id="rId106" ref="A127"/>
    <hyperlink r:id="rId107" ref="A128"/>
    <hyperlink r:id="rId108" ref="A129"/>
    <hyperlink r:id="rId109" ref="A130"/>
    <hyperlink r:id="rId110" ref="A131"/>
    <hyperlink r:id="rId111" ref="A132"/>
    <hyperlink r:id="rId112" ref="A133"/>
    <hyperlink r:id="rId113" ref="A134"/>
    <hyperlink r:id="rId114" ref="A135"/>
    <hyperlink r:id="rId115" ref="A136"/>
    <hyperlink r:id="rId116" ref="A137"/>
    <hyperlink r:id="rId117" ref="A138"/>
    <hyperlink r:id="rId118" ref="A139"/>
    <hyperlink r:id="rId119" ref="A140"/>
    <hyperlink r:id="rId120" ref="A141"/>
    <hyperlink r:id="rId121" ref="A145"/>
    <hyperlink r:id="rId122" ref="A146"/>
    <hyperlink r:id="rId123" ref="A147"/>
    <hyperlink r:id="rId124" ref="A148"/>
    <hyperlink r:id="rId125" ref="A149"/>
    <hyperlink r:id="rId126" ref="A150"/>
    <hyperlink r:id="rId127" ref="A151"/>
    <hyperlink r:id="rId128" ref="A152"/>
    <hyperlink r:id="rId129" ref="A153"/>
    <hyperlink r:id="rId130" ref="A154"/>
    <hyperlink r:id="rId131" ref="A155"/>
    <hyperlink r:id="rId132" ref="A156"/>
    <hyperlink r:id="rId133" ref="A157"/>
    <hyperlink r:id="rId134" ref="A158"/>
    <hyperlink r:id="rId135" ref="A159"/>
    <hyperlink r:id="rId136" ref="A166"/>
    <hyperlink r:id="rId137" ref="A167"/>
    <hyperlink r:id="rId138" ref="A168"/>
    <hyperlink r:id="rId139" ref="A169"/>
    <hyperlink r:id="rId140" ref="A170"/>
    <hyperlink r:id="rId141" ref="A171"/>
    <hyperlink r:id="rId142" ref="A172"/>
    <hyperlink r:id="rId143" ref="A173"/>
    <hyperlink r:id="rId144" ref="A174"/>
    <hyperlink r:id="rId145" ref="A175"/>
    <hyperlink r:id="rId146" ref="A176"/>
    <hyperlink r:id="rId147" ref="A177"/>
    <hyperlink r:id="rId148" ref="A181"/>
    <hyperlink r:id="rId149" ref="A182"/>
    <hyperlink r:id="rId150" ref="A183"/>
    <hyperlink r:id="rId151" ref="A184"/>
    <hyperlink r:id="rId152" ref="A185"/>
    <hyperlink r:id="rId153" ref="A186"/>
    <hyperlink r:id="rId154" ref="A187"/>
    <hyperlink r:id="rId155" ref="A188"/>
    <hyperlink r:id="rId156" ref="A189"/>
    <hyperlink r:id="rId157" ref="A190"/>
    <hyperlink r:id="rId158" ref="A191"/>
    <hyperlink r:id="rId159" ref="A192"/>
    <hyperlink r:id="rId160" ref="A193"/>
    <hyperlink r:id="rId161" ref="A194"/>
    <hyperlink r:id="rId162" ref="A195"/>
    <hyperlink r:id="rId163" ref="A199"/>
    <hyperlink r:id="rId164" ref="A200"/>
    <hyperlink r:id="rId165" ref="A201"/>
    <hyperlink r:id="rId166" ref="A202"/>
    <hyperlink r:id="rId167" ref="A203"/>
    <hyperlink r:id="rId168" ref="A204"/>
    <hyperlink r:id="rId169" ref="A205"/>
    <hyperlink r:id="rId170" ref="A206"/>
    <hyperlink r:id="rId171" ref="A207"/>
    <hyperlink r:id="rId172" ref="A208"/>
    <hyperlink r:id="rId173" ref="A209"/>
    <hyperlink r:id="rId174" ref="A210"/>
    <hyperlink r:id="rId175" ref="A211"/>
    <hyperlink r:id="rId176" ref="A212"/>
    <hyperlink r:id="rId177" ref="A213"/>
    <hyperlink r:id="rId178" ref="A217"/>
    <hyperlink r:id="rId179" ref="A218"/>
    <hyperlink r:id="rId180" ref="A219"/>
    <hyperlink r:id="rId181" ref="A220"/>
    <hyperlink r:id="rId182" ref="A221"/>
    <hyperlink r:id="rId183" ref="A222"/>
    <hyperlink r:id="rId184" ref="A223"/>
    <hyperlink r:id="rId185" ref="A224"/>
    <hyperlink r:id="rId186" ref="A225"/>
    <hyperlink r:id="rId187" ref="A226"/>
    <hyperlink r:id="rId188" ref="A227"/>
    <hyperlink r:id="rId189" ref="A228"/>
    <hyperlink r:id="rId190" ref="A229"/>
    <hyperlink r:id="rId191" ref="A230"/>
    <hyperlink r:id="rId192" ref="A231"/>
    <hyperlink r:id="rId193" ref="A235"/>
    <hyperlink r:id="rId194" ref="A236"/>
    <hyperlink r:id="rId195" ref="A237"/>
    <hyperlink r:id="rId196" ref="A238"/>
    <hyperlink r:id="rId197" ref="A239"/>
    <hyperlink r:id="rId198" ref="A240"/>
    <hyperlink r:id="rId199" ref="A241"/>
    <hyperlink r:id="rId200" ref="A242"/>
    <hyperlink r:id="rId201" ref="A243"/>
    <hyperlink r:id="rId202" ref="A244"/>
    <hyperlink r:id="rId203" ref="A245"/>
    <hyperlink r:id="rId204" ref="A246"/>
    <hyperlink r:id="rId205" ref="A247"/>
    <hyperlink r:id="rId206" ref="A248"/>
    <hyperlink r:id="rId207" ref="A249"/>
    <hyperlink r:id="rId208" ref="A253"/>
    <hyperlink r:id="rId209" ref="A254"/>
    <hyperlink r:id="rId210" ref="A255"/>
    <hyperlink r:id="rId211" ref="A256"/>
    <hyperlink r:id="rId212" ref="A257"/>
    <hyperlink r:id="rId213" ref="A258"/>
    <hyperlink r:id="rId214" ref="A259"/>
    <hyperlink r:id="rId215" ref="A260"/>
    <hyperlink r:id="rId216" ref="A261"/>
    <hyperlink r:id="rId217" ref="A262"/>
    <hyperlink r:id="rId218" ref="A263"/>
    <hyperlink r:id="rId219" ref="A264"/>
    <hyperlink r:id="rId220" ref="A265"/>
    <hyperlink r:id="rId221" ref="A266"/>
    <hyperlink r:id="rId222" ref="A267"/>
    <hyperlink r:id="rId223" ref="A271"/>
    <hyperlink r:id="rId224" ref="A272"/>
    <hyperlink r:id="rId225" ref="A273"/>
    <hyperlink r:id="rId226" ref="A274"/>
    <hyperlink r:id="rId227" ref="A275"/>
    <hyperlink r:id="rId228" ref="A276"/>
    <hyperlink r:id="rId229" ref="A277"/>
    <hyperlink r:id="rId230" ref="A278"/>
    <hyperlink r:id="rId231" ref="A279"/>
    <hyperlink r:id="rId232" ref="A280"/>
    <hyperlink r:id="rId233" ref="A281"/>
    <hyperlink r:id="rId234" ref="A282"/>
    <hyperlink r:id="rId235" ref="A283"/>
    <hyperlink r:id="rId236" ref="A284"/>
    <hyperlink r:id="rId237" ref="A285"/>
    <hyperlink r:id="rId238" ref="A289"/>
    <hyperlink r:id="rId239" ref="A290"/>
    <hyperlink r:id="rId240" ref="A291"/>
    <hyperlink r:id="rId241" ref="A292"/>
    <hyperlink r:id="rId242" ref="A293"/>
    <hyperlink r:id="rId243" ref="A294"/>
    <hyperlink r:id="rId244" ref="A295"/>
    <hyperlink r:id="rId245" ref="A296"/>
    <hyperlink r:id="rId246" ref="A297"/>
    <hyperlink r:id="rId247" ref="A298"/>
    <hyperlink r:id="rId248" ref="A299"/>
    <hyperlink r:id="rId249" ref="A300"/>
    <hyperlink r:id="rId250" ref="A301"/>
    <hyperlink r:id="rId251" ref="A302"/>
    <hyperlink r:id="rId252" ref="A303"/>
    <hyperlink r:id="rId253" ref="A325"/>
    <hyperlink r:id="rId254" ref="A326"/>
    <hyperlink r:id="rId255" ref="A327"/>
    <hyperlink r:id="rId256" ref="A328"/>
    <hyperlink r:id="rId257" ref="A329"/>
    <hyperlink r:id="rId258" ref="A330"/>
    <hyperlink r:id="rId259" ref="A331"/>
    <hyperlink r:id="rId260" ref="A332"/>
    <hyperlink r:id="rId261" ref="A333"/>
    <hyperlink r:id="rId262" ref="A334"/>
    <hyperlink r:id="rId263" ref="A335"/>
    <hyperlink r:id="rId264" ref="A336"/>
    <hyperlink r:id="rId265" ref="A337"/>
    <hyperlink r:id="rId266" ref="A338"/>
    <hyperlink r:id="rId267" ref="A339"/>
    <hyperlink r:id="rId268" ref="A343"/>
    <hyperlink r:id="rId269" ref="A344"/>
    <hyperlink r:id="rId270" ref="A345"/>
    <hyperlink r:id="rId271" ref="A346"/>
    <hyperlink r:id="rId272" ref="A347"/>
    <hyperlink r:id="rId273" ref="A348"/>
    <hyperlink r:id="rId274" ref="A349"/>
    <hyperlink r:id="rId275" ref="A350"/>
    <hyperlink r:id="rId276" ref="A351"/>
    <hyperlink r:id="rId277" ref="A352"/>
    <hyperlink r:id="rId278" ref="A353"/>
    <hyperlink r:id="rId279" ref="A354"/>
    <hyperlink r:id="rId280" ref="A355"/>
    <hyperlink r:id="rId281" ref="A356"/>
    <hyperlink r:id="rId282" ref="A357"/>
    <hyperlink r:id="rId283" ref="A361"/>
    <hyperlink r:id="rId284" ref="A362"/>
    <hyperlink r:id="rId285" ref="A363"/>
    <hyperlink r:id="rId286" ref="A364"/>
    <hyperlink r:id="rId287" ref="A365"/>
    <hyperlink r:id="rId288" ref="A366"/>
    <hyperlink r:id="rId289" ref="A367"/>
    <hyperlink r:id="rId290" ref="A368"/>
    <hyperlink r:id="rId291" ref="A369"/>
    <hyperlink r:id="rId292" ref="A370"/>
    <hyperlink r:id="rId293" ref="A371"/>
    <hyperlink r:id="rId294" ref="A372"/>
    <hyperlink r:id="rId295" ref="A379"/>
    <hyperlink r:id="rId296" ref="A380"/>
    <hyperlink r:id="rId297" ref="A381"/>
    <hyperlink r:id="rId298" ref="A382"/>
    <hyperlink r:id="rId299" ref="A383"/>
    <hyperlink r:id="rId300" ref="A384"/>
    <hyperlink r:id="rId301" ref="A385"/>
    <hyperlink r:id="rId302" ref="A386"/>
    <hyperlink r:id="rId303" ref="A387"/>
    <hyperlink r:id="rId304" ref="A388"/>
    <hyperlink r:id="rId305" ref="A389"/>
    <hyperlink r:id="rId306" ref="A390"/>
    <hyperlink r:id="rId307" ref="A397"/>
    <hyperlink r:id="rId308" ref="A398"/>
    <hyperlink r:id="rId309" ref="A399"/>
    <hyperlink r:id="rId310" ref="A400"/>
    <hyperlink r:id="rId311" ref="A401"/>
    <hyperlink r:id="rId312" ref="A402"/>
    <hyperlink r:id="rId313" ref="A403"/>
    <hyperlink r:id="rId314" ref="A404"/>
    <hyperlink r:id="rId315" ref="A405"/>
    <hyperlink r:id="rId316" ref="A406"/>
    <hyperlink r:id="rId317" ref="A407"/>
    <hyperlink r:id="rId318" ref="A408"/>
    <hyperlink r:id="rId319" ref="A409"/>
    <hyperlink r:id="rId320" ref="A410"/>
    <hyperlink r:id="rId321" ref="A411"/>
    <hyperlink r:id="rId322" ref="A415"/>
    <hyperlink r:id="rId323" ref="A416"/>
    <hyperlink r:id="rId324" ref="A417"/>
    <hyperlink r:id="rId325" ref="A418"/>
    <hyperlink r:id="rId326" ref="A419"/>
    <hyperlink r:id="rId327" ref="A420"/>
    <hyperlink r:id="rId328" ref="A421"/>
    <hyperlink r:id="rId329" ref="A422"/>
    <hyperlink r:id="rId330" ref="A423"/>
    <hyperlink r:id="rId331" ref="A424"/>
    <hyperlink r:id="rId332" ref="A425"/>
    <hyperlink r:id="rId333" ref="A426"/>
    <hyperlink r:id="rId334" ref="A427"/>
    <hyperlink r:id="rId335" ref="A428"/>
    <hyperlink r:id="rId336" ref="A429"/>
    <hyperlink r:id="rId337" ref="A433"/>
    <hyperlink r:id="rId338" ref="A434"/>
    <hyperlink r:id="rId339" ref="A435"/>
    <hyperlink r:id="rId340" ref="A436"/>
    <hyperlink r:id="rId341" ref="A437"/>
    <hyperlink r:id="rId342" ref="A438"/>
    <hyperlink r:id="rId343" ref="A439"/>
    <hyperlink r:id="rId344" ref="A440"/>
    <hyperlink r:id="rId345" ref="A441"/>
    <hyperlink r:id="rId346" ref="A442"/>
    <hyperlink r:id="rId347" ref="A443"/>
    <hyperlink r:id="rId348" ref="A444"/>
    <hyperlink r:id="rId349" ref="A445"/>
    <hyperlink r:id="rId350" ref="A446"/>
    <hyperlink r:id="rId351" ref="A447"/>
    <hyperlink r:id="rId352" ref="A451"/>
    <hyperlink r:id="rId353" ref="A452"/>
    <hyperlink r:id="rId354" ref="A453"/>
    <hyperlink r:id="rId355" ref="A454"/>
    <hyperlink r:id="rId356" ref="A455"/>
    <hyperlink r:id="rId357" ref="A456"/>
    <hyperlink r:id="rId358" ref="A457"/>
    <hyperlink r:id="rId359" ref="A458"/>
    <hyperlink r:id="rId360" ref="A459"/>
    <hyperlink r:id="rId361" ref="A460"/>
    <hyperlink r:id="rId362" ref="A461"/>
    <hyperlink r:id="rId363" ref="A462"/>
    <hyperlink r:id="rId364" ref="A463"/>
    <hyperlink r:id="rId365" ref="A464"/>
    <hyperlink r:id="rId366" ref="A465"/>
    <hyperlink r:id="rId367" ref="A469"/>
    <hyperlink r:id="rId368" ref="A470"/>
    <hyperlink r:id="rId369" ref="A471"/>
    <hyperlink r:id="rId370" ref="A472"/>
    <hyperlink r:id="rId371" ref="A473"/>
    <hyperlink r:id="rId372" ref="A474"/>
    <hyperlink r:id="rId373" ref="A475"/>
    <hyperlink r:id="rId374" ref="A476"/>
    <hyperlink r:id="rId375" ref="A477"/>
    <hyperlink r:id="rId376" ref="A478"/>
    <hyperlink r:id="rId377" ref="A479"/>
    <hyperlink r:id="rId378" ref="A480"/>
    <hyperlink r:id="rId379" ref="A481"/>
    <hyperlink r:id="rId380" ref="A482"/>
    <hyperlink r:id="rId381" ref="A483"/>
    <hyperlink r:id="rId382" ref="A487"/>
    <hyperlink r:id="rId383" ref="A488"/>
    <hyperlink r:id="rId384" ref="A489"/>
    <hyperlink r:id="rId385" ref="A490"/>
    <hyperlink r:id="rId386" ref="A491"/>
    <hyperlink r:id="rId387" ref="A492"/>
    <hyperlink r:id="rId388" ref="A493"/>
    <hyperlink r:id="rId389" ref="A494"/>
    <hyperlink r:id="rId390" ref="A495"/>
    <hyperlink r:id="rId391" ref="A496"/>
    <hyperlink r:id="rId392" ref="A497"/>
    <hyperlink r:id="rId393" ref="A498"/>
    <hyperlink r:id="rId394" ref="A499"/>
    <hyperlink r:id="rId395" ref="A500"/>
    <hyperlink r:id="rId396" ref="A501"/>
    <hyperlink r:id="rId397" ref="A505"/>
    <hyperlink r:id="rId398" ref="A506"/>
    <hyperlink r:id="rId399" ref="A507"/>
    <hyperlink r:id="rId400" ref="A508"/>
    <hyperlink r:id="rId401" ref="A509"/>
    <hyperlink r:id="rId402" ref="A510"/>
    <hyperlink r:id="rId403" ref="A511"/>
    <hyperlink r:id="rId404" ref="A512"/>
    <hyperlink r:id="rId405" ref="A513"/>
    <hyperlink r:id="rId406" ref="A514"/>
    <hyperlink r:id="rId407" ref="A515"/>
    <hyperlink r:id="rId408" ref="A516"/>
    <hyperlink r:id="rId409" ref="A523"/>
    <hyperlink r:id="rId410" ref="A524"/>
    <hyperlink r:id="rId411" ref="A525"/>
    <hyperlink r:id="rId412" ref="A526"/>
    <hyperlink r:id="rId413" ref="A527"/>
    <hyperlink r:id="rId414" ref="A528"/>
    <hyperlink r:id="rId415" ref="A529"/>
    <hyperlink r:id="rId416" ref="A530"/>
    <hyperlink r:id="rId417" ref="A531"/>
    <hyperlink r:id="rId418" ref="A532"/>
    <hyperlink r:id="rId419" ref="A533"/>
    <hyperlink r:id="rId420" ref="A534"/>
    <hyperlink r:id="rId421" ref="A535"/>
    <hyperlink r:id="rId422" ref="A536"/>
    <hyperlink r:id="rId423" ref="A537"/>
    <hyperlink r:id="rId424" ref="A541"/>
    <hyperlink r:id="rId425" ref="A542"/>
    <hyperlink r:id="rId426" ref="A543"/>
    <hyperlink r:id="rId427" ref="A544"/>
    <hyperlink r:id="rId428" ref="A545"/>
    <hyperlink r:id="rId429" ref="A546"/>
    <hyperlink r:id="rId430" ref="A547"/>
    <hyperlink r:id="rId431" ref="A548"/>
    <hyperlink r:id="rId432" ref="A549"/>
    <hyperlink r:id="rId433" ref="A550"/>
    <hyperlink r:id="rId434" ref="A551"/>
    <hyperlink r:id="rId435" ref="A552"/>
    <hyperlink r:id="rId436" ref="A553"/>
    <hyperlink r:id="rId437" ref="A554"/>
    <hyperlink r:id="rId438" ref="A555"/>
    <hyperlink r:id="rId439" ref="A559"/>
    <hyperlink r:id="rId440" ref="A560"/>
    <hyperlink r:id="rId441" ref="A561"/>
    <hyperlink r:id="rId442" ref="A562"/>
    <hyperlink r:id="rId443" ref="A563"/>
    <hyperlink r:id="rId444" ref="A564"/>
    <hyperlink r:id="rId445" ref="A565"/>
    <hyperlink r:id="rId446" ref="A566"/>
    <hyperlink r:id="rId447" ref="A567"/>
    <hyperlink r:id="rId448" ref="A568"/>
    <hyperlink r:id="rId449" ref="A569"/>
    <hyperlink r:id="rId450" ref="A570"/>
    <hyperlink r:id="rId451" ref="A571"/>
    <hyperlink r:id="rId452" ref="A572"/>
    <hyperlink r:id="rId453" ref="A573"/>
    <hyperlink r:id="rId454" ref="A577"/>
    <hyperlink r:id="rId455" ref="A578"/>
    <hyperlink r:id="rId456" ref="A579"/>
    <hyperlink r:id="rId457" ref="A580"/>
    <hyperlink r:id="rId458" ref="A581"/>
    <hyperlink r:id="rId459" ref="A582"/>
    <hyperlink r:id="rId460" ref="A583"/>
    <hyperlink r:id="rId461" ref="A584"/>
    <hyperlink r:id="rId462" ref="A585"/>
    <hyperlink r:id="rId463" ref="A586"/>
    <hyperlink r:id="rId464" ref="A587"/>
    <hyperlink r:id="rId465" ref="A588"/>
    <hyperlink r:id="rId466" ref="A589"/>
    <hyperlink r:id="rId467" ref="A590"/>
    <hyperlink r:id="rId468" ref="A591"/>
    <hyperlink r:id="rId469" ref="A595"/>
    <hyperlink r:id="rId470" ref="A596"/>
    <hyperlink r:id="rId471" ref="A597"/>
    <hyperlink r:id="rId472" ref="A598"/>
    <hyperlink r:id="rId473" ref="A599"/>
    <hyperlink r:id="rId474" ref="A600"/>
    <hyperlink r:id="rId475" ref="A601"/>
    <hyperlink r:id="rId476" ref="A602"/>
    <hyperlink r:id="rId477" ref="A603"/>
    <hyperlink r:id="rId478" ref="A604"/>
    <hyperlink r:id="rId479" ref="A605"/>
    <hyperlink r:id="rId480" ref="A606"/>
  </hyperlinks>
  <drawing r:id="rId481"/>
  <tableParts count="2">
    <tablePart r:id="rId484"/>
    <tablePart r:id="rId485"/>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heetPr>
  <sheetViews>
    <sheetView showGridLines="0" workbookViewId="0">
      <pane xSplit="1.0" topLeftCell="B1" activePane="topRight" state="frozen"/>
      <selection activeCell="C2" sqref="C2" pane="topRight"/>
    </sheetView>
  </sheetViews>
  <sheetFormatPr customHeight="1" defaultColWidth="12.63" defaultRowHeight="15.75" outlineLevelCol="1"/>
  <cols>
    <col customWidth="1" min="1" max="1" width="18.75"/>
    <col customWidth="1" hidden="1" min="2" max="2" width="18.38" outlineLevel="1"/>
    <col customWidth="1" hidden="1" min="3" max="4" width="19.38" outlineLevel="1"/>
    <col customWidth="1" hidden="1" min="5" max="5" width="19.25" outlineLevel="1"/>
    <col collapsed="1" min="6" max="6" width="12.63"/>
    <col customWidth="1" hidden="1" min="7" max="7" width="11.13" outlineLevel="1"/>
    <col customWidth="1" hidden="1" min="8" max="8" width="12.13" outlineLevel="1"/>
    <col hidden="1" min="9" max="10" width="12.63" outlineLevel="1"/>
    <col collapsed="1" min="11" max="11" width="12.63"/>
    <col hidden="1" min="12" max="15" width="12.63" outlineLevel="1"/>
    <col collapsed="1" min="16" max="16" width="12.63"/>
    <col customWidth="1" hidden="1" min="17" max="17" width="13.0" outlineLevel="1"/>
    <col customWidth="1" hidden="1" min="18" max="18" width="13.75" outlineLevel="1"/>
    <col customWidth="1" hidden="1" min="19" max="20" width="14.75" outlineLevel="1"/>
    <col customWidth="1" hidden="1" min="21" max="21" width="13.25" outlineLevel="1"/>
    <col collapsed="1" min="22" max="22" width="12.63"/>
    <col customWidth="1" hidden="1" min="23" max="23" width="13.0" outlineLevel="1"/>
    <col customWidth="1" hidden="1" min="24" max="24" width="13.75" outlineLevel="1"/>
    <col customWidth="1" hidden="1" min="25" max="26" width="14.75" outlineLevel="1"/>
    <col collapsed="1" min="27" max="27" width="12.63"/>
    <col hidden="1" min="28" max="28" width="12.63" outlineLevel="1"/>
    <col customWidth="1" hidden="1" min="29" max="29" width="14.0" outlineLevel="1"/>
    <col customWidth="1" hidden="1" min="30" max="31" width="14.88" outlineLevel="1"/>
    <col collapsed="1" min="32" max="32" width="12.63"/>
    <col customWidth="1" hidden="1" min="33" max="33" width="13.0" outlineLevel="1"/>
    <col customWidth="1" hidden="1" min="34" max="34" width="14.0" outlineLevel="1"/>
    <col customWidth="1" hidden="1" min="35" max="37" width="14.88" outlineLevel="1"/>
    <col collapsed="1" min="38" max="38" width="12.63"/>
    <col customWidth="1" hidden="1" min="39" max="39" width="13.38" outlineLevel="1"/>
    <col customWidth="1" hidden="1" min="40" max="40" width="14.25" outlineLevel="1"/>
    <col hidden="1" min="41" max="42" width="12.63" outlineLevel="1"/>
    <col collapsed="1" min="43" max="43" width="12.63"/>
    <col customWidth="1" hidden="1" min="44" max="44" width="13.38" outlineLevel="1"/>
    <col customWidth="1" hidden="1" min="45" max="45" width="14.25" outlineLevel="1"/>
    <col hidden="1" min="46" max="47" width="12.63" outlineLevel="1"/>
    <col collapsed="1" min="48" max="48" width="12.63"/>
  </cols>
  <sheetData>
    <row r="1">
      <c r="A1" s="495" t="s">
        <v>1730</v>
      </c>
      <c r="B1" s="496" t="s">
        <v>1731</v>
      </c>
      <c r="C1" s="497" t="s">
        <v>1732</v>
      </c>
      <c r="D1" s="497" t="s">
        <v>1734</v>
      </c>
      <c r="E1" s="497" t="s">
        <v>1735</v>
      </c>
      <c r="F1" s="498" t="s">
        <v>1736</v>
      </c>
      <c r="G1" s="496" t="s">
        <v>1737</v>
      </c>
      <c r="H1" s="496" t="s">
        <v>1738</v>
      </c>
      <c r="I1" s="496" t="s">
        <v>1739</v>
      </c>
      <c r="J1" s="496" t="s">
        <v>1740</v>
      </c>
      <c r="K1" s="498" t="s">
        <v>1741</v>
      </c>
      <c r="L1" s="496" t="s">
        <v>1742</v>
      </c>
      <c r="M1" s="496" t="s">
        <v>1743</v>
      </c>
      <c r="N1" s="496" t="s">
        <v>1744</v>
      </c>
      <c r="O1" s="496" t="s">
        <v>1746</v>
      </c>
      <c r="P1" s="498" t="s">
        <v>1747</v>
      </c>
      <c r="Q1" s="496" t="s">
        <v>1748</v>
      </c>
      <c r="R1" s="496" t="s">
        <v>1749</v>
      </c>
      <c r="S1" s="496" t="s">
        <v>1750</v>
      </c>
      <c r="T1" s="496" t="s">
        <v>1751</v>
      </c>
      <c r="U1" s="496" t="s">
        <v>1752</v>
      </c>
      <c r="V1" s="498" t="s">
        <v>1753</v>
      </c>
      <c r="W1" s="496" t="s">
        <v>1754</v>
      </c>
      <c r="X1" s="496" t="s">
        <v>1755</v>
      </c>
      <c r="Y1" s="496" t="s">
        <v>1756</v>
      </c>
      <c r="Z1" s="496" t="s">
        <v>1757</v>
      </c>
      <c r="AA1" s="498" t="s">
        <v>1758</v>
      </c>
      <c r="AB1" s="499" t="s">
        <v>1759</v>
      </c>
      <c r="AC1" s="499" t="s">
        <v>1760</v>
      </c>
      <c r="AD1" s="499" t="s">
        <v>1761</v>
      </c>
      <c r="AE1" s="499" t="s">
        <v>1762</v>
      </c>
      <c r="AF1" s="500" t="s">
        <v>1763</v>
      </c>
      <c r="AG1" s="499" t="s">
        <v>1764</v>
      </c>
      <c r="AH1" s="499" t="s">
        <v>1765</v>
      </c>
      <c r="AI1" s="499" t="s">
        <v>1766</v>
      </c>
      <c r="AJ1" s="499" t="s">
        <v>1767</v>
      </c>
      <c r="AK1" s="499" t="s">
        <v>1768</v>
      </c>
      <c r="AL1" s="501" t="s">
        <v>1769</v>
      </c>
      <c r="AM1" s="499" t="s">
        <v>1770</v>
      </c>
      <c r="AN1" s="499" t="s">
        <v>1771</v>
      </c>
      <c r="AO1" s="499" t="s">
        <v>1772</v>
      </c>
      <c r="AP1" s="499" t="s">
        <v>1771</v>
      </c>
      <c r="AQ1" s="502" t="s">
        <v>1773</v>
      </c>
      <c r="AR1" s="503" t="s">
        <v>344</v>
      </c>
      <c r="AS1" s="503" t="s">
        <v>378</v>
      </c>
      <c r="AT1" s="503" t="s">
        <v>427</v>
      </c>
      <c r="AU1" s="503" t="s">
        <v>1584</v>
      </c>
      <c r="AV1" s="502" t="s">
        <v>1773</v>
      </c>
    </row>
    <row r="2">
      <c r="A2" s="504" t="s">
        <v>194</v>
      </c>
      <c r="B2" s="505">
        <v>0.96</v>
      </c>
      <c r="C2" s="506">
        <v>0.98</v>
      </c>
      <c r="D2" s="506">
        <v>0.9</v>
      </c>
      <c r="E2" s="506">
        <v>1.0914</v>
      </c>
      <c r="F2" s="507">
        <f t="shared" ref="F2:F7" si="1">AVERAGE(B2:E2)</f>
        <v>0.98285</v>
      </c>
      <c r="G2" s="508">
        <v>1.062</v>
      </c>
      <c r="H2" s="509">
        <v>0.8991</v>
      </c>
      <c r="I2" s="509">
        <v>1.0451</v>
      </c>
      <c r="J2" s="510">
        <v>1.031</v>
      </c>
      <c r="K2" s="511">
        <f t="shared" ref="K2:K7" si="2">IFerror(AVERAGE(G2:J2),"")</f>
        <v>1.0093</v>
      </c>
      <c r="L2" s="508">
        <v>0.9886</v>
      </c>
      <c r="M2" s="509">
        <v>1.0447</v>
      </c>
      <c r="N2" s="509">
        <v>1.0808</v>
      </c>
      <c r="O2" s="510">
        <v>1.0287</v>
      </c>
      <c r="P2" s="511">
        <f t="shared" ref="P2:P7" si="3">IFerror(AVERAGE(L2:O2),"")</f>
        <v>1.0357</v>
      </c>
      <c r="Q2" s="508">
        <v>1.0431</v>
      </c>
      <c r="R2" s="509">
        <v>0.9968</v>
      </c>
      <c r="S2" s="509">
        <v>0.9704</v>
      </c>
      <c r="T2" s="510">
        <v>1.0158</v>
      </c>
      <c r="U2" s="512">
        <v>0.947</v>
      </c>
      <c r="V2" s="513">
        <f t="shared" ref="V2:V9" si="4">IFerror(AVERAGE(Q2:U2),"")</f>
        <v>0.99462</v>
      </c>
      <c r="W2" s="508">
        <v>0.9644</v>
      </c>
      <c r="X2" s="509">
        <v>0.9593</v>
      </c>
      <c r="Y2" s="509">
        <v>0.9555</v>
      </c>
      <c r="Z2" s="510">
        <v>0.9249</v>
      </c>
      <c r="AA2" s="511">
        <f t="shared" ref="AA2:AA9" si="5">IFerror(AVERAGE(W2:Z2),"")</f>
        <v>0.951025</v>
      </c>
      <c r="AB2" s="514">
        <v>0.9506</v>
      </c>
      <c r="AC2" s="515">
        <v>0.968</v>
      </c>
      <c r="AD2" s="515">
        <v>0.971</v>
      </c>
      <c r="AE2" s="516">
        <v>0.9729</v>
      </c>
      <c r="AF2" s="517">
        <f t="shared" ref="AF2:AF9" si="6">IFerror(AVERAGE(AB2:AE2),"")</f>
        <v>0.965625</v>
      </c>
      <c r="AG2" s="518">
        <v>0.9837</v>
      </c>
      <c r="AH2" s="519">
        <v>0.9988</v>
      </c>
      <c r="AI2" s="519">
        <v>1.0064</v>
      </c>
      <c r="AJ2" s="520">
        <v>1.0361</v>
      </c>
      <c r="AK2" s="521">
        <v>1.0307</v>
      </c>
      <c r="AL2" s="522">
        <f t="shared" ref="AL2:AL9" si="7">IFerror(AVERAGE(AG2:AK2),"")</f>
        <v>1.01114</v>
      </c>
      <c r="AM2" s="514">
        <v>1.05</v>
      </c>
      <c r="AN2" s="515">
        <v>1.0529</v>
      </c>
      <c r="AO2" s="515">
        <v>1.0096</v>
      </c>
      <c r="AP2" s="523">
        <v>0.9408</v>
      </c>
      <c r="AQ2" s="524">
        <f t="shared" ref="AQ2:AQ9" si="8">IFerror(AVERAGE(AM2:AP2),"")</f>
        <v>1.013325</v>
      </c>
      <c r="AR2" s="525">
        <v>0.8453</v>
      </c>
      <c r="AS2" s="526">
        <v>0.9499</v>
      </c>
      <c r="AT2" s="526">
        <v>0.9965</v>
      </c>
      <c r="AU2" s="527">
        <v>0.9771</v>
      </c>
      <c r="AV2" s="524">
        <f t="shared" ref="AV2:AV9" si="9">IFerror(AVERAGE(AR2:AU2),"")</f>
        <v>0.9422</v>
      </c>
    </row>
    <row r="3">
      <c r="A3" s="528" t="s">
        <v>118</v>
      </c>
      <c r="B3" s="529">
        <v>0.9883</v>
      </c>
      <c r="C3" s="530">
        <v>0.9886</v>
      </c>
      <c r="D3" s="530">
        <v>0.9799</v>
      </c>
      <c r="E3" s="530">
        <v>1.0155</v>
      </c>
      <c r="F3" s="531">
        <f t="shared" si="1"/>
        <v>0.993075</v>
      </c>
      <c r="G3" s="532">
        <v>1.041</v>
      </c>
      <c r="H3" s="510">
        <v>1.0291</v>
      </c>
      <c r="I3" s="510">
        <v>1.0487</v>
      </c>
      <c r="J3" s="510">
        <v>0.9734</v>
      </c>
      <c r="K3" s="511">
        <f t="shared" si="2"/>
        <v>1.02305</v>
      </c>
      <c r="L3" s="532">
        <v>0.8976</v>
      </c>
      <c r="M3" s="510">
        <v>1.0271</v>
      </c>
      <c r="N3" s="510">
        <v>0.979</v>
      </c>
      <c r="O3" s="510">
        <v>0.9937</v>
      </c>
      <c r="P3" s="511">
        <f t="shared" si="3"/>
        <v>0.97435</v>
      </c>
      <c r="Q3" s="532">
        <v>0.9317</v>
      </c>
      <c r="R3" s="510">
        <v>0.9652</v>
      </c>
      <c r="S3" s="510">
        <v>0.9501</v>
      </c>
      <c r="T3" s="510">
        <v>0.9448</v>
      </c>
      <c r="U3" s="512">
        <v>0.9895</v>
      </c>
      <c r="V3" s="511">
        <f t="shared" si="4"/>
        <v>0.95626</v>
      </c>
      <c r="W3" s="533">
        <v>1.0224</v>
      </c>
      <c r="X3" s="510">
        <v>0.9768</v>
      </c>
      <c r="Y3" s="510">
        <v>0.9606</v>
      </c>
      <c r="Z3" s="510">
        <v>0.9698</v>
      </c>
      <c r="AA3" s="511">
        <f t="shared" si="5"/>
        <v>0.9824</v>
      </c>
      <c r="AB3" s="534">
        <v>0.8546</v>
      </c>
      <c r="AC3" s="515">
        <v>0.8581</v>
      </c>
      <c r="AD3" s="535">
        <v>0.9625</v>
      </c>
      <c r="AE3" s="535">
        <v>0.9756</v>
      </c>
      <c r="AF3" s="536">
        <f t="shared" si="6"/>
        <v>0.9127</v>
      </c>
      <c r="AG3" s="537">
        <v>0.9818</v>
      </c>
      <c r="AH3" s="538">
        <v>0.9572</v>
      </c>
      <c r="AI3" s="539">
        <v>0.9802</v>
      </c>
      <c r="AJ3" s="539">
        <v>0.9608</v>
      </c>
      <c r="AK3" s="539">
        <v>0.9387</v>
      </c>
      <c r="AL3" s="522">
        <f t="shared" si="7"/>
        <v>0.96374</v>
      </c>
      <c r="AM3" s="540">
        <v>1.024</v>
      </c>
      <c r="AN3" s="541">
        <v>1.0507</v>
      </c>
      <c r="AO3" s="535">
        <v>1.0566</v>
      </c>
      <c r="AP3" s="535">
        <v>1.0263</v>
      </c>
      <c r="AQ3" s="542">
        <f t="shared" si="8"/>
        <v>1.0394</v>
      </c>
      <c r="AR3" s="543">
        <v>1.0486</v>
      </c>
      <c r="AS3" s="544">
        <v>1.0163</v>
      </c>
      <c r="AT3" s="545">
        <v>0.915</v>
      </c>
      <c r="AU3" s="546" t="s">
        <v>1786</v>
      </c>
      <c r="AV3" s="542">
        <f t="shared" si="9"/>
        <v>0.9933</v>
      </c>
    </row>
    <row r="4">
      <c r="A4" s="504" t="s">
        <v>19</v>
      </c>
      <c r="B4" s="505">
        <v>0.7202</v>
      </c>
      <c r="C4" s="506">
        <v>0.7555</v>
      </c>
      <c r="D4" s="506">
        <v>1.0</v>
      </c>
      <c r="E4" s="506">
        <v>1.0321</v>
      </c>
      <c r="F4" s="547">
        <f t="shared" si="1"/>
        <v>0.87695</v>
      </c>
      <c r="G4" s="548">
        <v>1.0618</v>
      </c>
      <c r="H4" s="549">
        <v>1.0409</v>
      </c>
      <c r="I4" s="549">
        <v>0.9228</v>
      </c>
      <c r="J4" s="549">
        <v>0.5437</v>
      </c>
      <c r="K4" s="550">
        <f t="shared" si="2"/>
        <v>0.8923</v>
      </c>
      <c r="L4" s="532">
        <v>0.8008</v>
      </c>
      <c r="M4" s="510">
        <v>0.9706</v>
      </c>
      <c r="N4" s="510">
        <v>0.9274</v>
      </c>
      <c r="O4" s="510">
        <v>0.9144</v>
      </c>
      <c r="P4" s="550">
        <f t="shared" si="3"/>
        <v>0.9033</v>
      </c>
      <c r="Q4" s="532">
        <v>0.9046</v>
      </c>
      <c r="R4" s="510">
        <v>0.8801</v>
      </c>
      <c r="S4" s="510">
        <v>0.9238</v>
      </c>
      <c r="T4" s="510">
        <v>0.9639</v>
      </c>
      <c r="U4" s="512">
        <v>0.9682</v>
      </c>
      <c r="V4" s="511">
        <f t="shared" si="4"/>
        <v>0.92812</v>
      </c>
      <c r="W4" s="532">
        <v>0.9709</v>
      </c>
      <c r="X4" s="510">
        <v>0.8907</v>
      </c>
      <c r="Y4" s="510">
        <v>0.9642</v>
      </c>
      <c r="Z4" s="510">
        <v>0.9275</v>
      </c>
      <c r="AA4" s="511">
        <f t="shared" si="5"/>
        <v>0.938325</v>
      </c>
      <c r="AB4" s="551">
        <v>0.9589</v>
      </c>
      <c r="AC4" s="515">
        <v>0.9185</v>
      </c>
      <c r="AD4" s="516">
        <v>1.0123</v>
      </c>
      <c r="AE4" s="516">
        <v>0.9983</v>
      </c>
      <c r="AF4" s="517">
        <f t="shared" si="6"/>
        <v>0.972</v>
      </c>
      <c r="AG4" s="552">
        <v>0.8414</v>
      </c>
      <c r="AH4" s="519">
        <v>1.002</v>
      </c>
      <c r="AI4" s="521">
        <v>0.9809</v>
      </c>
      <c r="AJ4" s="521">
        <v>0.9676</v>
      </c>
      <c r="AK4" s="521">
        <v>1.0212</v>
      </c>
      <c r="AL4" s="522">
        <f t="shared" si="7"/>
        <v>0.96262</v>
      </c>
      <c r="AM4" s="551">
        <v>1.0386</v>
      </c>
      <c r="AN4" s="515">
        <v>0.973</v>
      </c>
      <c r="AO4" s="516">
        <v>0.9493</v>
      </c>
      <c r="AP4" s="516">
        <v>0.925</v>
      </c>
      <c r="AQ4" s="524">
        <f t="shared" si="8"/>
        <v>0.971475</v>
      </c>
      <c r="AR4" s="553">
        <v>0.953</v>
      </c>
      <c r="AS4" s="526">
        <v>0.9846</v>
      </c>
      <c r="AT4" s="554">
        <v>0.9668</v>
      </c>
      <c r="AU4" s="554">
        <v>0.9735</v>
      </c>
      <c r="AV4" s="524">
        <f t="shared" si="9"/>
        <v>0.969475</v>
      </c>
    </row>
    <row r="5">
      <c r="A5" s="528" t="s">
        <v>120</v>
      </c>
      <c r="B5" s="529">
        <v>0.74</v>
      </c>
      <c r="C5" s="530">
        <v>0.99</v>
      </c>
      <c r="D5" s="530">
        <v>0.99</v>
      </c>
      <c r="E5" s="530">
        <v>1.0984</v>
      </c>
      <c r="F5" s="507">
        <f t="shared" si="1"/>
        <v>0.9546</v>
      </c>
      <c r="G5" s="532">
        <v>1.1049</v>
      </c>
      <c r="H5" s="510">
        <v>1.0284</v>
      </c>
      <c r="I5" s="510">
        <v>0.9913</v>
      </c>
      <c r="J5" s="510">
        <v>1.08</v>
      </c>
      <c r="K5" s="511">
        <f t="shared" si="2"/>
        <v>1.05115</v>
      </c>
      <c r="L5" s="532">
        <v>1.0373</v>
      </c>
      <c r="M5" s="510">
        <v>1.0154</v>
      </c>
      <c r="N5" s="510">
        <v>0.9751</v>
      </c>
      <c r="O5" s="510">
        <v>1.0111</v>
      </c>
      <c r="P5" s="511">
        <f t="shared" si="3"/>
        <v>1.009725</v>
      </c>
      <c r="Q5" s="532">
        <v>1.0112</v>
      </c>
      <c r="R5" s="510">
        <v>0.8527</v>
      </c>
      <c r="S5" s="510">
        <v>1.002</v>
      </c>
      <c r="T5" s="510">
        <v>1.0028</v>
      </c>
      <c r="U5" s="512">
        <v>1.0119</v>
      </c>
      <c r="V5" s="511">
        <f t="shared" si="4"/>
        <v>0.97612</v>
      </c>
      <c r="W5" s="532">
        <v>0.9655</v>
      </c>
      <c r="X5" s="510">
        <v>0.9915</v>
      </c>
      <c r="Y5" s="510">
        <v>0.9462</v>
      </c>
      <c r="Z5" s="510">
        <v>0.9668</v>
      </c>
      <c r="AA5" s="511">
        <f t="shared" si="5"/>
        <v>0.9675</v>
      </c>
      <c r="AB5" s="540">
        <v>0.967</v>
      </c>
      <c r="AC5" s="535">
        <v>0.969</v>
      </c>
      <c r="AD5" s="535">
        <v>1.0207</v>
      </c>
      <c r="AE5" s="535">
        <v>0.9826</v>
      </c>
      <c r="AF5" s="555">
        <f t="shared" si="6"/>
        <v>0.984825</v>
      </c>
      <c r="AG5" s="537">
        <v>0.975</v>
      </c>
      <c r="AH5" s="539">
        <v>1.0</v>
      </c>
      <c r="AI5" s="539">
        <v>1.0118</v>
      </c>
      <c r="AJ5" s="539">
        <v>1.0178</v>
      </c>
      <c r="AK5" s="539">
        <v>1.0291</v>
      </c>
      <c r="AL5" s="522">
        <f t="shared" si="7"/>
        <v>1.00674</v>
      </c>
      <c r="AM5" s="540">
        <v>1.0685</v>
      </c>
      <c r="AN5" s="535">
        <v>1.0879</v>
      </c>
      <c r="AO5" s="535">
        <v>0.9694</v>
      </c>
      <c r="AP5" s="535">
        <v>1.1005</v>
      </c>
      <c r="AQ5" s="542">
        <f t="shared" si="8"/>
        <v>1.056575</v>
      </c>
      <c r="AR5" s="543">
        <v>1.0354</v>
      </c>
      <c r="AS5" s="545">
        <v>0.9942</v>
      </c>
      <c r="AT5" s="545">
        <v>1.0144</v>
      </c>
      <c r="AU5" s="545">
        <v>1.0204</v>
      </c>
      <c r="AV5" s="542">
        <f t="shared" si="9"/>
        <v>1.0161</v>
      </c>
    </row>
    <row r="6">
      <c r="A6" s="556" t="s">
        <v>22</v>
      </c>
      <c r="B6" s="557">
        <v>0.86</v>
      </c>
      <c r="C6" s="558">
        <v>0.9597</v>
      </c>
      <c r="D6" s="558">
        <v>0.9644</v>
      </c>
      <c r="E6" s="530">
        <v>1.0984</v>
      </c>
      <c r="F6" s="507">
        <f t="shared" si="1"/>
        <v>0.970625</v>
      </c>
      <c r="G6" s="532">
        <v>1.0069</v>
      </c>
      <c r="H6" s="510">
        <v>1.085</v>
      </c>
      <c r="I6" s="510">
        <v>1.0115</v>
      </c>
      <c r="J6" s="510">
        <v>1.0592</v>
      </c>
      <c r="K6" s="511">
        <f t="shared" si="2"/>
        <v>1.04065</v>
      </c>
      <c r="L6" s="532">
        <v>1.0689</v>
      </c>
      <c r="M6" s="510">
        <v>1.0699</v>
      </c>
      <c r="N6" s="510">
        <v>1.0296</v>
      </c>
      <c r="O6" s="510">
        <v>0.9759</v>
      </c>
      <c r="P6" s="511">
        <f t="shared" si="3"/>
        <v>1.036075</v>
      </c>
      <c r="Q6" s="532">
        <v>0.9781</v>
      </c>
      <c r="R6" s="510">
        <v>1.0174</v>
      </c>
      <c r="S6" s="510">
        <v>0.8874</v>
      </c>
      <c r="T6" s="510">
        <v>0.7731</v>
      </c>
      <c r="U6" s="512">
        <v>0.9749</v>
      </c>
      <c r="V6" s="511">
        <f t="shared" si="4"/>
        <v>0.92618</v>
      </c>
      <c r="W6" s="532">
        <v>0.8805</v>
      </c>
      <c r="X6" s="510">
        <v>0.6626</v>
      </c>
      <c r="Y6" s="510">
        <v>0.9547</v>
      </c>
      <c r="Z6" s="510">
        <v>0.737</v>
      </c>
      <c r="AA6" s="550">
        <f t="shared" si="5"/>
        <v>0.8087</v>
      </c>
      <c r="AB6" s="551">
        <v>0.9508</v>
      </c>
      <c r="AC6" s="516">
        <v>0.9632</v>
      </c>
      <c r="AD6" s="516">
        <v>0.9746</v>
      </c>
      <c r="AE6" s="516">
        <v>0.9652</v>
      </c>
      <c r="AF6" s="517">
        <f t="shared" si="6"/>
        <v>0.96345</v>
      </c>
      <c r="AG6" s="552">
        <v>1.0019</v>
      </c>
      <c r="AH6" s="521">
        <v>0.9587</v>
      </c>
      <c r="AI6" s="520">
        <v>1.0279</v>
      </c>
      <c r="AJ6" s="521">
        <v>0.9273</v>
      </c>
      <c r="AK6" s="521">
        <v>0.9564</v>
      </c>
      <c r="AL6" s="522">
        <f t="shared" si="7"/>
        <v>0.97444</v>
      </c>
      <c r="AM6" s="551">
        <v>0.9947</v>
      </c>
      <c r="AN6" s="516">
        <v>1.0032</v>
      </c>
      <c r="AO6" s="523">
        <v>1.0544</v>
      </c>
      <c r="AP6" s="516">
        <v>1.0335</v>
      </c>
      <c r="AQ6" s="524">
        <f t="shared" si="8"/>
        <v>1.02145</v>
      </c>
      <c r="AR6" s="553">
        <v>1.0489</v>
      </c>
      <c r="AS6" s="554">
        <v>1.0029</v>
      </c>
      <c r="AT6" s="527">
        <v>0.9941</v>
      </c>
      <c r="AU6" s="554">
        <v>0.9996</v>
      </c>
      <c r="AV6" s="524">
        <f t="shared" si="9"/>
        <v>1.011375</v>
      </c>
    </row>
    <row r="7">
      <c r="A7" s="559" t="s">
        <v>129</v>
      </c>
      <c r="B7" s="560">
        <v>0.9296</v>
      </c>
      <c r="C7" s="561">
        <v>0.72</v>
      </c>
      <c r="D7" s="561">
        <v>0.9867</v>
      </c>
      <c r="E7" s="561">
        <v>1.1153</v>
      </c>
      <c r="F7" s="507">
        <f t="shared" si="1"/>
        <v>0.9379</v>
      </c>
      <c r="G7" s="532">
        <v>1.1159</v>
      </c>
      <c r="H7" s="510">
        <v>1.0804</v>
      </c>
      <c r="I7" s="510">
        <v>1.0558</v>
      </c>
      <c r="J7" s="510">
        <v>1.0738</v>
      </c>
      <c r="K7" s="513">
        <f t="shared" si="2"/>
        <v>1.081475</v>
      </c>
      <c r="L7" s="532">
        <v>1.0726</v>
      </c>
      <c r="M7" s="510">
        <v>1.0291</v>
      </c>
      <c r="N7" s="510">
        <v>1.0379</v>
      </c>
      <c r="O7" s="510">
        <v>1.0324</v>
      </c>
      <c r="P7" s="513">
        <f t="shared" si="3"/>
        <v>1.043</v>
      </c>
      <c r="Q7" s="532">
        <v>0.9018</v>
      </c>
      <c r="R7" s="510">
        <v>0.9851</v>
      </c>
      <c r="S7" s="510">
        <v>0.9149</v>
      </c>
      <c r="T7" s="510">
        <v>0.9992</v>
      </c>
      <c r="U7" s="512">
        <v>1.0028</v>
      </c>
      <c r="V7" s="511">
        <f t="shared" si="4"/>
        <v>0.96076</v>
      </c>
      <c r="W7" s="532">
        <v>1.0053</v>
      </c>
      <c r="X7" s="562">
        <v>1.0031</v>
      </c>
      <c r="Y7" s="562">
        <v>1.012</v>
      </c>
      <c r="Z7" s="562">
        <v>1.0316</v>
      </c>
      <c r="AA7" s="563">
        <f t="shared" si="5"/>
        <v>1.013</v>
      </c>
      <c r="AB7" s="551">
        <v>0.7354</v>
      </c>
      <c r="AC7" s="523">
        <v>1.0106</v>
      </c>
      <c r="AD7" s="523">
        <v>1.0191</v>
      </c>
      <c r="AE7" s="564">
        <v>1.0005</v>
      </c>
      <c r="AF7" s="517">
        <f t="shared" si="6"/>
        <v>0.9414</v>
      </c>
      <c r="AG7" s="565">
        <v>1.0131</v>
      </c>
      <c r="AH7" s="520">
        <v>1.0114</v>
      </c>
      <c r="AI7" s="539">
        <v>1.0183</v>
      </c>
      <c r="AJ7" s="539">
        <v>1.0267</v>
      </c>
      <c r="AK7" s="539">
        <v>1.0027</v>
      </c>
      <c r="AL7" s="522">
        <f t="shared" si="7"/>
        <v>1.01444</v>
      </c>
      <c r="AM7" s="534">
        <v>1.0698</v>
      </c>
      <c r="AN7" s="523">
        <v>1.0714</v>
      </c>
      <c r="AO7" s="535">
        <v>1.0701</v>
      </c>
      <c r="AP7" s="535">
        <v>0.958</v>
      </c>
      <c r="AQ7" s="542">
        <f t="shared" si="8"/>
        <v>1.042325</v>
      </c>
      <c r="AR7" s="566">
        <v>1.0304</v>
      </c>
      <c r="AS7" s="527">
        <v>0.9992</v>
      </c>
      <c r="AT7" s="545">
        <v>1.022</v>
      </c>
      <c r="AU7" s="545">
        <v>1.0241</v>
      </c>
      <c r="AV7" s="542">
        <f t="shared" si="9"/>
        <v>1.018925</v>
      </c>
    </row>
    <row r="8">
      <c r="A8" s="559" t="s">
        <v>13</v>
      </c>
      <c r="B8" s="567" t="s">
        <v>1786</v>
      </c>
      <c r="C8" s="567" t="s">
        <v>1786</v>
      </c>
      <c r="D8" s="567" t="s">
        <v>1786</v>
      </c>
      <c r="E8" s="567" t="s">
        <v>1786</v>
      </c>
      <c r="F8" s="568" t="s">
        <v>1786</v>
      </c>
      <c r="G8" s="569" t="s">
        <v>1786</v>
      </c>
      <c r="H8" s="510">
        <v>0.9685</v>
      </c>
      <c r="I8" s="510">
        <v>1.049</v>
      </c>
      <c r="J8" s="510">
        <v>1.0046</v>
      </c>
      <c r="K8" s="511">
        <f t="shared" ref="K8:K9" si="10">IFerror(AVERAGE(H8:J8),"")</f>
        <v>1.007366667</v>
      </c>
      <c r="L8" s="569">
        <v>93.87</v>
      </c>
      <c r="M8" s="510">
        <v>1.0257</v>
      </c>
      <c r="N8" s="510">
        <v>1.0162</v>
      </c>
      <c r="O8" s="510">
        <v>0.8332</v>
      </c>
      <c r="P8" s="511">
        <f t="shared" ref="P8:P9" si="11">IFerror(AVERAGE(M8:O8),"")</f>
        <v>0.9583666667</v>
      </c>
      <c r="Q8" s="532">
        <v>0.9786</v>
      </c>
      <c r="R8" s="510">
        <v>0.9739</v>
      </c>
      <c r="S8" s="510">
        <v>0.9497</v>
      </c>
      <c r="T8" s="510">
        <v>0.8831</v>
      </c>
      <c r="U8" s="512">
        <v>0.7603</v>
      </c>
      <c r="V8" s="550">
        <f t="shared" si="4"/>
        <v>0.90912</v>
      </c>
      <c r="W8" s="532">
        <v>0.9642</v>
      </c>
      <c r="X8" s="510">
        <v>0.8082</v>
      </c>
      <c r="Y8" s="510">
        <v>0.8929</v>
      </c>
      <c r="Z8" s="510">
        <v>0.9725</v>
      </c>
      <c r="AA8" s="511">
        <f t="shared" si="5"/>
        <v>0.90945</v>
      </c>
      <c r="AB8" s="551">
        <v>0.9747</v>
      </c>
      <c r="AC8" s="516">
        <v>0.974</v>
      </c>
      <c r="AD8" s="516">
        <v>0.7466</v>
      </c>
      <c r="AE8" s="516">
        <v>0.9944</v>
      </c>
      <c r="AF8" s="517">
        <f t="shared" si="6"/>
        <v>0.922425</v>
      </c>
      <c r="AG8" s="552">
        <v>0.8643</v>
      </c>
      <c r="AH8" s="521">
        <v>0.9659</v>
      </c>
      <c r="AI8" s="521">
        <v>0.8308</v>
      </c>
      <c r="AJ8" s="521">
        <v>1.0093</v>
      </c>
      <c r="AK8" s="521">
        <v>1.0031</v>
      </c>
      <c r="AL8" s="522">
        <f t="shared" si="7"/>
        <v>0.93468</v>
      </c>
      <c r="AM8" s="551">
        <v>0.8523</v>
      </c>
      <c r="AN8" s="516">
        <v>0.9424</v>
      </c>
      <c r="AO8" s="516">
        <v>1.0199</v>
      </c>
      <c r="AP8" s="516">
        <v>0.972</v>
      </c>
      <c r="AQ8" s="524">
        <f t="shared" si="8"/>
        <v>0.94665</v>
      </c>
      <c r="AR8" s="553">
        <v>0.817</v>
      </c>
      <c r="AS8" s="554">
        <v>1.0535</v>
      </c>
      <c r="AT8" s="554">
        <v>1.0432</v>
      </c>
      <c r="AU8" s="554">
        <v>0.9503</v>
      </c>
      <c r="AV8" s="524">
        <f t="shared" si="9"/>
        <v>0.966</v>
      </c>
    </row>
    <row r="9">
      <c r="A9" s="559" t="s">
        <v>1794</v>
      </c>
      <c r="B9" s="567" t="s">
        <v>1786</v>
      </c>
      <c r="C9" s="567" t="s">
        <v>1786</v>
      </c>
      <c r="D9" s="567" t="s">
        <v>1786</v>
      </c>
      <c r="E9" s="567" t="s">
        <v>1786</v>
      </c>
      <c r="F9" s="568" t="s">
        <v>1786</v>
      </c>
      <c r="G9" s="569" t="s">
        <v>1786</v>
      </c>
      <c r="H9" s="510">
        <v>0.9685</v>
      </c>
      <c r="I9" s="510">
        <v>1.049</v>
      </c>
      <c r="J9" s="510">
        <v>1.0046</v>
      </c>
      <c r="K9" s="511">
        <f t="shared" si="10"/>
        <v>1.007366667</v>
      </c>
      <c r="L9" s="569" t="s">
        <v>1786</v>
      </c>
      <c r="M9" s="510">
        <v>0.9565</v>
      </c>
      <c r="N9" s="510">
        <v>1.0605</v>
      </c>
      <c r="O9" s="510">
        <v>0.9717</v>
      </c>
      <c r="P9" s="511">
        <f t="shared" si="11"/>
        <v>0.9962333333</v>
      </c>
      <c r="Q9" s="532">
        <v>0.99</v>
      </c>
      <c r="R9" s="510">
        <v>0.9512</v>
      </c>
      <c r="S9" s="510">
        <v>0.9562</v>
      </c>
      <c r="T9" s="510">
        <v>0.9176</v>
      </c>
      <c r="U9" s="512">
        <v>0.9215</v>
      </c>
      <c r="V9" s="511">
        <f t="shared" si="4"/>
        <v>0.9473</v>
      </c>
      <c r="W9" s="532">
        <v>1.0058</v>
      </c>
      <c r="X9" s="510">
        <v>0.9176</v>
      </c>
      <c r="Y9" s="510">
        <v>0.9429</v>
      </c>
      <c r="Z9" s="510">
        <v>0.954</v>
      </c>
      <c r="AA9" s="511">
        <f t="shared" si="5"/>
        <v>0.955075</v>
      </c>
      <c r="AB9" s="540">
        <v>0.9588</v>
      </c>
      <c r="AC9" s="535">
        <v>0.9537</v>
      </c>
      <c r="AD9" s="535">
        <v>0.9194</v>
      </c>
      <c r="AE9" s="535">
        <v>0.9024</v>
      </c>
      <c r="AF9" s="517">
        <f t="shared" si="6"/>
        <v>0.933575</v>
      </c>
      <c r="AG9" s="537">
        <v>0.9524</v>
      </c>
      <c r="AH9" s="539">
        <v>0.9741</v>
      </c>
      <c r="AI9" s="539">
        <v>0.9994</v>
      </c>
      <c r="AJ9" s="539">
        <v>0.9838</v>
      </c>
      <c r="AK9" s="539">
        <v>0.9862</v>
      </c>
      <c r="AL9" s="522">
        <f t="shared" si="7"/>
        <v>0.97918</v>
      </c>
      <c r="AM9" s="540">
        <v>1.0054</v>
      </c>
      <c r="AN9" s="535">
        <v>0.9939</v>
      </c>
      <c r="AO9" s="535">
        <v>0.978</v>
      </c>
      <c r="AP9" s="535">
        <v>1.0166</v>
      </c>
      <c r="AQ9" s="542">
        <f t="shared" si="8"/>
        <v>0.998475</v>
      </c>
      <c r="AR9" s="543">
        <v>0.9994</v>
      </c>
      <c r="AS9" s="545">
        <v>0.9317</v>
      </c>
      <c r="AT9" s="545">
        <v>0.9347</v>
      </c>
      <c r="AU9" s="545">
        <v>0.9524</v>
      </c>
      <c r="AV9" s="542">
        <f t="shared" si="9"/>
        <v>0.95455</v>
      </c>
    </row>
  </sheetData>
  <conditionalFormatting sqref="A1:A9">
    <cfRule type="cellIs" dxfId="5" priority="1" operator="equal">
      <formula>"OFF"</formula>
    </cfRule>
  </conditionalFormatting>
  <conditionalFormatting sqref="A1:A9">
    <cfRule type="cellIs" dxfId="8" priority="2" operator="equal">
      <formula>"A"</formula>
    </cfRule>
  </conditionalFormatting>
  <conditionalFormatting sqref="A1:A9">
    <cfRule type="cellIs" dxfId="12" priority="3" operator="equal">
      <formula>"LWOP"</formula>
    </cfRule>
  </conditionalFormatting>
  <drawing r:id="rId1"/>
  <tableParts count="1">
    <tablePart r:id="rId3"/>
  </tableParts>
</worksheet>
</file>